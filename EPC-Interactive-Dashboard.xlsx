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داشبورد" sheetId="1" state="visible" r:id="rId1"/>
    <sheet xmlns:r="http://schemas.openxmlformats.org/officeDocument/2006/relationships" name="البيانات" sheetId="2" state="visible" r:id="rId2"/>
    <sheet xmlns:r="http://schemas.openxmlformats.org/officeDocument/2006/relationships" name="حسابات" sheetId="3" state="hidden" r:id="rId3"/>
    <sheet xmlns:r="http://schemas.openxmlformats.org/officeDocument/2006/relationships" name="الخطة" sheetId="4" state="visible" r:id="rId4"/>
    <sheet xmlns:r="http://schemas.openxmlformats.org/officeDocument/2006/relationships" name="قوائم" sheetId="5" state="hidden" r:id="rId5"/>
  </sheets>
  <definedNames>
    <definedName name="_xlnm._FilterDatabase" localSheetId="1" hidden="1">'البيانات'!$A$1:$P$831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12">
    <font>
      <name val="Calibri"/>
      <family val="2"/>
      <color theme="1"/>
      <sz val="11"/>
      <scheme val="minor"/>
    </font>
    <font>
      <b val="1"/>
      <color rgb="000D47A1"/>
      <sz val="16"/>
    </font>
    <font>
      <color rgb="005F7288"/>
      <sz val="10"/>
    </font>
    <font>
      <b val="1"/>
      <color rgb="000D47A1"/>
      <sz val="10"/>
    </font>
    <font>
      <b val="1"/>
      <sz val="10"/>
    </font>
    <font>
      <b val="1"/>
      <color rgb="000D47A1"/>
      <sz val="12"/>
    </font>
    <font>
      <b val="1"/>
      <color rgb="000D47A1"/>
      <sz val="9"/>
    </font>
    <font>
      <b val="1"/>
      <color rgb="000D47A1"/>
      <sz val="15"/>
    </font>
    <font>
      <i val="1"/>
      <color rgb="005F7288"/>
      <sz val="10"/>
    </font>
    <font>
      <b val="1"/>
      <color rgb="00FFFFFF"/>
      <sz val="10"/>
    </font>
    <font>
      <b val="1"/>
      <color rgb="00FFFFFF"/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64748B"/>
      </patternFill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DBE4EF"/>
      </left>
      <right style="thin">
        <color rgb="00DBE4EF"/>
      </right>
      <top style="thin">
        <color rgb="00DBE4EF"/>
      </top>
      <bottom style="thin">
        <color rgb="00DBE4E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3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0" fontId="8" fillId="0" borderId="0" pivotButton="0" quotePrefix="0" xfId="0"/>
    <xf numFmtId="0" fontId="9" fillId="5" borderId="1" applyAlignment="1" pivotButton="0" quotePrefix="0" xfId="0">
      <alignment horizontal="center"/>
    </xf>
    <xf numFmtId="0" fontId="10" fillId="6" borderId="1" pivotButton="0" quotePrefix="0" xfId="0"/>
    <xf numFmtId="0" fontId="10" fillId="7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10" fillId="5" borderId="0" pivotButton="0" quotePrefix="0" xfId="0"/>
    <xf numFmtId="0" fontId="11" fillId="3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الإنتاج التراكمي مقابل الخطة</a:t>
            </a:r>
          </a:p>
        </rich>
      </tx>
    </title>
    <plotArea>
      <lineChart>
        <grouping val="standard"/>
        <ser>
          <idx val="0"/>
          <order val="0"/>
          <tx>
            <strRef>
              <f>'حسابات'!E1</f>
            </strRef>
          </tx>
          <spPr>
            <a:ln xmlns:a="http://schemas.openxmlformats.org/drawingml/2006/main" w="28000">
              <a:solidFill>
                <a:srgbClr val="1976D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'حسابات'!$A$2:$A$32</f>
            </numRef>
          </cat>
          <val>
            <numRef>
              <f>'حسابات'!$E$2:$E$32</f>
            </numRef>
          </val>
        </ser>
        <ser>
          <idx val="1"/>
          <order val="1"/>
          <tx>
            <strRef>
              <f>'حسابات'!F1</f>
            </strRef>
          </tx>
          <spPr>
            <a:ln xmlns:a="http://schemas.openxmlformats.org/drawingml/2006/main">
              <a:solidFill>
                <a:srgbClr val="D9770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'حسابات'!$A$2:$A$32</f>
            </numRef>
          </cat>
          <val>
            <numRef>
              <f>'حسابات'!$F$2:$F$32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الإنتاج اليومي Power / Telecom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'حسابات'!C1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'حسابات'!$A$2:$A$32</f>
            </numRef>
          </cat>
          <val>
            <numRef>
              <f>'حسابات'!$C$2:$C$32</f>
            </numRef>
          </val>
        </ser>
        <ser>
          <idx val="1"/>
          <order val="1"/>
          <tx>
            <strRef>
              <f>'حسابات'!D1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'حسابات'!$A$2:$A$32</f>
            </numRef>
          </cat>
          <val>
            <numRef>
              <f>'حسابات'!$D$2:$D$32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العائلات (طن)</a:t>
            </a:r>
          </a:p>
        </rich>
      </tx>
    </title>
    <plotArea>
      <doughnutChart>
        <varyColors val="1"/>
        <ser>
          <idx val="0"/>
          <order val="0"/>
          <tx>
            <strRef>
              <f>'حسابات'!I1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F9D5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A580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4748B"/>
              </a:solidFill>
              <a:ln xmlns:a="http://schemas.openxmlformats.org/drawingml/2006/main">
                <a:prstDash val="solid"/>
              </a:ln>
            </spPr>
          </dPt>
          <cat>
            <numRef>
              <f>'حسابات'!$H$2:$H$8</f>
            </numRef>
          </cat>
          <val>
            <numRef>
              <f>'حسابات'!$I$2:$I$8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تصدير / محلي</a:t>
            </a:r>
          </a:p>
        </rich>
      </tx>
    </title>
    <plotArea>
      <pieChart>
        <varyColors val="1"/>
        <ser>
          <idx val="0"/>
          <order val="0"/>
          <tx>
            <strRef>
              <f>'حسابات'!Q1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F9D5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cat>
            <numRef>
              <f>'حسابات'!$P$2:$P$3</f>
            </numRef>
          </cat>
          <val>
            <numRef>
              <f>'حسابات'!$Q$2:$Q$3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المواد (طن)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'حسابات'!M1</f>
            </strRef>
          </tx>
          <spPr>
            <a:solidFill xmlns:a="http://schemas.openxmlformats.org/drawingml/2006/main">
              <a:srgbClr val="8FA3BD"/>
            </a:solidFill>
            <a:ln xmlns:a="http://schemas.openxmlformats.org/drawingml/2006/main">
              <a:prstDash val="solid"/>
            </a:ln>
          </spPr>
          <cat>
            <numRef>
              <f>'حسابات'!$L$2:$L$5</f>
            </numRef>
          </cat>
          <val>
            <numRef>
              <f>'حسابات'!$M$2:$M$5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حالة الجودة (طرود)</a:t>
            </a:r>
          </a:p>
        </rich>
      </tx>
    </title>
    <plotArea>
      <doughnutChart>
        <varyColors val="1"/>
        <ser>
          <idx val="0"/>
          <order val="0"/>
          <tx>
            <strRef>
              <f>'حسابات'!U1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B8A4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777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4748B"/>
              </a:solidFill>
              <a:ln xmlns:a="http://schemas.openxmlformats.org/drawingml/2006/main">
                <a:prstDash val="solid"/>
              </a:ln>
            </spPr>
          </dPt>
          <cat>
            <numRef>
              <f>'حسابات'!$T$2:$T$4</f>
            </numRef>
          </cat>
          <val>
            <numRef>
              <f>'حسابات'!$U$2:$U$4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أعلى العملاء (طن)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'حسابات'!Y1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'حسابات'!$X$2:$X$13</f>
            </numRef>
          </cat>
          <val>
            <numRef>
              <f>'حسابات'!$Y$2:$Y$13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الماكينات (طن)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'حسابات'!AC1</f>
            </strRef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prstDash val="solid"/>
            </a:ln>
          </spPr>
          <cat>
            <numRef>
              <f>'حسابات'!$AB$2:$AB$11</f>
            </numRef>
          </cat>
          <val>
            <numRef>
              <f>'حسابات'!$AC$2:$AC$11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image" Target="/xl/media/image1.png" Id="rId9"/></Relationships>
</file>

<file path=xl/drawings/drawing1.xml><?xml version="1.0" encoding="utf-8"?>
<wsDr xmlns="http://schemas.openxmlformats.org/drawingml/2006/spreadsheetDrawing">
  <oneCellAnchor>
    <from>
      <col>2</col>
      <colOff>0</colOff>
      <row>21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39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39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57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57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75</row>
      <rowOff>0</rowOff>
    </from>
    <ext cx="576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75</row>
      <rowOff>0</rowOff>
    </from>
    <ext cx="576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0</row>
      <rowOff>0</rowOff>
    </from>
    <ext cx="1019175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20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2">
      <c r="C2" s="1" t="inlineStr">
        <is>
          <t>لوحة متابعة الإنتاج التفاعلية — Energya Power Cables</t>
        </is>
      </c>
    </row>
    <row r="3">
      <c r="C3" s="2" t="inlineStr">
        <is>
          <t>أكتوبر 2026 · البيانات حتى يوم 7 · عدّل القوائم المنسدلة وكل الأرقام والرسوم تتحدث فوراً</t>
        </is>
      </c>
    </row>
    <row r="5">
      <c r="A5" s="3" t="inlineStr">
        <is>
          <t>اليوم</t>
        </is>
      </c>
      <c r="B5" s="4" t="inlineStr">
        <is>
          <t>الكل</t>
        </is>
      </c>
    </row>
    <row r="6">
      <c r="A6" s="3" t="inlineStr">
        <is>
          <t>العائلة</t>
        </is>
      </c>
      <c r="B6" s="4" t="inlineStr">
        <is>
          <t>الكل</t>
        </is>
      </c>
    </row>
    <row r="7">
      <c r="A7" s="3" t="inlineStr">
        <is>
          <t>السوق</t>
        </is>
      </c>
      <c r="B7" s="4" t="inlineStr">
        <is>
          <t>الكل</t>
        </is>
      </c>
    </row>
    <row r="8">
      <c r="A8" s="3" t="inlineStr">
        <is>
          <t>الموصل</t>
        </is>
      </c>
      <c r="B8" s="4" t="inlineStr">
        <is>
          <t>الكل</t>
        </is>
      </c>
    </row>
    <row r="9">
      <c r="A9" s="3" t="inlineStr">
        <is>
          <t>الجودة</t>
        </is>
      </c>
      <c r="B9" s="4" t="inlineStr">
        <is>
          <t>الكل</t>
        </is>
      </c>
    </row>
    <row r="10">
      <c r="A10" s="3" t="inlineStr">
        <is>
          <t>العميل</t>
        </is>
      </c>
      <c r="B10" s="4" t="inlineStr">
        <is>
          <t>الكل</t>
        </is>
      </c>
    </row>
    <row r="11">
      <c r="A11" s="3" t="inlineStr">
        <is>
          <t>الماكينة</t>
        </is>
      </c>
      <c r="B11" s="4" t="inlineStr">
        <is>
          <t>الكل</t>
        </is>
      </c>
    </row>
    <row r="13">
      <c r="C13" s="5" t="inlineStr">
        <is>
          <t>مؤشرات الشهر</t>
        </is>
      </c>
    </row>
    <row r="14">
      <c r="C14" s="6" t="inlineStr">
        <is>
          <t>الإنتاج الفعلي (طن)</t>
        </is>
      </c>
      <c r="E14" s="6" t="inlineStr">
        <is>
          <t>الخطة (طن)</t>
        </is>
      </c>
      <c r="G14" s="6" t="inlineStr">
        <is>
          <t>نسبة التحقيق</t>
        </is>
      </c>
      <c r="I14" s="6" t="inlineStr">
        <is>
          <t>الفاضل (طن)</t>
        </is>
      </c>
      <c r="K14" s="6" t="inlineStr">
        <is>
          <t>أيام متبقية</t>
        </is>
      </c>
      <c r="M14" s="6" t="inlineStr">
        <is>
          <t>مطلوب طن/يوم</t>
        </is>
      </c>
    </row>
    <row r="15">
      <c r="C15" s="7">
        <f>SUMPRODUCT('البيانات'!$X$2:$X$2001,'البيانات'!$P$2:$P$2001)</f>
        <v/>
      </c>
      <c r="E15" s="8">
        <f>IF('الخطة'!$B$1&gt;0,'الخطة'!$B$1,0)</f>
        <v/>
      </c>
      <c r="G15" s="9">
        <f>IF($E$15&gt;0,$C$15/$E$15,0)</f>
        <v/>
      </c>
      <c r="I15" s="7">
        <f>IF($E$15&gt;0,MAX(0,$E$15-$C$15),0)</f>
        <v/>
      </c>
      <c r="K15" s="10">
        <f>MAX(0,'الخطة'!$B$4-MAX('البيانات'!$A$2:$A$2000))</f>
        <v/>
      </c>
      <c r="M15" s="7">
        <f>IF($K$15&gt;0,$I$15/$K$15,0)</f>
        <v/>
      </c>
    </row>
    <row r="17">
      <c r="C17" s="6" t="inlineStr">
        <is>
          <t>المعدل اليومي الفعلي</t>
        </is>
      </c>
      <c r="E17" s="6" t="inlineStr">
        <is>
          <t>توقع نهاية الشهر</t>
        </is>
      </c>
      <c r="G17" s="6" t="inlineStr">
        <is>
          <t>أيام إنتاج</t>
        </is>
      </c>
      <c r="I17" s="6" t="inlineStr">
        <is>
          <t>إجمالي كم</t>
        </is>
      </c>
      <c r="K17" s="6" t="inlineStr">
        <is>
          <t>طرود</t>
        </is>
      </c>
      <c r="M17" s="6" t="inlineStr">
        <is>
          <t>حصة التصدير</t>
        </is>
      </c>
    </row>
    <row r="18">
      <c r="C18" s="7">
        <f>IF($G$18&gt;0,$C$15/$G$18,0)</f>
        <v/>
      </c>
      <c r="E18" s="8">
        <f>$C$18*'الخطة'!$B$4</f>
        <v/>
      </c>
      <c r="G18" s="10">
        <f>COUNTIF('حسابات'!$B$2:$B$32,"&gt;0")</f>
        <v/>
      </c>
      <c r="I18" s="7">
        <f>SUMPRODUCT('البيانات'!$X$2:$X$2001,'البيانات'!$L$2:$L$2001)/1000</f>
        <v/>
      </c>
      <c r="K18" s="8">
        <f>SUMPRODUCT('البيانات'!$X$2:$X$2001)</f>
        <v/>
      </c>
      <c r="M18" s="9">
        <f>IF($C$15&gt;0,SUMPRODUCT('البيانات'!$X$2:$X$2001,--('البيانات'!$K$2:$K$2001="Y"),'البيانات'!$P$2:$P$2001)/$C$15,0)</f>
        <v/>
      </c>
    </row>
    <row r="20">
      <c r="C20" s="11" t="inlineStr">
        <is>
          <t>💡 غيّر أي قائمة منسدلة فوق — كل المؤشرات والرسوم بتتحدث لحظياً. الخطة تتعدل من ورقة «الخطة».</t>
        </is>
      </c>
    </row>
  </sheetData>
  <conditionalFormatting sqref="G15">
    <cfRule type="dataBar" priority="1">
      <dataBar showValue="1">
        <cfvo type="num" val="0"/>
        <cfvo type="num" val="1"/>
        <color rgb="001976D2"/>
      </dataBar>
    </cfRule>
  </conditionalFormatting>
  <dataValidations count="7">
    <dataValidation sqref="B5" showDropDown="0" showInputMessage="0" showErrorMessage="0" allowBlank="1" type="list">
      <formula1>"الكل,1,2,3,4,5,6,7,8,9,10,11,12,13,14,15,16,17,18,19,20,21,22,23,24,25,26,27,28,29,30,31"</formula1>
    </dataValidation>
    <dataValidation sqref="B6" showDropDown="0" showInputMessage="0" showErrorMessage="0" allowBlank="1" type="list">
      <formula1>=قوائم!$A$2:$A$9</formula1>
    </dataValidation>
    <dataValidation sqref="B7" showDropDown="0" showInputMessage="0" showErrorMessage="0" allowBlank="1" type="list">
      <formula1>=قوائم!$E$2:$E$4</formula1>
    </dataValidation>
    <dataValidation sqref="B8" showDropDown="0" showInputMessage="0" showErrorMessage="0" allowBlank="1" type="list">
      <formula1>=قوائم!$F$2:$F$4</formula1>
    </dataValidation>
    <dataValidation sqref="B9" showDropDown="0" showInputMessage="0" showErrorMessage="0" allowBlank="1" type="list">
      <formula1>=قوائم!$D$2:$D$5</formula1>
    </dataValidation>
    <dataValidation sqref="B10" showDropDown="0" showInputMessage="0" showErrorMessage="0" allowBlank="1" type="list">
      <formula1>=قوائم!$B$2:$B$67</formula1>
    </dataValidation>
    <dataValidation sqref="B11" showDropDown="0" showInputMessage="0" showErrorMessage="0" allowBlank="1" type="list">
      <formula1>=قوائم!$C$2:$C$23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30" customWidth="1" min="4" max="4"/>
    <col width="9" customWidth="1" min="5" max="5"/>
    <col width="18" customWidth="1" min="6" max="6"/>
    <col width="10" customWidth="1" min="7" max="7"/>
    <col width="14" customWidth="1" min="8" max="8"/>
    <col width="9" customWidth="1" min="9" max="9"/>
    <col width="8" customWidth="1" min="10" max="10"/>
    <col width="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2" t="inlineStr">
        <is>
          <t>اليوم</t>
        </is>
      </c>
      <c r="B1" s="12" t="inlineStr">
        <is>
          <t>الطرد</t>
        </is>
      </c>
      <c r="C1" s="12" t="inlineStr">
        <is>
          <t>أمر التشغيل</t>
        </is>
      </c>
      <c r="D1" s="12" t="inlineStr">
        <is>
          <t>العميل</t>
        </is>
      </c>
      <c r="E1" s="12" t="inlineStr">
        <is>
          <t>العائلة</t>
        </is>
      </c>
      <c r="F1" s="12" t="inlineStr">
        <is>
          <t>المواصفة</t>
        </is>
      </c>
      <c r="G1" s="12" t="inlineStr">
        <is>
          <t>الماكينة</t>
        </is>
      </c>
      <c r="H1" s="12" t="inlineStr">
        <is>
          <t>نوع التعبئة</t>
        </is>
      </c>
      <c r="I1" s="12" t="inlineStr">
        <is>
          <t>حالة QC</t>
        </is>
      </c>
      <c r="J1" s="12" t="inlineStr">
        <is>
          <t>الموصل</t>
        </is>
      </c>
      <c r="K1" s="12" t="inlineStr">
        <is>
          <t>السوق</t>
        </is>
      </c>
      <c r="L1" s="12" t="inlineStr">
        <is>
          <t>أمتار</t>
        </is>
      </c>
      <c r="M1" s="12" t="inlineStr">
        <is>
          <t>طن موصلات</t>
        </is>
      </c>
      <c r="N1" s="12" t="inlineStr">
        <is>
          <t>طن Screen</t>
        </is>
      </c>
      <c r="O1" s="12" t="inlineStr">
        <is>
          <t>طن Armour</t>
        </is>
      </c>
      <c r="P1" s="12" t="inlineStr">
        <is>
          <t>الطن الكلي</t>
        </is>
      </c>
      <c r="Q1" s="13" t="inlineStr">
        <is>
          <t>مطابقة اليوم</t>
        </is>
      </c>
      <c r="R1" s="13" t="inlineStr">
        <is>
          <t>مطابقة العائلة</t>
        </is>
      </c>
      <c r="S1" s="13" t="inlineStr">
        <is>
          <t>مطابقة السوق</t>
        </is>
      </c>
      <c r="T1" s="13" t="inlineStr">
        <is>
          <t>مطابقة الموصل</t>
        </is>
      </c>
      <c r="U1" s="13" t="inlineStr">
        <is>
          <t>مطابقة الجودة</t>
        </is>
      </c>
      <c r="V1" s="13" t="inlineStr">
        <is>
          <t>مطابقة العميل</t>
        </is>
      </c>
      <c r="W1" s="13" t="inlineStr">
        <is>
          <t>مطابقة الماكينة</t>
        </is>
      </c>
      <c r="X1" s="14" t="inlineStr">
        <is>
          <t>مطابق لكل الفلاتر</t>
        </is>
      </c>
    </row>
    <row r="2">
      <c r="A2" s="15" t="n">
        <v>1</v>
      </c>
      <c r="B2" s="15" t="inlineStr">
        <is>
          <t>J184219</t>
        </is>
      </c>
      <c r="C2" s="15" t="inlineStr">
        <is>
          <t>1350/26/01</t>
        </is>
      </c>
      <c r="D2" s="15" t="inlineStr">
        <is>
          <t>Eland Cables</t>
        </is>
      </c>
      <c r="E2" s="15" t="inlineStr">
        <is>
          <t>LV</t>
        </is>
      </c>
      <c r="F2" s="15" t="inlineStr">
        <is>
          <t>1.8/3 KV 3X150</t>
        </is>
      </c>
      <c r="G2" s="15" t="inlineStr">
        <is>
          <t>RW01</t>
        </is>
      </c>
      <c r="H2" s="15" t="inlineStr">
        <is>
          <t>Wooden Drums</t>
        </is>
      </c>
      <c r="I2" s="15" t="inlineStr">
        <is>
          <t>OK</t>
        </is>
      </c>
      <c r="J2" s="15" t="inlineStr">
        <is>
          <t>A</t>
        </is>
      </c>
      <c r="K2" s="15" t="inlineStr">
        <is>
          <t>Y</t>
        </is>
      </c>
      <c r="L2" s="15" t="n">
        <v>145</v>
      </c>
      <c r="M2" s="16" t="n">
        <v>0.170665</v>
      </c>
      <c r="N2" s="16" t="n">
        <v>0</v>
      </c>
      <c r="O2" s="16" t="n">
        <v>0</v>
      </c>
      <c r="P2" s="16" t="n">
        <v>0.170665</v>
      </c>
      <c r="Q2">
        <f>--($A2=IF('الداشبورد'!$B$5="الكل",$A2,'الداشبورد'!$B$5))</f>
        <v/>
      </c>
      <c r="R2">
        <f>--($E2=IF('الداشبورد'!$B$6="الكل",$E2,'الداشبورد'!$B$6))</f>
        <v/>
      </c>
      <c r="S2">
        <f>--($K2=IF('الداشبورد'!$B$7="الكل",$K2,IF('الداشبورد'!$B$7="تصدير","Y","N")))</f>
        <v/>
      </c>
      <c r="T2">
        <f>--($J2=IF('الداشبورد'!$B$8="الكل",$J2,IF('الداشبورد'!$B$8="AL","A","C")))</f>
        <v/>
      </c>
      <c r="U2">
        <f>--($I2=IF('الداشبورد'!$B$9="الكل",$I2,IF('الداشبورد'!$B$9="بدون حالة","P",'الداشبورد'!$B$9)))</f>
        <v/>
      </c>
      <c r="V2">
        <f>--($D2=IF('الداشبورد'!$B$10="الكل",$D2,'الداشبورد'!$B$10))</f>
        <v/>
      </c>
      <c r="W2">
        <f>--($G2=IF('الداشبورد'!$B$11="الكل",$G2,'الداشبورد'!$B$11))</f>
        <v/>
      </c>
      <c r="X2">
        <f>Q2*R2*S2*T2*U2*V2*W2*--($C2&lt;&gt;"")</f>
        <v/>
      </c>
    </row>
    <row r="3">
      <c r="A3" s="15" t="n">
        <v>1</v>
      </c>
      <c r="B3" s="15" t="inlineStr">
        <is>
          <t>V184125</t>
        </is>
      </c>
      <c r="C3" s="15" t="inlineStr">
        <is>
          <t>803/26/01</t>
        </is>
      </c>
      <c r="D3" s="15" t="inlineStr">
        <is>
          <t>الشركة العربية للصناعة والتجارة الدولية</t>
        </is>
      </c>
      <c r="E3" s="15" t="inlineStr">
        <is>
          <t>MV</t>
        </is>
      </c>
      <c r="F3" s="15" t="inlineStr">
        <is>
          <t>18 / 30 KV 3 X 400 MM</t>
        </is>
      </c>
      <c r="G3" s="15" t="inlineStr">
        <is>
          <t>EX07</t>
        </is>
      </c>
      <c r="H3" s="15" t="inlineStr">
        <is>
          <t>Wooden Drums</t>
        </is>
      </c>
      <c r="I3" s="15" t="inlineStr">
        <is>
          <t>OK</t>
        </is>
      </c>
      <c r="J3" s="15" t="inlineStr">
        <is>
          <t>A</t>
        </is>
      </c>
      <c r="K3" s="15" t="inlineStr">
        <is>
          <t>N</t>
        </is>
      </c>
      <c r="L3" s="15" t="n">
        <v>400</v>
      </c>
      <c r="M3" s="16" t="n">
        <v>1.2264</v>
      </c>
      <c r="N3" s="16" t="n">
        <v>0</v>
      </c>
      <c r="O3" s="16" t="n">
        <v>0</v>
      </c>
      <c r="P3" s="16" t="n">
        <v>1.2264</v>
      </c>
      <c r="Q3">
        <f>--($A3=IF('الداشبورد'!$B$5="الكل",$A3,'الداشبورد'!$B$5))</f>
        <v/>
      </c>
      <c r="R3">
        <f>--($E3=IF('الداشبورد'!$B$6="الكل",$E3,'الداشبورد'!$B$6))</f>
        <v/>
      </c>
      <c r="S3">
        <f>--($K3=IF('الداشبورد'!$B$7="الكل",$K3,IF('الداشبورد'!$B$7="تصدير","Y","N")))</f>
        <v/>
      </c>
      <c r="T3">
        <f>--($J3=IF('الداشبورد'!$B$8="الكل",$J3,IF('الداشبورد'!$B$8="AL","A","C")))</f>
        <v/>
      </c>
      <c r="U3">
        <f>--($I3=IF('الداشبورد'!$B$9="الكل",$I3,IF('الداشبورد'!$B$9="بدون حالة","P",'الداشبورد'!$B$9)))</f>
        <v/>
      </c>
      <c r="V3">
        <f>--($D3=IF('الداشبورد'!$B$10="الكل",$D3,'الداشبورد'!$B$10))</f>
        <v/>
      </c>
      <c r="W3">
        <f>--($G3=IF('الداشبورد'!$B$11="الكل",$G3,'الداشبورد'!$B$11))</f>
        <v/>
      </c>
      <c r="X3">
        <f>Q3*R3*S3*T3*U3*V3*W3*--($C3&lt;&gt;"")</f>
        <v/>
      </c>
    </row>
    <row r="4">
      <c r="A4" s="15" t="n">
        <v>1</v>
      </c>
      <c r="B4" s="15" t="inlineStr">
        <is>
          <t>U184120</t>
        </is>
      </c>
      <c r="C4" s="15" t="inlineStr">
        <is>
          <t>803/26/01</t>
        </is>
      </c>
      <c r="D4" s="15" t="inlineStr">
        <is>
          <t>الشركة العربية للصناعة والتجارة الدولية</t>
        </is>
      </c>
      <c r="E4" s="15" t="inlineStr">
        <is>
          <t>MV</t>
        </is>
      </c>
      <c r="F4" s="15" t="inlineStr">
        <is>
          <t>18 / 30 KV 3 X 400 MM</t>
        </is>
      </c>
      <c r="G4" s="15" t="inlineStr">
        <is>
          <t>EX07</t>
        </is>
      </c>
      <c r="H4" s="15" t="inlineStr">
        <is>
          <t>Wooden Drums</t>
        </is>
      </c>
      <c r="I4" s="15" t="inlineStr">
        <is>
          <t>OK</t>
        </is>
      </c>
      <c r="J4" s="15" t="inlineStr">
        <is>
          <t>A</t>
        </is>
      </c>
      <c r="K4" s="15" t="inlineStr">
        <is>
          <t>N</t>
        </is>
      </c>
      <c r="L4" s="15" t="n">
        <v>412</v>
      </c>
      <c r="M4" s="16" t="n">
        <v>1.263192</v>
      </c>
      <c r="N4" s="16" t="n">
        <v>0</v>
      </c>
      <c r="O4" s="16" t="n">
        <v>0</v>
      </c>
      <c r="P4" s="16" t="n">
        <v>1.263192</v>
      </c>
      <c r="Q4">
        <f>--($A4=IF('الداشبورد'!$B$5="الكل",$A4,'الداشبورد'!$B$5))</f>
        <v/>
      </c>
      <c r="R4">
        <f>--($E4=IF('الداشبورد'!$B$6="الكل",$E4,'الداشبورد'!$B$6))</f>
        <v/>
      </c>
      <c r="S4">
        <f>--($K4=IF('الداشبورد'!$B$7="الكل",$K4,IF('الداشبورد'!$B$7="تصدير","Y","N")))</f>
        <v/>
      </c>
      <c r="T4">
        <f>--($J4=IF('الداشبورد'!$B$8="الكل",$J4,IF('الداشبورد'!$B$8="AL","A","C")))</f>
        <v/>
      </c>
      <c r="U4">
        <f>--($I4=IF('الداشبورد'!$B$9="الكل",$I4,IF('الداشبورد'!$B$9="بدون حالة","P",'الداشبورد'!$B$9)))</f>
        <v/>
      </c>
      <c r="V4">
        <f>--($D4=IF('الداشبورد'!$B$10="الكل",$D4,'الداشبورد'!$B$10))</f>
        <v/>
      </c>
      <c r="W4">
        <f>--($G4=IF('الداشبورد'!$B$11="الكل",$G4,'الداشبورد'!$B$11))</f>
        <v/>
      </c>
      <c r="X4">
        <f>Q4*R4*S4*T4*U4*V4*W4*--($C4&lt;&gt;"")</f>
        <v/>
      </c>
    </row>
    <row r="5">
      <c r="A5" s="15" t="n">
        <v>1</v>
      </c>
      <c r="B5" s="15" t="inlineStr">
        <is>
          <t>U184126</t>
        </is>
      </c>
      <c r="C5" s="15" t="inlineStr">
        <is>
          <t>1385/26/03</t>
        </is>
      </c>
      <c r="D5" s="15" t="inlineStr">
        <is>
          <t>الشركة العربية للصناعة والتجارة الدولية</t>
        </is>
      </c>
      <c r="E5" s="15" t="inlineStr">
        <is>
          <t>LV</t>
        </is>
      </c>
      <c r="F5" s="15" t="inlineStr">
        <is>
          <t>0.6/1 KV 3*240+120</t>
        </is>
      </c>
      <c r="G5" s="15" t="inlineStr">
        <is>
          <t>EX04</t>
        </is>
      </c>
      <c r="H5" s="15" t="inlineStr">
        <is>
          <t>Wooden Drums</t>
        </is>
      </c>
      <c r="I5" s="15" t="inlineStr">
        <is>
          <t>OK</t>
        </is>
      </c>
      <c r="J5" s="15" t="inlineStr">
        <is>
          <t>A</t>
        </is>
      </c>
      <c r="K5" s="15" t="inlineStr">
        <is>
          <t>N</t>
        </is>
      </c>
      <c r="L5" s="15" t="n">
        <v>1001</v>
      </c>
      <c r="M5" s="16" t="n">
        <v>2.199197</v>
      </c>
      <c r="N5" s="16" t="n">
        <v>0</v>
      </c>
      <c r="O5" s="16" t="n">
        <v>0</v>
      </c>
      <c r="P5" s="16" t="n">
        <v>2.199197</v>
      </c>
      <c r="Q5">
        <f>--($A5=IF('الداشبورد'!$B$5="الكل",$A5,'الداشبورد'!$B$5))</f>
        <v/>
      </c>
      <c r="R5">
        <f>--($E5=IF('الداشبورد'!$B$6="الكل",$E5,'الداشبورد'!$B$6))</f>
        <v/>
      </c>
      <c r="S5">
        <f>--($K5=IF('الداشبورد'!$B$7="الكل",$K5,IF('الداشبورد'!$B$7="تصدير","Y","N")))</f>
        <v/>
      </c>
      <c r="T5">
        <f>--($J5=IF('الداشبورد'!$B$8="الكل",$J5,IF('الداشبورد'!$B$8="AL","A","C")))</f>
        <v/>
      </c>
      <c r="U5">
        <f>--($I5=IF('الداشبورد'!$B$9="الكل",$I5,IF('الداشبورد'!$B$9="بدون حالة","P",'الداشبورد'!$B$9)))</f>
        <v/>
      </c>
      <c r="V5">
        <f>--($D5=IF('الداشبورد'!$B$10="الكل",$D5,'الداشبورد'!$B$10))</f>
        <v/>
      </c>
      <c r="W5">
        <f>--($G5=IF('الداشبورد'!$B$11="الكل",$G5,'الداشبورد'!$B$11))</f>
        <v/>
      </c>
      <c r="X5">
        <f>Q5*R5*S5*T5*U5*V5*W5*--($C5&lt;&gt;"")</f>
        <v/>
      </c>
    </row>
    <row r="6">
      <c r="A6" s="15" t="n">
        <v>1</v>
      </c>
      <c r="B6" s="15" t="inlineStr">
        <is>
          <t>T184131</t>
        </is>
      </c>
      <c r="C6" s="15" t="inlineStr">
        <is>
          <t>1385/26/03</t>
        </is>
      </c>
      <c r="D6" s="15" t="inlineStr">
        <is>
          <t>الشركة العربية للصناعة والتجارة الدولية</t>
        </is>
      </c>
      <c r="E6" s="15" t="inlineStr">
        <is>
          <t>LV</t>
        </is>
      </c>
      <c r="F6" s="15" t="inlineStr">
        <is>
          <t>0.6/1 KV 3*240+120</t>
        </is>
      </c>
      <c r="G6" s="15" t="inlineStr">
        <is>
          <t>EX04</t>
        </is>
      </c>
      <c r="H6" s="15" t="inlineStr">
        <is>
          <t>Wooden Drums</t>
        </is>
      </c>
      <c r="I6" s="15" t="inlineStr">
        <is>
          <t>OK</t>
        </is>
      </c>
      <c r="J6" s="15" t="inlineStr">
        <is>
          <t>A</t>
        </is>
      </c>
      <c r="K6" s="15" t="inlineStr">
        <is>
          <t>N</t>
        </is>
      </c>
      <c r="L6" s="15" t="n">
        <v>1005</v>
      </c>
      <c r="M6" s="16" t="n">
        <v>2.207985</v>
      </c>
      <c r="N6" s="16" t="n">
        <v>0</v>
      </c>
      <c r="O6" s="16" t="n">
        <v>0</v>
      </c>
      <c r="P6" s="16" t="n">
        <v>2.207985</v>
      </c>
      <c r="Q6">
        <f>--($A6=IF('الداشبورد'!$B$5="الكل",$A6,'الداشبورد'!$B$5))</f>
        <v/>
      </c>
      <c r="R6">
        <f>--($E6=IF('الداشبورد'!$B$6="الكل",$E6,'الداشبورد'!$B$6))</f>
        <v/>
      </c>
      <c r="S6">
        <f>--($K6=IF('الداشبورد'!$B$7="الكل",$K6,IF('الداشبورد'!$B$7="تصدير","Y","N")))</f>
        <v/>
      </c>
      <c r="T6">
        <f>--($J6=IF('الداشبورد'!$B$8="الكل",$J6,IF('الداشبورد'!$B$8="AL","A","C")))</f>
        <v/>
      </c>
      <c r="U6">
        <f>--($I6=IF('الداشبورد'!$B$9="الكل",$I6,IF('الداشبورد'!$B$9="بدون حالة","P",'الداشبورد'!$B$9)))</f>
        <v/>
      </c>
      <c r="V6">
        <f>--($D6=IF('الداشبورد'!$B$10="الكل",$D6,'الداشبورد'!$B$10))</f>
        <v/>
      </c>
      <c r="W6">
        <f>--($G6=IF('الداشبورد'!$B$11="الكل",$G6,'الداشبورد'!$B$11))</f>
        <v/>
      </c>
      <c r="X6">
        <f>Q6*R6*S6*T6*U6*V6*W6*--($C6&lt;&gt;"")</f>
        <v/>
      </c>
    </row>
    <row r="7">
      <c r="A7" s="15" t="n">
        <v>1</v>
      </c>
      <c r="B7" s="15" t="inlineStr">
        <is>
          <t>V184121</t>
        </is>
      </c>
      <c r="C7" s="15" t="inlineStr">
        <is>
          <t>1385/26/03</t>
        </is>
      </c>
      <c r="D7" s="15" t="inlineStr">
        <is>
          <t>الشركة العربية للصناعة والتجارة الدولية</t>
        </is>
      </c>
      <c r="E7" s="15" t="inlineStr">
        <is>
          <t>LV</t>
        </is>
      </c>
      <c r="F7" s="15" t="inlineStr">
        <is>
          <t>0.6/1 KV 3*240+120</t>
        </is>
      </c>
      <c r="G7" s="15" t="inlineStr">
        <is>
          <t>EX04</t>
        </is>
      </c>
      <c r="H7" s="15" t="inlineStr">
        <is>
          <t>Wooden Drums</t>
        </is>
      </c>
      <c r="I7" s="15" t="inlineStr">
        <is>
          <t>OK</t>
        </is>
      </c>
      <c r="J7" s="15" t="inlineStr">
        <is>
          <t>A</t>
        </is>
      </c>
      <c r="K7" s="15" t="inlineStr">
        <is>
          <t>N</t>
        </is>
      </c>
      <c r="L7" s="15" t="n">
        <v>1017</v>
      </c>
      <c r="M7" s="16" t="n">
        <v>2.234349</v>
      </c>
      <c r="N7" s="16" t="n">
        <v>0</v>
      </c>
      <c r="O7" s="16" t="n">
        <v>0</v>
      </c>
      <c r="P7" s="16" t="n">
        <v>2.234349</v>
      </c>
      <c r="Q7">
        <f>--($A7=IF('الداشبورد'!$B$5="الكل",$A7,'الداشبورد'!$B$5))</f>
        <v/>
      </c>
      <c r="R7">
        <f>--($E7=IF('الداشبورد'!$B$6="الكل",$E7,'الداشبورد'!$B$6))</f>
        <v/>
      </c>
      <c r="S7">
        <f>--($K7=IF('الداشبورد'!$B$7="الكل",$K7,IF('الداشبورد'!$B$7="تصدير","Y","N")))</f>
        <v/>
      </c>
      <c r="T7">
        <f>--($J7=IF('الداشبورد'!$B$8="الكل",$J7,IF('الداشبورد'!$B$8="AL","A","C")))</f>
        <v/>
      </c>
      <c r="U7">
        <f>--($I7=IF('الداشبورد'!$B$9="الكل",$I7,IF('الداشبورد'!$B$9="بدون حالة","P",'الداشبورد'!$B$9)))</f>
        <v/>
      </c>
      <c r="V7">
        <f>--($D7=IF('الداشبورد'!$B$10="الكل",$D7,'الداشبورد'!$B$10))</f>
        <v/>
      </c>
      <c r="W7">
        <f>--($G7=IF('الداشبورد'!$B$11="الكل",$G7,'الداشبورد'!$B$11))</f>
        <v/>
      </c>
      <c r="X7">
        <f>Q7*R7*S7*T7*U7*V7*W7*--($C7&lt;&gt;"")</f>
        <v/>
      </c>
    </row>
    <row r="8">
      <c r="A8" s="15" t="n">
        <v>1</v>
      </c>
      <c r="B8" s="15" t="inlineStr">
        <is>
          <t>Q184237</t>
        </is>
      </c>
      <c r="C8" s="15" t="inlineStr">
        <is>
          <t>395/26/01</t>
        </is>
      </c>
      <c r="D8" s="15" t="inlineStr">
        <is>
          <t>Eland Cables</t>
        </is>
      </c>
      <c r="E8" s="15" t="inlineStr">
        <is>
          <t>MV</t>
        </is>
      </c>
      <c r="F8" s="15" t="inlineStr">
        <is>
          <t>6.35/11 KV 1X240</t>
        </is>
      </c>
      <c r="G8" s="15" t="inlineStr">
        <is>
          <t>EX09</t>
        </is>
      </c>
      <c r="H8" s="15" t="inlineStr">
        <is>
          <t>Wooden Drums</t>
        </is>
      </c>
      <c r="I8" s="15" t="inlineStr">
        <is>
          <t>Hold</t>
        </is>
      </c>
      <c r="J8" s="15" t="inlineStr">
        <is>
          <t>C</t>
        </is>
      </c>
      <c r="K8" s="15" t="inlineStr">
        <is>
          <t>Y</t>
        </is>
      </c>
      <c r="L8" s="15" t="n">
        <v>1610</v>
      </c>
      <c r="M8" s="16" t="n">
        <v>3.38422</v>
      </c>
      <c r="N8" s="16" t="n">
        <v>0</v>
      </c>
      <c r="O8" s="16" t="n">
        <v>0.58765</v>
      </c>
      <c r="P8" s="16" t="n">
        <v>3.97187</v>
      </c>
      <c r="Q8">
        <f>--($A8=IF('الداشبورد'!$B$5="الكل",$A8,'الداشبورد'!$B$5))</f>
        <v/>
      </c>
      <c r="R8">
        <f>--($E8=IF('الداشبورد'!$B$6="الكل",$E8,'الداشبورد'!$B$6))</f>
        <v/>
      </c>
      <c r="S8">
        <f>--($K8=IF('الداشبورد'!$B$7="الكل",$K8,IF('الداشبورد'!$B$7="تصدير","Y","N")))</f>
        <v/>
      </c>
      <c r="T8">
        <f>--($J8=IF('الداشبورد'!$B$8="الكل",$J8,IF('الداشبورد'!$B$8="AL","A","C")))</f>
        <v/>
      </c>
      <c r="U8">
        <f>--($I8=IF('الداشبورد'!$B$9="الكل",$I8,IF('الداشبورد'!$B$9="بدون حالة","P",'الداشبورد'!$B$9)))</f>
        <v/>
      </c>
      <c r="V8">
        <f>--($D8=IF('الداشبورد'!$B$10="الكل",$D8,'الداشبورد'!$B$10))</f>
        <v/>
      </c>
      <c r="W8">
        <f>--($G8=IF('الداشبورد'!$B$11="الكل",$G8,'الداشبورد'!$B$11))</f>
        <v/>
      </c>
      <c r="X8">
        <f>Q8*R8*S8*T8*U8*V8*W8*--($C8&lt;&gt;"")</f>
        <v/>
      </c>
    </row>
    <row r="9">
      <c r="A9" s="15" t="n">
        <v>1</v>
      </c>
      <c r="B9" s="15" t="inlineStr">
        <is>
          <t>N182978</t>
        </is>
      </c>
      <c r="C9" s="15" t="inlineStr">
        <is>
          <t>1672/26/01</t>
        </is>
      </c>
      <c r="D9" s="15" t="inlineStr">
        <is>
          <t>Sadacavi</t>
        </is>
      </c>
      <c r="E9" s="15" t="inlineStr">
        <is>
          <t>LV</t>
        </is>
      </c>
      <c r="F9" s="15" t="inlineStr">
        <is>
          <t>1.8/3 KV 1X240</t>
        </is>
      </c>
      <c r="G9" s="15" t="inlineStr">
        <is>
          <t>EX08</t>
        </is>
      </c>
      <c r="H9" s="15" t="inlineStr">
        <is>
          <t>Wooden Drums</t>
        </is>
      </c>
      <c r="I9" s="15" t="inlineStr">
        <is>
          <t>OK</t>
        </is>
      </c>
      <c r="J9" s="15" t="inlineStr">
        <is>
          <t>A</t>
        </is>
      </c>
      <c r="K9" s="15" t="inlineStr">
        <is>
          <t>Y</t>
        </is>
      </c>
      <c r="L9" s="15" t="n">
        <v>2000</v>
      </c>
      <c r="M9" s="16" t="n">
        <v>1.252</v>
      </c>
      <c r="N9" s="16" t="n">
        <v>0</v>
      </c>
      <c r="O9" s="16" t="n">
        <v>0</v>
      </c>
      <c r="P9" s="16" t="n">
        <v>1.252</v>
      </c>
      <c r="Q9">
        <f>--($A9=IF('الداشبورد'!$B$5="الكل",$A9,'الداشبورد'!$B$5))</f>
        <v/>
      </c>
      <c r="R9">
        <f>--($E9=IF('الداشبورد'!$B$6="الكل",$E9,'الداشبورد'!$B$6))</f>
        <v/>
      </c>
      <c r="S9">
        <f>--($K9=IF('الداشبورد'!$B$7="الكل",$K9,IF('الداشبورد'!$B$7="تصدير","Y","N")))</f>
        <v/>
      </c>
      <c r="T9">
        <f>--($J9=IF('الداشبورد'!$B$8="الكل",$J9,IF('الداشبورد'!$B$8="AL","A","C")))</f>
        <v/>
      </c>
      <c r="U9">
        <f>--($I9=IF('الداشبورد'!$B$9="الكل",$I9,IF('الداشبورد'!$B$9="بدون حالة","P",'الداشبورد'!$B$9)))</f>
        <v/>
      </c>
      <c r="V9">
        <f>--($D9=IF('الداشبورد'!$B$10="الكل",$D9,'الداشبورد'!$B$10))</f>
        <v/>
      </c>
      <c r="W9">
        <f>--($G9=IF('الداشبورد'!$B$11="الكل",$G9,'الداشبورد'!$B$11))</f>
        <v/>
      </c>
      <c r="X9">
        <f>Q9*R9*S9*T9*U9*V9*W9*--($C9&lt;&gt;"")</f>
        <v/>
      </c>
    </row>
    <row r="10">
      <c r="A10" s="15" t="n">
        <v>1</v>
      </c>
      <c r="B10" s="15" t="inlineStr">
        <is>
          <t>N184216</t>
        </is>
      </c>
      <c r="C10" s="15" t="inlineStr">
        <is>
          <t>1672/26/01</t>
        </is>
      </c>
      <c r="D10" s="15" t="inlineStr">
        <is>
          <t>Sadacavi</t>
        </is>
      </c>
      <c r="E10" s="15" t="inlineStr">
        <is>
          <t>LV</t>
        </is>
      </c>
      <c r="F10" s="15" t="inlineStr">
        <is>
          <t>1.8/3 KV 1X240</t>
        </is>
      </c>
      <c r="G10" s="15" t="inlineStr">
        <is>
          <t>EX08</t>
        </is>
      </c>
      <c r="H10" s="15" t="inlineStr">
        <is>
          <t>Wooden Drums</t>
        </is>
      </c>
      <c r="I10" s="15" t="inlineStr">
        <is>
          <t>OK</t>
        </is>
      </c>
      <c r="J10" s="15" t="inlineStr">
        <is>
          <t>A</t>
        </is>
      </c>
      <c r="K10" s="15" t="inlineStr">
        <is>
          <t>Y</t>
        </is>
      </c>
      <c r="L10" s="15" t="n">
        <v>2000</v>
      </c>
      <c r="M10" s="16" t="n">
        <v>1.252</v>
      </c>
      <c r="N10" s="16" t="n">
        <v>0</v>
      </c>
      <c r="O10" s="16" t="n">
        <v>0</v>
      </c>
      <c r="P10" s="16" t="n">
        <v>1.252</v>
      </c>
      <c r="Q10">
        <f>--($A10=IF('الداشبورد'!$B$5="الكل",$A10,'الداشبورد'!$B$5))</f>
        <v/>
      </c>
      <c r="R10">
        <f>--($E10=IF('الداشبورد'!$B$6="الكل",$E10,'الداشبورد'!$B$6))</f>
        <v/>
      </c>
      <c r="S10">
        <f>--($K10=IF('الداشبورد'!$B$7="الكل",$K10,IF('الداشبورد'!$B$7="تصدير","Y","N")))</f>
        <v/>
      </c>
      <c r="T10">
        <f>--($J10=IF('الداشبورد'!$B$8="الكل",$J10,IF('الداشبورد'!$B$8="AL","A","C")))</f>
        <v/>
      </c>
      <c r="U10">
        <f>--($I10=IF('الداشبورد'!$B$9="الكل",$I10,IF('الداشبورد'!$B$9="بدون حالة","P",'الداشبورد'!$B$9)))</f>
        <v/>
      </c>
      <c r="V10">
        <f>--($D10=IF('الداشبورد'!$B$10="الكل",$D10,'الداشبورد'!$B$10))</f>
        <v/>
      </c>
      <c r="W10">
        <f>--($G10=IF('الداشبورد'!$B$11="الكل",$G10,'الداشبورد'!$B$11))</f>
        <v/>
      </c>
      <c r="X10">
        <f>Q10*R10*S10*T10*U10*V10*W10*--($C10&lt;&gt;"")</f>
        <v/>
      </c>
    </row>
    <row r="11">
      <c r="A11" s="15" t="n">
        <v>1</v>
      </c>
      <c r="B11" s="15" t="inlineStr">
        <is>
          <t>N184213</t>
        </is>
      </c>
      <c r="C11" s="15" t="inlineStr">
        <is>
          <t>1672/26/01</t>
        </is>
      </c>
      <c r="D11" s="15" t="inlineStr">
        <is>
          <t>Sadacavi</t>
        </is>
      </c>
      <c r="E11" s="15" t="inlineStr">
        <is>
          <t>LV</t>
        </is>
      </c>
      <c r="F11" s="15" t="inlineStr">
        <is>
          <t>1.8/3 KV 1X240</t>
        </is>
      </c>
      <c r="G11" s="15" t="inlineStr">
        <is>
          <t>EX08</t>
        </is>
      </c>
      <c r="H11" s="15" t="inlineStr">
        <is>
          <t>Wooden Drums</t>
        </is>
      </c>
      <c r="I11" s="15" t="inlineStr">
        <is>
          <t>OK</t>
        </is>
      </c>
      <c r="J11" s="15" t="inlineStr">
        <is>
          <t>A</t>
        </is>
      </c>
      <c r="K11" s="15" t="inlineStr">
        <is>
          <t>Y</t>
        </is>
      </c>
      <c r="L11" s="15" t="n">
        <v>2040</v>
      </c>
      <c r="M11" s="16" t="n">
        <v>1.27704</v>
      </c>
      <c r="N11" s="16" t="n">
        <v>0</v>
      </c>
      <c r="O11" s="16" t="n">
        <v>0</v>
      </c>
      <c r="P11" s="16" t="n">
        <v>1.27704</v>
      </c>
      <c r="Q11">
        <f>--($A11=IF('الداشبورد'!$B$5="الكل",$A11,'الداشبورد'!$B$5))</f>
        <v/>
      </c>
      <c r="R11">
        <f>--($E11=IF('الداشبورد'!$B$6="الكل",$E11,'الداشبورد'!$B$6))</f>
        <v/>
      </c>
      <c r="S11">
        <f>--($K11=IF('الداشبورد'!$B$7="الكل",$K11,IF('الداشبورد'!$B$7="تصدير","Y","N")))</f>
        <v/>
      </c>
      <c r="T11">
        <f>--($J11=IF('الداشبورد'!$B$8="الكل",$J11,IF('الداشبورد'!$B$8="AL","A","C")))</f>
        <v/>
      </c>
      <c r="U11">
        <f>--($I11=IF('الداشبورد'!$B$9="الكل",$I11,IF('الداشبورد'!$B$9="بدون حالة","P",'الداشبورد'!$B$9)))</f>
        <v/>
      </c>
      <c r="V11">
        <f>--($D11=IF('الداشبورد'!$B$10="الكل",$D11,'الداشبورد'!$B$10))</f>
        <v/>
      </c>
      <c r="W11">
        <f>--($G11=IF('الداشبورد'!$B$11="الكل",$G11,'الداشبورد'!$B$11))</f>
        <v/>
      </c>
      <c r="X11">
        <f>Q11*R11*S11*T11*U11*V11*W11*--($C11&lt;&gt;"")</f>
        <v/>
      </c>
    </row>
    <row r="12">
      <c r="A12" s="15" t="n">
        <v>1</v>
      </c>
      <c r="B12" s="15" t="inlineStr">
        <is>
          <t>N184214</t>
        </is>
      </c>
      <c r="C12" s="15" t="inlineStr">
        <is>
          <t>1672/26/01</t>
        </is>
      </c>
      <c r="D12" s="15" t="inlineStr">
        <is>
          <t>Sadacavi</t>
        </is>
      </c>
      <c r="E12" s="15" t="inlineStr">
        <is>
          <t>LV</t>
        </is>
      </c>
      <c r="F12" s="15" t="inlineStr">
        <is>
          <t>1.8/3 KV 1X240</t>
        </is>
      </c>
      <c r="G12" s="15" t="inlineStr">
        <is>
          <t>EX08</t>
        </is>
      </c>
      <c r="H12" s="15" t="inlineStr">
        <is>
          <t>Wooden Drums</t>
        </is>
      </c>
      <c r="I12" s="15" t="inlineStr">
        <is>
          <t>OK</t>
        </is>
      </c>
      <c r="J12" s="15" t="inlineStr">
        <is>
          <t>A</t>
        </is>
      </c>
      <c r="K12" s="15" t="inlineStr">
        <is>
          <t>Y</t>
        </is>
      </c>
      <c r="L12" s="15" t="n">
        <v>2050</v>
      </c>
      <c r="M12" s="16" t="n">
        <v>1.2833</v>
      </c>
      <c r="N12" s="16" t="n">
        <v>0</v>
      </c>
      <c r="O12" s="16" t="n">
        <v>0</v>
      </c>
      <c r="P12" s="16" t="n">
        <v>1.2833</v>
      </c>
      <c r="Q12">
        <f>--($A12=IF('الداشبورد'!$B$5="الكل",$A12,'الداشبورد'!$B$5))</f>
        <v/>
      </c>
      <c r="R12">
        <f>--($E12=IF('الداشبورد'!$B$6="الكل",$E12,'الداشبورد'!$B$6))</f>
        <v/>
      </c>
      <c r="S12">
        <f>--($K12=IF('الداشبورد'!$B$7="الكل",$K12,IF('الداشبورد'!$B$7="تصدير","Y","N")))</f>
        <v/>
      </c>
      <c r="T12">
        <f>--($J12=IF('الداشبورد'!$B$8="الكل",$J12,IF('الداشبورد'!$B$8="AL","A","C")))</f>
        <v/>
      </c>
      <c r="U12">
        <f>--($I12=IF('الداشبورد'!$B$9="الكل",$I12,IF('الداشبورد'!$B$9="بدون حالة","P",'الداشبورد'!$B$9)))</f>
        <v/>
      </c>
      <c r="V12">
        <f>--($D12=IF('الداشبورد'!$B$10="الكل",$D12,'الداشبورد'!$B$10))</f>
        <v/>
      </c>
      <c r="W12">
        <f>--($G12=IF('الداشبورد'!$B$11="الكل",$G12,'الداشبورد'!$B$11))</f>
        <v/>
      </c>
      <c r="X12">
        <f>Q12*R12*S12*T12*U12*V12*W12*--($C12&lt;&gt;"")</f>
        <v/>
      </c>
    </row>
    <row r="13">
      <c r="A13" s="15" t="n">
        <v>1</v>
      </c>
      <c r="B13" s="15" t="inlineStr">
        <is>
          <t>N184225</t>
        </is>
      </c>
      <c r="C13" s="15" t="inlineStr">
        <is>
          <t>1672/26/01</t>
        </is>
      </c>
      <c r="D13" s="15" t="inlineStr">
        <is>
          <t>Sadacavi</t>
        </is>
      </c>
      <c r="E13" s="15" t="inlineStr">
        <is>
          <t>LV</t>
        </is>
      </c>
      <c r="F13" s="15" t="inlineStr">
        <is>
          <t>1.8/3 KV 1X240</t>
        </is>
      </c>
      <c r="G13" s="15" t="inlineStr">
        <is>
          <t>EX08</t>
        </is>
      </c>
      <c r="H13" s="15" t="inlineStr">
        <is>
          <t>Wooden Drums</t>
        </is>
      </c>
      <c r="I13" s="15" t="inlineStr">
        <is>
          <t>OK</t>
        </is>
      </c>
      <c r="J13" s="15" t="inlineStr">
        <is>
          <t>A</t>
        </is>
      </c>
      <c r="K13" s="15" t="inlineStr">
        <is>
          <t>Y</t>
        </is>
      </c>
      <c r="L13" s="15" t="n">
        <v>2050</v>
      </c>
      <c r="M13" s="16" t="n">
        <v>1.2833</v>
      </c>
      <c r="N13" s="16" t="n">
        <v>0</v>
      </c>
      <c r="O13" s="16" t="n">
        <v>0</v>
      </c>
      <c r="P13" s="16" t="n">
        <v>1.2833</v>
      </c>
      <c r="Q13">
        <f>--($A13=IF('الداشبورد'!$B$5="الكل",$A13,'الداشبورد'!$B$5))</f>
        <v/>
      </c>
      <c r="R13">
        <f>--($E13=IF('الداشبورد'!$B$6="الكل",$E13,'الداشبورد'!$B$6))</f>
        <v/>
      </c>
      <c r="S13">
        <f>--($K13=IF('الداشبورد'!$B$7="الكل",$K13,IF('الداشبورد'!$B$7="تصدير","Y","N")))</f>
        <v/>
      </c>
      <c r="T13">
        <f>--($J13=IF('الداشبورد'!$B$8="الكل",$J13,IF('الداشبورد'!$B$8="AL","A","C")))</f>
        <v/>
      </c>
      <c r="U13">
        <f>--($I13=IF('الداشبورد'!$B$9="الكل",$I13,IF('الداشبورد'!$B$9="بدون حالة","P",'الداشبورد'!$B$9)))</f>
        <v/>
      </c>
      <c r="V13">
        <f>--($D13=IF('الداشبورد'!$B$10="الكل",$D13,'الداشبورد'!$B$10))</f>
        <v/>
      </c>
      <c r="W13">
        <f>--($G13=IF('الداشبورد'!$B$11="الكل",$G13,'الداشبورد'!$B$11))</f>
        <v/>
      </c>
      <c r="X13">
        <f>Q13*R13*S13*T13*U13*V13*W13*--($C13&lt;&gt;"")</f>
        <v/>
      </c>
    </row>
    <row r="14">
      <c r="A14" s="15" t="n">
        <v>1</v>
      </c>
      <c r="B14" s="15" t="inlineStr">
        <is>
          <t>P184206</t>
        </is>
      </c>
      <c r="C14" s="15" t="inlineStr">
        <is>
          <t>1548/26/01</t>
        </is>
      </c>
      <c r="D14" s="15" t="inlineStr">
        <is>
          <t>SUNCITY ELECTRICAL SALES AND SERVICES LTD. Kenya</t>
        </is>
      </c>
      <c r="E14" s="15" t="inlineStr">
        <is>
          <t>LV</t>
        </is>
      </c>
      <c r="F14" s="15" t="inlineStr">
        <is>
          <t>600/1000 4X70</t>
        </is>
      </c>
      <c r="G14" s="15" t="inlineStr">
        <is>
          <t>EX03</t>
        </is>
      </c>
      <c r="H14" s="15" t="inlineStr">
        <is>
          <t>Wooden Drums</t>
        </is>
      </c>
      <c r="I14" s="15" t="inlineStr">
        <is>
          <t>OK</t>
        </is>
      </c>
      <c r="J14" s="15" t="inlineStr">
        <is>
          <t>A</t>
        </is>
      </c>
      <c r="K14" s="15" t="inlineStr">
        <is>
          <t>Y</t>
        </is>
      </c>
      <c r="L14" s="15" t="n">
        <v>2038</v>
      </c>
      <c r="M14" s="16" t="n">
        <v>1.430676</v>
      </c>
      <c r="N14" s="16" t="n">
        <v>0</v>
      </c>
      <c r="O14" s="16" t="n">
        <v>0</v>
      </c>
      <c r="P14" s="16" t="n">
        <v>1.430676</v>
      </c>
      <c r="Q14">
        <f>--($A14=IF('الداشبورد'!$B$5="الكل",$A14,'الداشبورد'!$B$5))</f>
        <v/>
      </c>
      <c r="R14">
        <f>--($E14=IF('الداشبورد'!$B$6="الكل",$E14,'الداشبورد'!$B$6))</f>
        <v/>
      </c>
      <c r="S14">
        <f>--($K14=IF('الداشبورد'!$B$7="الكل",$K14,IF('الداشبورد'!$B$7="تصدير","Y","N")))</f>
        <v/>
      </c>
      <c r="T14">
        <f>--($J14=IF('الداشبورد'!$B$8="الكل",$J14,IF('الداشبورد'!$B$8="AL","A","C")))</f>
        <v/>
      </c>
      <c r="U14">
        <f>--($I14=IF('الداشبورد'!$B$9="الكل",$I14,IF('الداشبورد'!$B$9="بدون حالة","P",'الداشبورد'!$B$9)))</f>
        <v/>
      </c>
      <c r="V14">
        <f>--($D14=IF('الداشبورد'!$B$10="الكل",$D14,'الداشبورد'!$B$10))</f>
        <v/>
      </c>
      <c r="W14">
        <f>--($G14=IF('الداشبورد'!$B$11="الكل",$G14,'الداشبورد'!$B$11))</f>
        <v/>
      </c>
      <c r="X14">
        <f>Q14*R14*S14*T14*U14*V14*W14*--($C14&lt;&gt;"")</f>
        <v/>
      </c>
    </row>
    <row r="15">
      <c r="A15" s="15" t="n">
        <v>1</v>
      </c>
      <c r="B15" s="15" t="inlineStr">
        <is>
          <t>L182951</t>
        </is>
      </c>
      <c r="C15" s="15" t="inlineStr">
        <is>
          <t>1410/26/02</t>
        </is>
      </c>
      <c r="D15" s="15" t="inlineStr">
        <is>
          <t>Sadacavi</t>
        </is>
      </c>
      <c r="E15" s="15" t="inlineStr">
        <is>
          <t>LV</t>
        </is>
      </c>
      <c r="F15" s="15" t="inlineStr">
        <is>
          <t>0.6/1KV 1*185</t>
        </is>
      </c>
      <c r="G15" s="15" t="inlineStr">
        <is>
          <t>EX01</t>
        </is>
      </c>
      <c r="H15" s="15" t="inlineStr">
        <is>
          <t>Wooden Drums</t>
        </is>
      </c>
      <c r="I15" s="15" t="inlineStr">
        <is>
          <t>OK</t>
        </is>
      </c>
      <c r="J15" s="15" t="inlineStr">
        <is>
          <t>A</t>
        </is>
      </c>
      <c r="K15" s="15" t="inlineStr">
        <is>
          <t>Y</t>
        </is>
      </c>
      <c r="L15" s="15" t="n">
        <v>2050</v>
      </c>
      <c r="M15" s="16" t="n">
        <v>0.9881</v>
      </c>
      <c r="N15" s="16" t="n">
        <v>0</v>
      </c>
      <c r="O15" s="16" t="n">
        <v>0</v>
      </c>
      <c r="P15" s="16" t="n">
        <v>0.9881</v>
      </c>
      <c r="Q15">
        <f>--($A15=IF('الداشبورد'!$B$5="الكل",$A15,'الداشبورد'!$B$5))</f>
        <v/>
      </c>
      <c r="R15">
        <f>--($E15=IF('الداشبورد'!$B$6="الكل",$E15,'الداشبورد'!$B$6))</f>
        <v/>
      </c>
      <c r="S15">
        <f>--($K15=IF('الداشبورد'!$B$7="الكل",$K15,IF('الداشبورد'!$B$7="تصدير","Y","N")))</f>
        <v/>
      </c>
      <c r="T15">
        <f>--($J15=IF('الداشبورد'!$B$8="الكل",$J15,IF('الداشبورد'!$B$8="AL","A","C")))</f>
        <v/>
      </c>
      <c r="U15">
        <f>--($I15=IF('الداشبورد'!$B$9="الكل",$I15,IF('الداشبورد'!$B$9="بدون حالة","P",'الداشبورد'!$B$9)))</f>
        <v/>
      </c>
      <c r="V15">
        <f>--($D15=IF('الداشبورد'!$B$10="الكل",$D15,'الداشبورد'!$B$10))</f>
        <v/>
      </c>
      <c r="W15">
        <f>--($G15=IF('الداشبورد'!$B$11="الكل",$G15,'الداشبورد'!$B$11))</f>
        <v/>
      </c>
      <c r="X15">
        <f>Q15*R15*S15*T15*U15*V15*W15*--($C15&lt;&gt;"")</f>
        <v/>
      </c>
    </row>
    <row r="16">
      <c r="A16" s="15" t="n">
        <v>1</v>
      </c>
      <c r="B16" s="15" t="inlineStr">
        <is>
          <t>L182950</t>
        </is>
      </c>
      <c r="C16" s="15" t="inlineStr">
        <is>
          <t>1410/26/02</t>
        </is>
      </c>
      <c r="D16" s="15" t="inlineStr">
        <is>
          <t>Sadacavi</t>
        </is>
      </c>
      <c r="E16" s="15" t="inlineStr">
        <is>
          <t>LV</t>
        </is>
      </c>
      <c r="F16" s="15" t="inlineStr">
        <is>
          <t>0.6/1KV 1*185</t>
        </is>
      </c>
      <c r="G16" s="15" t="inlineStr">
        <is>
          <t>EX01</t>
        </is>
      </c>
      <c r="H16" s="15" t="inlineStr">
        <is>
          <t>Wooden Drums</t>
        </is>
      </c>
      <c r="I16" s="15" t="inlineStr">
        <is>
          <t>OK</t>
        </is>
      </c>
      <c r="J16" s="15" t="inlineStr">
        <is>
          <t>A</t>
        </is>
      </c>
      <c r="K16" s="15" t="inlineStr">
        <is>
          <t>Y</t>
        </is>
      </c>
      <c r="L16" s="15" t="n">
        <v>2050</v>
      </c>
      <c r="M16" s="16" t="n">
        <v>0.9881</v>
      </c>
      <c r="N16" s="16" t="n">
        <v>0</v>
      </c>
      <c r="O16" s="16" t="n">
        <v>0</v>
      </c>
      <c r="P16" s="16" t="n">
        <v>0.9881</v>
      </c>
      <c r="Q16">
        <f>--($A16=IF('الداشبورد'!$B$5="الكل",$A16,'الداشبورد'!$B$5))</f>
        <v/>
      </c>
      <c r="R16">
        <f>--($E16=IF('الداشبورد'!$B$6="الكل",$E16,'الداشبورد'!$B$6))</f>
        <v/>
      </c>
      <c r="S16">
        <f>--($K16=IF('الداشبورد'!$B$7="الكل",$K16,IF('الداشبورد'!$B$7="تصدير","Y","N")))</f>
        <v/>
      </c>
      <c r="T16">
        <f>--($J16=IF('الداشبورد'!$B$8="الكل",$J16,IF('الداشبورد'!$B$8="AL","A","C")))</f>
        <v/>
      </c>
      <c r="U16">
        <f>--($I16=IF('الداشبورد'!$B$9="الكل",$I16,IF('الداشبورد'!$B$9="بدون حالة","P",'الداشبورد'!$B$9)))</f>
        <v/>
      </c>
      <c r="V16">
        <f>--($D16=IF('الداشبورد'!$B$10="الكل",$D16,'الداشبورد'!$B$10))</f>
        <v/>
      </c>
      <c r="W16">
        <f>--($G16=IF('الداشبورد'!$B$11="الكل",$G16,'الداشبورد'!$B$11))</f>
        <v/>
      </c>
      <c r="X16">
        <f>Q16*R16*S16*T16*U16*V16*W16*--($C16&lt;&gt;"")</f>
        <v/>
      </c>
    </row>
    <row r="17">
      <c r="A17" s="15" t="n">
        <v>1</v>
      </c>
      <c r="B17" s="15" t="inlineStr">
        <is>
          <t>L182952</t>
        </is>
      </c>
      <c r="C17" s="15" t="inlineStr">
        <is>
          <t>1410/26/02</t>
        </is>
      </c>
      <c r="D17" s="15" t="inlineStr">
        <is>
          <t>Sadacavi</t>
        </is>
      </c>
      <c r="E17" s="15" t="inlineStr">
        <is>
          <t>LV</t>
        </is>
      </c>
      <c r="F17" s="15" t="inlineStr">
        <is>
          <t>0.6/1KV 1*185</t>
        </is>
      </c>
      <c r="G17" s="15" t="inlineStr">
        <is>
          <t>EX01</t>
        </is>
      </c>
      <c r="H17" s="15" t="inlineStr">
        <is>
          <t>Wooden Drums</t>
        </is>
      </c>
      <c r="I17" s="15" t="inlineStr">
        <is>
          <t>OK</t>
        </is>
      </c>
      <c r="J17" s="15" t="inlineStr">
        <is>
          <t>A</t>
        </is>
      </c>
      <c r="K17" s="15" t="inlineStr">
        <is>
          <t>Y</t>
        </is>
      </c>
      <c r="L17" s="15" t="n">
        <v>2100</v>
      </c>
      <c r="M17" s="16" t="n">
        <v>1.0122</v>
      </c>
      <c r="N17" s="16" t="n">
        <v>0</v>
      </c>
      <c r="O17" s="16" t="n">
        <v>0</v>
      </c>
      <c r="P17" s="16" t="n">
        <v>1.0122</v>
      </c>
      <c r="Q17">
        <f>--($A17=IF('الداشبورد'!$B$5="الكل",$A17,'الداشبورد'!$B$5))</f>
        <v/>
      </c>
      <c r="R17">
        <f>--($E17=IF('الداشبورد'!$B$6="الكل",$E17,'الداشبورد'!$B$6))</f>
        <v/>
      </c>
      <c r="S17">
        <f>--($K17=IF('الداشبورد'!$B$7="الكل",$K17,IF('الداشبورد'!$B$7="تصدير","Y","N")))</f>
        <v/>
      </c>
      <c r="T17">
        <f>--($J17=IF('الداشبورد'!$B$8="الكل",$J17,IF('الداشبورد'!$B$8="AL","A","C")))</f>
        <v/>
      </c>
      <c r="U17">
        <f>--($I17=IF('الداشبورد'!$B$9="الكل",$I17,IF('الداشبورد'!$B$9="بدون حالة","P",'الداشبورد'!$B$9)))</f>
        <v/>
      </c>
      <c r="V17">
        <f>--($D17=IF('الداشبورد'!$B$10="الكل",$D17,'الداشبورد'!$B$10))</f>
        <v/>
      </c>
      <c r="W17">
        <f>--($G17=IF('الداشبورد'!$B$11="الكل",$G17,'الداشبورد'!$B$11))</f>
        <v/>
      </c>
      <c r="X17">
        <f>Q17*R17*S17*T17*U17*V17*W17*--($C17&lt;&gt;"")</f>
        <v/>
      </c>
    </row>
    <row r="18">
      <c r="A18" s="15" t="n">
        <v>1</v>
      </c>
      <c r="B18" s="15" t="inlineStr">
        <is>
          <t>K184166</t>
        </is>
      </c>
      <c r="C18" s="15" t="inlineStr">
        <is>
          <t>1595/26/05</t>
        </is>
      </c>
      <c r="D18" s="15" t="inlineStr">
        <is>
          <t>Helukabel Germany</t>
        </is>
      </c>
      <c r="E18" s="15" t="inlineStr">
        <is>
          <t>LV</t>
        </is>
      </c>
      <c r="F18" s="15" t="inlineStr">
        <is>
          <t>0.6/1 KV 1X240</t>
        </is>
      </c>
      <c r="G18" s="15" t="inlineStr">
        <is>
          <t>EX13</t>
        </is>
      </c>
      <c r="H18" s="15" t="inlineStr">
        <is>
          <t>Wooden Drums</t>
        </is>
      </c>
      <c r="I18" s="15" t="inlineStr">
        <is>
          <t>OK</t>
        </is>
      </c>
      <c r="J18" s="15" t="inlineStr">
        <is>
          <t>A</t>
        </is>
      </c>
      <c r="K18" s="15" t="inlineStr">
        <is>
          <t>Y</t>
        </is>
      </c>
      <c r="L18" s="15" t="n">
        <v>2050</v>
      </c>
      <c r="M18" s="16" t="n">
        <v>1.2833</v>
      </c>
      <c r="N18" s="16" t="n">
        <v>0</v>
      </c>
      <c r="O18" s="16" t="n">
        <v>0</v>
      </c>
      <c r="P18" s="16" t="n">
        <v>1.2833</v>
      </c>
      <c r="Q18">
        <f>--($A18=IF('الداشبورد'!$B$5="الكل",$A18,'الداشبورد'!$B$5))</f>
        <v/>
      </c>
      <c r="R18">
        <f>--($E18=IF('الداشبورد'!$B$6="الكل",$E18,'الداشبورد'!$B$6))</f>
        <v/>
      </c>
      <c r="S18">
        <f>--($K18=IF('الداشبورد'!$B$7="الكل",$K18,IF('الداشبورد'!$B$7="تصدير","Y","N")))</f>
        <v/>
      </c>
      <c r="T18">
        <f>--($J18=IF('الداشبورد'!$B$8="الكل",$J18,IF('الداشبورد'!$B$8="AL","A","C")))</f>
        <v/>
      </c>
      <c r="U18">
        <f>--($I18=IF('الداشبورد'!$B$9="الكل",$I18,IF('الداشبورد'!$B$9="بدون حالة","P",'الداشبورد'!$B$9)))</f>
        <v/>
      </c>
      <c r="V18">
        <f>--($D18=IF('الداشبورد'!$B$10="الكل",$D18,'الداشبورد'!$B$10))</f>
        <v/>
      </c>
      <c r="W18">
        <f>--($G18=IF('الداشبورد'!$B$11="الكل",$G18,'الداشبورد'!$B$11))</f>
        <v/>
      </c>
      <c r="X18">
        <f>Q18*R18*S18*T18*U18*V18*W18*--($C18&lt;&gt;"")</f>
        <v/>
      </c>
    </row>
    <row r="19">
      <c r="A19" s="15" t="n">
        <v>1</v>
      </c>
      <c r="B19" s="15" t="inlineStr">
        <is>
          <t>K184165</t>
        </is>
      </c>
      <c r="C19" s="15" t="inlineStr">
        <is>
          <t>1595/26/05</t>
        </is>
      </c>
      <c r="D19" s="15" t="inlineStr">
        <is>
          <t>Helukabel Germany</t>
        </is>
      </c>
      <c r="E19" s="15" t="inlineStr">
        <is>
          <t>LV</t>
        </is>
      </c>
      <c r="F19" s="15" t="inlineStr">
        <is>
          <t>0.6/1 KV 1X240</t>
        </is>
      </c>
      <c r="G19" s="15" t="inlineStr">
        <is>
          <t>EX13</t>
        </is>
      </c>
      <c r="H19" s="15" t="inlineStr">
        <is>
          <t>Wooden Drums</t>
        </is>
      </c>
      <c r="I19" s="15" t="inlineStr">
        <is>
          <t>OK</t>
        </is>
      </c>
      <c r="J19" s="15" t="inlineStr">
        <is>
          <t>A</t>
        </is>
      </c>
      <c r="K19" s="15" t="inlineStr">
        <is>
          <t>Y</t>
        </is>
      </c>
      <c r="L19" s="15" t="n">
        <v>2055</v>
      </c>
      <c r="M19" s="16" t="n">
        <v>1.28643</v>
      </c>
      <c r="N19" s="16" t="n">
        <v>0</v>
      </c>
      <c r="O19" s="16" t="n">
        <v>0</v>
      </c>
      <c r="P19" s="16" t="n">
        <v>1.28643</v>
      </c>
      <c r="Q19">
        <f>--($A19=IF('الداشبورد'!$B$5="الكل",$A19,'الداشبورد'!$B$5))</f>
        <v/>
      </c>
      <c r="R19">
        <f>--($E19=IF('الداشبورد'!$B$6="الكل",$E19,'الداشبورد'!$B$6))</f>
        <v/>
      </c>
      <c r="S19">
        <f>--($K19=IF('الداشبورد'!$B$7="الكل",$K19,IF('الداشبورد'!$B$7="تصدير","Y","N")))</f>
        <v/>
      </c>
      <c r="T19">
        <f>--($J19=IF('الداشبورد'!$B$8="الكل",$J19,IF('الداشبورد'!$B$8="AL","A","C")))</f>
        <v/>
      </c>
      <c r="U19">
        <f>--($I19=IF('الداشبورد'!$B$9="الكل",$I19,IF('الداشبورد'!$B$9="بدون حالة","P",'الداشبورد'!$B$9)))</f>
        <v/>
      </c>
      <c r="V19">
        <f>--($D19=IF('الداشبورد'!$B$10="الكل",$D19,'الداشبورد'!$B$10))</f>
        <v/>
      </c>
      <c r="W19">
        <f>--($G19=IF('الداشبورد'!$B$11="الكل",$G19,'الداشبورد'!$B$11))</f>
        <v/>
      </c>
      <c r="X19">
        <f>Q19*R19*S19*T19*U19*V19*W19*--($C19&lt;&gt;"")</f>
        <v/>
      </c>
    </row>
    <row r="20">
      <c r="A20" s="15" t="n">
        <v>1</v>
      </c>
      <c r="B20" s="15" t="inlineStr">
        <is>
          <t>K184170</t>
        </is>
      </c>
      <c r="C20" s="15" t="inlineStr">
        <is>
          <t>1595/26/05</t>
        </is>
      </c>
      <c r="D20" s="15" t="inlineStr">
        <is>
          <t>Helukabel Germany</t>
        </is>
      </c>
      <c r="E20" s="15" t="inlineStr">
        <is>
          <t>LV</t>
        </is>
      </c>
      <c r="F20" s="15" t="inlineStr">
        <is>
          <t>0.6/1 KV 1X240</t>
        </is>
      </c>
      <c r="G20" s="15" t="inlineStr">
        <is>
          <t>EX13</t>
        </is>
      </c>
      <c r="H20" s="15" t="inlineStr">
        <is>
          <t>Wooden Drums</t>
        </is>
      </c>
      <c r="I20" s="15" t="inlineStr">
        <is>
          <t>OK</t>
        </is>
      </c>
      <c r="J20" s="15" t="inlineStr">
        <is>
          <t>A</t>
        </is>
      </c>
      <c r="K20" s="15" t="inlineStr">
        <is>
          <t>Y</t>
        </is>
      </c>
      <c r="L20" s="15" t="n">
        <v>1976</v>
      </c>
      <c r="M20" s="16" t="n">
        <v>1.236976</v>
      </c>
      <c r="N20" s="16" t="n">
        <v>0</v>
      </c>
      <c r="O20" s="16" t="n">
        <v>0</v>
      </c>
      <c r="P20" s="16" t="n">
        <v>1.236976</v>
      </c>
      <c r="Q20">
        <f>--($A20=IF('الداشبورد'!$B$5="الكل",$A20,'الداشبورد'!$B$5))</f>
        <v/>
      </c>
      <c r="R20">
        <f>--($E20=IF('الداشبورد'!$B$6="الكل",$E20,'الداشبورد'!$B$6))</f>
        <v/>
      </c>
      <c r="S20">
        <f>--($K20=IF('الداشبورد'!$B$7="الكل",$K20,IF('الداشبورد'!$B$7="تصدير","Y","N")))</f>
        <v/>
      </c>
      <c r="T20">
        <f>--($J20=IF('الداشبورد'!$B$8="الكل",$J20,IF('الداشبورد'!$B$8="AL","A","C")))</f>
        <v/>
      </c>
      <c r="U20">
        <f>--($I20=IF('الداشبورد'!$B$9="الكل",$I20,IF('الداشبورد'!$B$9="بدون حالة","P",'الداشبورد'!$B$9)))</f>
        <v/>
      </c>
      <c r="V20">
        <f>--($D20=IF('الداشبورد'!$B$10="الكل",$D20,'الداشبورد'!$B$10))</f>
        <v/>
      </c>
      <c r="W20">
        <f>--($G20=IF('الداشبورد'!$B$11="الكل",$G20,'الداشبورد'!$B$11))</f>
        <v/>
      </c>
      <c r="X20">
        <f>Q20*R20*S20*T20*U20*V20*W20*--($C20&lt;&gt;"")</f>
        <v/>
      </c>
    </row>
    <row r="21">
      <c r="A21" s="15" t="n">
        <v>1</v>
      </c>
      <c r="B21" s="15" t="inlineStr">
        <is>
          <t>O184218</t>
        </is>
      </c>
      <c r="C21" s="15" t="inlineStr">
        <is>
          <t>1644/26/05</t>
        </is>
      </c>
      <c r="D21" s="15" t="inlineStr">
        <is>
          <t>VLG Hungary</t>
        </is>
      </c>
      <c r="E21" s="15" t="inlineStr">
        <is>
          <t>LV</t>
        </is>
      </c>
      <c r="F21" s="15" t="inlineStr">
        <is>
          <t>0.6/1 KV 1X240</t>
        </is>
      </c>
      <c r="G21" s="15" t="inlineStr">
        <is>
          <t>EX13</t>
        </is>
      </c>
      <c r="H21" s="15" t="inlineStr">
        <is>
          <t>Wooden Drums</t>
        </is>
      </c>
      <c r="I21" s="15" t="inlineStr">
        <is>
          <t>OK</t>
        </is>
      </c>
      <c r="J21" s="15" t="inlineStr">
        <is>
          <t>A</t>
        </is>
      </c>
      <c r="K21" s="15" t="inlineStr">
        <is>
          <t>Y</t>
        </is>
      </c>
      <c r="L21" s="15" t="n">
        <v>2050</v>
      </c>
      <c r="M21" s="16" t="n">
        <v>1.2833</v>
      </c>
      <c r="N21" s="16" t="n">
        <v>0</v>
      </c>
      <c r="O21" s="16" t="n">
        <v>0</v>
      </c>
      <c r="P21" s="16" t="n">
        <v>1.2833</v>
      </c>
      <c r="Q21">
        <f>--($A21=IF('الداشبورد'!$B$5="الكل",$A21,'الداشبورد'!$B$5))</f>
        <v/>
      </c>
      <c r="R21">
        <f>--($E21=IF('الداشبورد'!$B$6="الكل",$E21,'الداشبورد'!$B$6))</f>
        <v/>
      </c>
      <c r="S21">
        <f>--($K21=IF('الداشبورد'!$B$7="الكل",$K21,IF('الداشبورد'!$B$7="تصدير","Y","N")))</f>
        <v/>
      </c>
      <c r="T21">
        <f>--($J21=IF('الداشبورد'!$B$8="الكل",$J21,IF('الداشبورد'!$B$8="AL","A","C")))</f>
        <v/>
      </c>
      <c r="U21">
        <f>--($I21=IF('الداشبورد'!$B$9="الكل",$I21,IF('الداشبورد'!$B$9="بدون حالة","P",'الداشبورد'!$B$9)))</f>
        <v/>
      </c>
      <c r="V21">
        <f>--($D21=IF('الداشبورد'!$B$10="الكل",$D21,'الداشبورد'!$B$10))</f>
        <v/>
      </c>
      <c r="W21">
        <f>--($G21=IF('الداشبورد'!$B$11="الكل",$G21,'الداشبورد'!$B$11))</f>
        <v/>
      </c>
      <c r="X21">
        <f>Q21*R21*S21*T21*U21*V21*W21*--($C21&lt;&gt;"")</f>
        <v/>
      </c>
    </row>
    <row r="22">
      <c r="A22" s="15" t="n">
        <v>1</v>
      </c>
      <c r="B22" s="15" t="inlineStr">
        <is>
          <t>O184217</t>
        </is>
      </c>
      <c r="C22" s="15" t="inlineStr">
        <is>
          <t>1644/26/05</t>
        </is>
      </c>
      <c r="D22" s="15" t="inlineStr">
        <is>
          <t>VLG Hungary</t>
        </is>
      </c>
      <c r="E22" s="15" t="inlineStr">
        <is>
          <t>LV</t>
        </is>
      </c>
      <c r="F22" s="15" t="inlineStr">
        <is>
          <t>0.6/1 KV 1X240</t>
        </is>
      </c>
      <c r="G22" s="15" t="inlineStr">
        <is>
          <t>EX13</t>
        </is>
      </c>
      <c r="H22" s="15" t="inlineStr">
        <is>
          <t>Wooden Drums</t>
        </is>
      </c>
      <c r="I22" s="15" t="inlineStr">
        <is>
          <t>OK</t>
        </is>
      </c>
      <c r="J22" s="15" t="inlineStr">
        <is>
          <t>A</t>
        </is>
      </c>
      <c r="K22" s="15" t="inlineStr">
        <is>
          <t>Y</t>
        </is>
      </c>
      <c r="L22" s="15" t="n">
        <v>2065</v>
      </c>
      <c r="M22" s="16" t="n">
        <v>1.29269</v>
      </c>
      <c r="N22" s="16" t="n">
        <v>0</v>
      </c>
      <c r="O22" s="16" t="n">
        <v>0</v>
      </c>
      <c r="P22" s="16" t="n">
        <v>1.29269</v>
      </c>
      <c r="Q22">
        <f>--($A22=IF('الداشبورد'!$B$5="الكل",$A22,'الداشبورد'!$B$5))</f>
        <v/>
      </c>
      <c r="R22">
        <f>--($E22=IF('الداشبورد'!$B$6="الكل",$E22,'الداشبورد'!$B$6))</f>
        <v/>
      </c>
      <c r="S22">
        <f>--($K22=IF('الداشبورد'!$B$7="الكل",$K22,IF('الداشبورد'!$B$7="تصدير","Y","N")))</f>
        <v/>
      </c>
      <c r="T22">
        <f>--($J22=IF('الداشبورد'!$B$8="الكل",$J22,IF('الداشبورد'!$B$8="AL","A","C")))</f>
        <v/>
      </c>
      <c r="U22">
        <f>--($I22=IF('الداشبورد'!$B$9="الكل",$I22,IF('الداشبورد'!$B$9="بدون حالة","P",'الداشبورد'!$B$9)))</f>
        <v/>
      </c>
      <c r="V22">
        <f>--($D22=IF('الداشبورد'!$B$10="الكل",$D22,'الداشبورد'!$B$10))</f>
        <v/>
      </c>
      <c r="W22">
        <f>--($G22=IF('الداشبورد'!$B$11="الكل",$G22,'الداشبورد'!$B$11))</f>
        <v/>
      </c>
      <c r="X22">
        <f>Q22*R22*S22*T22*U22*V22*W22*--($C22&lt;&gt;"")</f>
        <v/>
      </c>
    </row>
    <row r="23">
      <c r="A23" s="15" t="n">
        <v>1</v>
      </c>
      <c r="B23" s="15" t="inlineStr">
        <is>
          <t>H183939</t>
        </is>
      </c>
      <c r="C23" s="15" t="inlineStr">
        <is>
          <t>1595/26/06</t>
        </is>
      </c>
      <c r="D23" s="15" t="inlineStr">
        <is>
          <t>Helukabel Germany</t>
        </is>
      </c>
      <c r="E23" s="15" t="inlineStr">
        <is>
          <t>LV</t>
        </is>
      </c>
      <c r="F23" s="15" t="inlineStr">
        <is>
          <t>0.6/1 KV 1X300</t>
        </is>
      </c>
      <c r="G23" s="15" t="inlineStr">
        <is>
          <t>EX13</t>
        </is>
      </c>
      <c r="H23" s="15" t="inlineStr">
        <is>
          <t>Wooden Drums</t>
        </is>
      </c>
      <c r="I23" s="15" t="inlineStr">
        <is>
          <t>OK</t>
        </is>
      </c>
      <c r="J23" s="15" t="inlineStr">
        <is>
          <t>A</t>
        </is>
      </c>
      <c r="K23" s="15" t="inlineStr">
        <is>
          <t>Y</t>
        </is>
      </c>
      <c r="L23" s="15" t="n">
        <v>472</v>
      </c>
      <c r="M23" s="16" t="n">
        <v>0.372408</v>
      </c>
      <c r="N23" s="16" t="n">
        <v>0</v>
      </c>
      <c r="O23" s="16" t="n">
        <v>0</v>
      </c>
      <c r="P23" s="16" t="n">
        <v>0.372408</v>
      </c>
      <c r="Q23">
        <f>--($A23=IF('الداشبورد'!$B$5="الكل",$A23,'الداشبورد'!$B$5))</f>
        <v/>
      </c>
      <c r="R23">
        <f>--($E23=IF('الداشبورد'!$B$6="الكل",$E23,'الداشبورد'!$B$6))</f>
        <v/>
      </c>
      <c r="S23">
        <f>--($K23=IF('الداشبورد'!$B$7="الكل",$K23,IF('الداشبورد'!$B$7="تصدير","Y","N")))</f>
        <v/>
      </c>
      <c r="T23">
        <f>--($J23=IF('الداشبورد'!$B$8="الكل",$J23,IF('الداشبورد'!$B$8="AL","A","C")))</f>
        <v/>
      </c>
      <c r="U23">
        <f>--($I23=IF('الداشبورد'!$B$9="الكل",$I23,IF('الداشبورد'!$B$9="بدون حالة","P",'الداشبورد'!$B$9)))</f>
        <v/>
      </c>
      <c r="V23">
        <f>--($D23=IF('الداشبورد'!$B$10="الكل",$D23,'الداشبورد'!$B$10))</f>
        <v/>
      </c>
      <c r="W23">
        <f>--($G23=IF('الداشبورد'!$B$11="الكل",$G23,'الداشبورد'!$B$11))</f>
        <v/>
      </c>
      <c r="X23">
        <f>Q23*R23*S23*T23*U23*V23*W23*--($C23&lt;&gt;"")</f>
        <v/>
      </c>
    </row>
    <row r="24">
      <c r="A24" s="15" t="n">
        <v>1</v>
      </c>
      <c r="B24" s="15" t="inlineStr">
        <is>
          <t>O184234</t>
        </is>
      </c>
      <c r="C24" s="15" t="inlineStr">
        <is>
          <t>1429/26/12</t>
        </is>
      </c>
      <c r="D24" s="15" t="inlineStr">
        <is>
          <t>Faber Kabel</t>
        </is>
      </c>
      <c r="E24" s="15" t="inlineStr">
        <is>
          <t>LV</t>
        </is>
      </c>
      <c r="F24" s="15" t="inlineStr">
        <is>
          <t>0.6/1 KV 1X500</t>
        </is>
      </c>
      <c r="G24" s="15" t="inlineStr">
        <is>
          <t>EX13</t>
        </is>
      </c>
      <c r="H24" s="15" t="inlineStr">
        <is>
          <t>Wooden Drums</t>
        </is>
      </c>
      <c r="I24" s="15" t="inlineStr">
        <is>
          <t>OK</t>
        </is>
      </c>
      <c r="J24" s="15" t="inlineStr">
        <is>
          <t>A</t>
        </is>
      </c>
      <c r="K24" s="15" t="inlineStr">
        <is>
          <t>Y</t>
        </is>
      </c>
      <c r="L24" s="15" t="n">
        <v>2035</v>
      </c>
      <c r="M24" s="16" t="n">
        <v>2.635325</v>
      </c>
      <c r="N24" s="16" t="n">
        <v>0</v>
      </c>
      <c r="O24" s="16" t="n">
        <v>0</v>
      </c>
      <c r="P24" s="16" t="n">
        <v>2.635325</v>
      </c>
      <c r="Q24">
        <f>--($A24=IF('الداشبورد'!$B$5="الكل",$A24,'الداشبورد'!$B$5))</f>
        <v/>
      </c>
      <c r="R24">
        <f>--($E24=IF('الداشبورد'!$B$6="الكل",$E24,'الداشبورد'!$B$6))</f>
        <v/>
      </c>
      <c r="S24">
        <f>--($K24=IF('الداشبورد'!$B$7="الكل",$K24,IF('الداشبورد'!$B$7="تصدير","Y","N")))</f>
        <v/>
      </c>
      <c r="T24">
        <f>--($J24=IF('الداشبورد'!$B$8="الكل",$J24,IF('الداشبورد'!$B$8="AL","A","C")))</f>
        <v/>
      </c>
      <c r="U24">
        <f>--($I24=IF('الداشبورد'!$B$9="الكل",$I24,IF('الداشبورد'!$B$9="بدون حالة","P",'الداشبورد'!$B$9)))</f>
        <v/>
      </c>
      <c r="V24">
        <f>--($D24=IF('الداشبورد'!$B$10="الكل",$D24,'الداشبورد'!$B$10))</f>
        <v/>
      </c>
      <c r="W24">
        <f>--($G24=IF('الداشبورد'!$B$11="الكل",$G24,'الداشبورد'!$B$11))</f>
        <v/>
      </c>
      <c r="X24">
        <f>Q24*R24*S24*T24*U24*V24*W24*--($C24&lt;&gt;"")</f>
        <v/>
      </c>
    </row>
    <row r="25">
      <c r="A25" s="15" t="n">
        <v>1</v>
      </c>
      <c r="B25" s="15" t="inlineStr">
        <is>
          <t>O184235</t>
        </is>
      </c>
      <c r="C25" s="15" t="inlineStr">
        <is>
          <t>1429/26/12</t>
        </is>
      </c>
      <c r="D25" s="15" t="inlineStr">
        <is>
          <t>Faber Kabel</t>
        </is>
      </c>
      <c r="E25" s="15" t="inlineStr">
        <is>
          <t>LV</t>
        </is>
      </c>
      <c r="F25" s="15" t="inlineStr">
        <is>
          <t>0.6/1 KV 1X500</t>
        </is>
      </c>
      <c r="G25" s="15" t="inlineStr">
        <is>
          <t>EX13</t>
        </is>
      </c>
      <c r="H25" s="15" t="inlineStr">
        <is>
          <t>Wooden Drums</t>
        </is>
      </c>
      <c r="I25" s="15" t="inlineStr">
        <is>
          <t>OK</t>
        </is>
      </c>
      <c r="J25" s="15" t="inlineStr">
        <is>
          <t>A</t>
        </is>
      </c>
      <c r="K25" s="15" t="inlineStr">
        <is>
          <t>Y</t>
        </is>
      </c>
      <c r="L25" s="15" t="n">
        <v>2050</v>
      </c>
      <c r="M25" s="16" t="n">
        <v>2.65475</v>
      </c>
      <c r="N25" s="16" t="n">
        <v>0</v>
      </c>
      <c r="O25" s="16" t="n">
        <v>0</v>
      </c>
      <c r="P25" s="16" t="n">
        <v>2.65475</v>
      </c>
      <c r="Q25">
        <f>--($A25=IF('الداشبورد'!$B$5="الكل",$A25,'الداشبورد'!$B$5))</f>
        <v/>
      </c>
      <c r="R25">
        <f>--($E25=IF('الداشبورد'!$B$6="الكل",$E25,'الداشبورد'!$B$6))</f>
        <v/>
      </c>
      <c r="S25">
        <f>--($K25=IF('الداشبورد'!$B$7="الكل",$K25,IF('الداشبورد'!$B$7="تصدير","Y","N")))</f>
        <v/>
      </c>
      <c r="T25">
        <f>--($J25=IF('الداشبورد'!$B$8="الكل",$J25,IF('الداشبورد'!$B$8="AL","A","C")))</f>
        <v/>
      </c>
      <c r="U25">
        <f>--($I25=IF('الداشبورد'!$B$9="الكل",$I25,IF('الداشبورد'!$B$9="بدون حالة","P",'الداشبورد'!$B$9)))</f>
        <v/>
      </c>
      <c r="V25">
        <f>--($D25=IF('الداشبورد'!$B$10="الكل",$D25,'الداشبورد'!$B$10))</f>
        <v/>
      </c>
      <c r="W25">
        <f>--($G25=IF('الداشبورد'!$B$11="الكل",$G25,'الداشبورد'!$B$11))</f>
        <v/>
      </c>
      <c r="X25">
        <f>Q25*R25*S25*T25*U25*V25*W25*--($C25&lt;&gt;"")</f>
        <v/>
      </c>
    </row>
    <row r="26">
      <c r="A26" s="15" t="n">
        <v>1</v>
      </c>
      <c r="B26" s="15" t="inlineStr">
        <is>
          <t>G183460</t>
        </is>
      </c>
      <c r="C26" s="15" t="inlineStr">
        <is>
          <t>1545/26/07</t>
        </is>
      </c>
      <c r="D26" s="15" t="inlineStr">
        <is>
          <t>VEOLIA</t>
        </is>
      </c>
      <c r="E26" s="15" t="inlineStr">
        <is>
          <t>LV</t>
        </is>
      </c>
      <c r="F26" s="15" t="inlineStr">
        <is>
          <t>0.6/1 KV 4*25</t>
        </is>
      </c>
      <c r="G26" s="15" t="inlineStr">
        <is>
          <t>EX14</t>
        </is>
      </c>
      <c r="H26" s="15" t="inlineStr">
        <is>
          <t>Wooden Drums</t>
        </is>
      </c>
      <c r="I26" s="15" t="inlineStr">
        <is>
          <t>OK</t>
        </is>
      </c>
      <c r="J26" s="15" t="inlineStr">
        <is>
          <t>C</t>
        </is>
      </c>
      <c r="K26" s="15" t="inlineStr">
        <is>
          <t>N</t>
        </is>
      </c>
      <c r="L26" s="15" t="n">
        <v>411</v>
      </c>
      <c r="M26" s="16" t="n">
        <v>0.353049</v>
      </c>
      <c r="N26" s="16" t="n">
        <v>0</v>
      </c>
      <c r="O26" s="16" t="n">
        <v>0</v>
      </c>
      <c r="P26" s="16" t="n">
        <v>0.353049</v>
      </c>
      <c r="Q26">
        <f>--($A26=IF('الداشبورد'!$B$5="الكل",$A26,'الداشبورد'!$B$5))</f>
        <v/>
      </c>
      <c r="R26">
        <f>--($E26=IF('الداشبورد'!$B$6="الكل",$E26,'الداشبورد'!$B$6))</f>
        <v/>
      </c>
      <c r="S26">
        <f>--($K26=IF('الداشبورد'!$B$7="الكل",$K26,IF('الداشبورد'!$B$7="تصدير","Y","N")))</f>
        <v/>
      </c>
      <c r="T26">
        <f>--($J26=IF('الداشبورد'!$B$8="الكل",$J26,IF('الداشبورد'!$B$8="AL","A","C")))</f>
        <v/>
      </c>
      <c r="U26">
        <f>--($I26=IF('الداشبورد'!$B$9="الكل",$I26,IF('الداشبورد'!$B$9="بدون حالة","P",'الداشبورد'!$B$9)))</f>
        <v/>
      </c>
      <c r="V26">
        <f>--($D26=IF('الداشبورد'!$B$10="الكل",$D26,'الداشبورد'!$B$10))</f>
        <v/>
      </c>
      <c r="W26">
        <f>--($G26=IF('الداشبورد'!$B$11="الكل",$G26,'الداشبورد'!$B$11))</f>
        <v/>
      </c>
      <c r="X26">
        <f>Q26*R26*S26*T26*U26*V26*W26*--($C26&lt;&gt;"")</f>
        <v/>
      </c>
    </row>
    <row r="27">
      <c r="A27" s="15" t="n">
        <v>1</v>
      </c>
      <c r="B27" s="15" t="inlineStr">
        <is>
          <t>G183081</t>
        </is>
      </c>
      <c r="C27" s="15" t="inlineStr">
        <is>
          <t>1392/26/14</t>
        </is>
      </c>
      <c r="D27" s="15" t="inlineStr">
        <is>
          <t>أوتاك  للتجارة والهندسية</t>
        </is>
      </c>
      <c r="E27" s="15" t="inlineStr">
        <is>
          <t>LV</t>
        </is>
      </c>
      <c r="F27" s="15" t="inlineStr">
        <is>
          <t>0.6/1 KV 4*25</t>
        </is>
      </c>
      <c r="G27" s="15" t="inlineStr">
        <is>
          <t>EX14</t>
        </is>
      </c>
      <c r="H27" s="15" t="inlineStr">
        <is>
          <t>Wooden Drums</t>
        </is>
      </c>
      <c r="I27" s="15" t="inlineStr">
        <is>
          <t>OK</t>
        </is>
      </c>
      <c r="J27" s="15" t="inlineStr">
        <is>
          <t>C</t>
        </is>
      </c>
      <c r="K27" s="15" t="inlineStr">
        <is>
          <t>N</t>
        </is>
      </c>
      <c r="L27" s="15" t="n">
        <v>501</v>
      </c>
      <c r="M27" s="16" t="n">
        <v>0.430359</v>
      </c>
      <c r="N27" s="16" t="n">
        <v>0</v>
      </c>
      <c r="O27" s="16" t="n">
        <v>0</v>
      </c>
      <c r="P27" s="16" t="n">
        <v>0.430359</v>
      </c>
      <c r="Q27">
        <f>--($A27=IF('الداشبورد'!$B$5="الكل",$A27,'الداشبورد'!$B$5))</f>
        <v/>
      </c>
      <c r="R27">
        <f>--($E27=IF('الداشبورد'!$B$6="الكل",$E27,'الداشبورد'!$B$6))</f>
        <v/>
      </c>
      <c r="S27">
        <f>--($K27=IF('الداشبورد'!$B$7="الكل",$K27,IF('الداشبورد'!$B$7="تصدير","Y","N")))</f>
        <v/>
      </c>
      <c r="T27">
        <f>--($J27=IF('الداشبورد'!$B$8="الكل",$J27,IF('الداشبورد'!$B$8="AL","A","C")))</f>
        <v/>
      </c>
      <c r="U27">
        <f>--($I27=IF('الداشبورد'!$B$9="الكل",$I27,IF('الداشبورد'!$B$9="بدون حالة","P",'الداشبورد'!$B$9)))</f>
        <v/>
      </c>
      <c r="V27">
        <f>--($D27=IF('الداشبورد'!$B$10="الكل",$D27,'الداشبورد'!$B$10))</f>
        <v/>
      </c>
      <c r="W27">
        <f>--($G27=IF('الداشبورد'!$B$11="الكل",$G27,'الداشبورد'!$B$11))</f>
        <v/>
      </c>
      <c r="X27">
        <f>Q27*R27*S27*T27*U27*V27*W27*--($C27&lt;&gt;"")</f>
        <v/>
      </c>
    </row>
    <row r="28">
      <c r="A28" s="15" t="n">
        <v>1</v>
      </c>
      <c r="B28" s="15" t="inlineStr">
        <is>
          <t>G183457</t>
        </is>
      </c>
      <c r="C28" s="15" t="inlineStr">
        <is>
          <t>1365/26/07</t>
        </is>
      </c>
      <c r="D28" s="15" t="inlineStr">
        <is>
          <t>Veolia water technologies Egypt LLC</t>
        </is>
      </c>
      <c r="E28" s="15" t="inlineStr">
        <is>
          <t>LV</t>
        </is>
      </c>
      <c r="F28" s="15" t="inlineStr">
        <is>
          <t>0.6/1 KV 4*25</t>
        </is>
      </c>
      <c r="G28" s="15" t="inlineStr">
        <is>
          <t>EX14</t>
        </is>
      </c>
      <c r="H28" s="15" t="inlineStr">
        <is>
          <t>Wooden Drums</t>
        </is>
      </c>
      <c r="I28" s="15" t="inlineStr">
        <is>
          <t>OK</t>
        </is>
      </c>
      <c r="J28" s="15" t="inlineStr">
        <is>
          <t>C</t>
        </is>
      </c>
      <c r="K28" s="15" t="inlineStr">
        <is>
          <t>N</t>
        </is>
      </c>
      <c r="L28" s="15" t="n">
        <v>510</v>
      </c>
      <c r="M28" s="16" t="n">
        <v>0.43809</v>
      </c>
      <c r="N28" s="16" t="n">
        <v>0</v>
      </c>
      <c r="O28" s="16" t="n">
        <v>0</v>
      </c>
      <c r="P28" s="16" t="n">
        <v>0.43809</v>
      </c>
      <c r="Q28">
        <f>--($A28=IF('الداشبورد'!$B$5="الكل",$A28,'الداشبورد'!$B$5))</f>
        <v/>
      </c>
      <c r="R28">
        <f>--($E28=IF('الداشبورد'!$B$6="الكل",$E28,'الداشبورد'!$B$6))</f>
        <v/>
      </c>
      <c r="S28">
        <f>--($K28=IF('الداشبورد'!$B$7="الكل",$K28,IF('الداشبورد'!$B$7="تصدير","Y","N")))</f>
        <v/>
      </c>
      <c r="T28">
        <f>--($J28=IF('الداشبورد'!$B$8="الكل",$J28,IF('الداشبورد'!$B$8="AL","A","C")))</f>
        <v/>
      </c>
      <c r="U28">
        <f>--($I28=IF('الداشبورد'!$B$9="الكل",$I28,IF('الداشبورد'!$B$9="بدون حالة","P",'الداشبورد'!$B$9)))</f>
        <v/>
      </c>
      <c r="V28">
        <f>--($D28=IF('الداشبورد'!$B$10="الكل",$D28,'الداشبورد'!$B$10))</f>
        <v/>
      </c>
      <c r="W28">
        <f>--($G28=IF('الداشبورد'!$B$11="الكل",$G28,'الداشبورد'!$B$11))</f>
        <v/>
      </c>
      <c r="X28">
        <f>Q28*R28*S28*T28*U28*V28*W28*--($C28&lt;&gt;"")</f>
        <v/>
      </c>
    </row>
    <row r="29">
      <c r="A29" s="15" t="n">
        <v>1</v>
      </c>
      <c r="B29" s="15" t="inlineStr">
        <is>
          <t>G184191</t>
        </is>
      </c>
      <c r="C29" s="15" t="inlineStr">
        <is>
          <t>1545/26/08</t>
        </is>
      </c>
      <c r="D29" s="15" t="inlineStr">
        <is>
          <t>VEOLIA</t>
        </is>
      </c>
      <c r="E29" s="15" t="inlineStr">
        <is>
          <t>LV</t>
        </is>
      </c>
      <c r="F29" s="15" t="inlineStr">
        <is>
          <t>0.6/1 KV 4*10</t>
        </is>
      </c>
      <c r="G29" s="15" t="inlineStr">
        <is>
          <t>EX14</t>
        </is>
      </c>
      <c r="H29" s="15" t="inlineStr">
        <is>
          <t>Wooden Drums</t>
        </is>
      </c>
      <c r="I29" s="15" t="inlineStr">
        <is>
          <t>OK</t>
        </is>
      </c>
      <c r="J29" s="15" t="inlineStr">
        <is>
          <t>C</t>
        </is>
      </c>
      <c r="K29" s="15" t="inlineStr">
        <is>
          <t>N</t>
        </is>
      </c>
      <c r="L29" s="15" t="n">
        <v>1236</v>
      </c>
      <c r="M29" s="16" t="n">
        <v>0.4214760000000001</v>
      </c>
      <c r="N29" s="16" t="n">
        <v>0</v>
      </c>
      <c r="O29" s="16" t="n">
        <v>0</v>
      </c>
      <c r="P29" s="16" t="n">
        <v>0.4214760000000001</v>
      </c>
      <c r="Q29">
        <f>--($A29=IF('الداشبورد'!$B$5="الكل",$A29,'الداشبورد'!$B$5))</f>
        <v/>
      </c>
      <c r="R29">
        <f>--($E29=IF('الداشبورد'!$B$6="الكل",$E29,'الداشبورد'!$B$6))</f>
        <v/>
      </c>
      <c r="S29">
        <f>--($K29=IF('الداشبورد'!$B$7="الكل",$K29,IF('الداشبورد'!$B$7="تصدير","Y","N")))</f>
        <v/>
      </c>
      <c r="T29">
        <f>--($J29=IF('الداشبورد'!$B$8="الكل",$J29,IF('الداشبورد'!$B$8="AL","A","C")))</f>
        <v/>
      </c>
      <c r="U29">
        <f>--($I29=IF('الداشبورد'!$B$9="الكل",$I29,IF('الداشبورد'!$B$9="بدون حالة","P",'الداشبورد'!$B$9)))</f>
        <v/>
      </c>
      <c r="V29">
        <f>--($D29=IF('الداشبورد'!$B$10="الكل",$D29,'الداشبورد'!$B$10))</f>
        <v/>
      </c>
      <c r="W29">
        <f>--($G29=IF('الداشبورد'!$B$11="الكل",$G29,'الداشبورد'!$B$11))</f>
        <v/>
      </c>
      <c r="X29">
        <f>Q29*R29*S29*T29*U29*V29*W29*--($C29&lt;&gt;"")</f>
        <v/>
      </c>
    </row>
    <row r="30">
      <c r="A30" s="15" t="n">
        <v>1</v>
      </c>
      <c r="B30" s="15" t="inlineStr">
        <is>
          <t>J184177</t>
        </is>
      </c>
      <c r="C30" s="15" t="inlineStr">
        <is>
          <t>1478/26/16</t>
        </is>
      </c>
      <c r="D30" s="15" t="inlineStr">
        <is>
          <t>Energya Power &amp; Telecom Solutions</t>
        </is>
      </c>
      <c r="E30" s="15" t="inlineStr">
        <is>
          <t>LV</t>
        </is>
      </c>
      <c r="F30" s="15" t="inlineStr">
        <is>
          <t>0.6/1 KV 2X10</t>
        </is>
      </c>
      <c r="G30" s="15" t="inlineStr">
        <is>
          <t>EX14</t>
        </is>
      </c>
      <c r="H30" s="15" t="inlineStr">
        <is>
          <t>Wooden Drums</t>
        </is>
      </c>
      <c r="I30" s="15" t="inlineStr">
        <is>
          <t>OK</t>
        </is>
      </c>
      <c r="J30" s="15" t="inlineStr">
        <is>
          <t>C</t>
        </is>
      </c>
      <c r="K30" s="15" t="inlineStr">
        <is>
          <t>N</t>
        </is>
      </c>
      <c r="L30" s="15" t="n">
        <v>2636</v>
      </c>
      <c r="M30" s="16" t="n">
        <v>0.456028</v>
      </c>
      <c r="N30" s="16" t="n">
        <v>0</v>
      </c>
      <c r="O30" s="16" t="n">
        <v>0</v>
      </c>
      <c r="P30" s="16" t="n">
        <v>0.456028</v>
      </c>
      <c r="Q30">
        <f>--($A30=IF('الداشبورد'!$B$5="الكل",$A30,'الداشبورد'!$B$5))</f>
        <v/>
      </c>
      <c r="R30">
        <f>--($E30=IF('الداشبورد'!$B$6="الكل",$E30,'الداشبورد'!$B$6))</f>
        <v/>
      </c>
      <c r="S30">
        <f>--($K30=IF('الداشبورد'!$B$7="الكل",$K30,IF('الداشبورد'!$B$7="تصدير","Y","N")))</f>
        <v/>
      </c>
      <c r="T30">
        <f>--($J30=IF('الداشبورد'!$B$8="الكل",$J30,IF('الداشبورد'!$B$8="AL","A","C")))</f>
        <v/>
      </c>
      <c r="U30">
        <f>--($I30=IF('الداشبورد'!$B$9="الكل",$I30,IF('الداشبورد'!$B$9="بدون حالة","P",'الداشبورد'!$B$9)))</f>
        <v/>
      </c>
      <c r="V30">
        <f>--($D30=IF('الداشبورد'!$B$10="الكل",$D30,'الداشبورد'!$B$10))</f>
        <v/>
      </c>
      <c r="W30">
        <f>--($G30=IF('الداشبورد'!$B$11="الكل",$G30,'الداشبورد'!$B$11))</f>
        <v/>
      </c>
      <c r="X30">
        <f>Q30*R30*S30*T30*U30*V30*W30*--($C30&lt;&gt;"")</f>
        <v/>
      </c>
    </row>
    <row r="31">
      <c r="A31" s="15" t="n">
        <v>1</v>
      </c>
      <c r="B31" s="15" t="inlineStr">
        <is>
          <t>J183364</t>
        </is>
      </c>
      <c r="C31" s="15" t="inlineStr">
        <is>
          <t>1478/26/24</t>
        </is>
      </c>
      <c r="D31" s="15" t="inlineStr">
        <is>
          <t>Energya Power &amp; Telecom Solutions</t>
        </is>
      </c>
      <c r="E31" s="15" t="inlineStr">
        <is>
          <t>LV</t>
        </is>
      </c>
      <c r="F31" s="15" t="inlineStr">
        <is>
          <t>0.6/1 KV 4X10</t>
        </is>
      </c>
      <c r="G31" s="15" t="inlineStr">
        <is>
          <t>EX14</t>
        </is>
      </c>
      <c r="H31" s="15" t="inlineStr">
        <is>
          <t>Wooden Drums</t>
        </is>
      </c>
      <c r="I31" s="15" t="inlineStr">
        <is>
          <t>OK</t>
        </is>
      </c>
      <c r="J31" s="15" t="inlineStr">
        <is>
          <t>C</t>
        </is>
      </c>
      <c r="K31" s="15" t="inlineStr">
        <is>
          <t>N</t>
        </is>
      </c>
      <c r="L31" s="15" t="n">
        <v>2399</v>
      </c>
      <c r="M31" s="16" t="n">
        <v>0.830054</v>
      </c>
      <c r="N31" s="16" t="n">
        <v>0</v>
      </c>
      <c r="O31" s="16" t="n">
        <v>0</v>
      </c>
      <c r="P31" s="16" t="n">
        <v>0.830054</v>
      </c>
      <c r="Q31">
        <f>--($A31=IF('الداشبورد'!$B$5="الكل",$A31,'الداشبورد'!$B$5))</f>
        <v/>
      </c>
      <c r="R31">
        <f>--($E31=IF('الداشبورد'!$B$6="الكل",$E31,'الداشبورد'!$B$6))</f>
        <v/>
      </c>
      <c r="S31">
        <f>--($K31=IF('الداشبورد'!$B$7="الكل",$K31,IF('الداشبورد'!$B$7="تصدير","Y","N")))</f>
        <v/>
      </c>
      <c r="T31">
        <f>--($J31=IF('الداشبورد'!$B$8="الكل",$J31,IF('الداشبورد'!$B$8="AL","A","C")))</f>
        <v/>
      </c>
      <c r="U31">
        <f>--($I31=IF('الداشبورد'!$B$9="الكل",$I31,IF('الداشبورد'!$B$9="بدون حالة","P",'الداشبورد'!$B$9)))</f>
        <v/>
      </c>
      <c r="V31">
        <f>--($D31=IF('الداشبورد'!$B$10="الكل",$D31,'الداشبورد'!$B$10))</f>
        <v/>
      </c>
      <c r="W31">
        <f>--($G31=IF('الداشبورد'!$B$11="الكل",$G31,'الداشبورد'!$B$11))</f>
        <v/>
      </c>
      <c r="X31">
        <f>Q31*R31*S31*T31*U31*V31*W31*--($C31&lt;&gt;"")</f>
        <v/>
      </c>
    </row>
    <row r="32">
      <c r="A32" s="15" t="n">
        <v>1</v>
      </c>
      <c r="B32" s="15" t="inlineStr">
        <is>
          <t>G184192</t>
        </is>
      </c>
      <c r="C32" s="15" t="inlineStr">
        <is>
          <t>742/26/130</t>
        </is>
      </c>
      <c r="D32" s="15" t="inlineStr">
        <is>
          <t>Energya For Engineering&amp;Distribution</t>
        </is>
      </c>
      <c r="E32" s="15" t="inlineStr">
        <is>
          <t>LV</t>
        </is>
      </c>
      <c r="F32" s="15" t="inlineStr">
        <is>
          <t>0.6/1 KV 4*10</t>
        </is>
      </c>
      <c r="G32" s="15" t="inlineStr">
        <is>
          <t>EX14</t>
        </is>
      </c>
      <c r="H32" s="15" t="inlineStr">
        <is>
          <t>Wooden Drums</t>
        </is>
      </c>
      <c r="I32" s="15" t="inlineStr">
        <is>
          <t>Hold</t>
        </is>
      </c>
      <c r="J32" s="15" t="inlineStr">
        <is>
          <t>C</t>
        </is>
      </c>
      <c r="K32" s="15" t="inlineStr">
        <is>
          <t>N</t>
        </is>
      </c>
      <c r="L32" s="15" t="n">
        <v>1030</v>
      </c>
      <c r="M32" s="16" t="n">
        <v>0.35123</v>
      </c>
      <c r="N32" s="16" t="n">
        <v>0</v>
      </c>
      <c r="O32" s="16" t="n">
        <v>0</v>
      </c>
      <c r="P32" s="16" t="n">
        <v>0.35123</v>
      </c>
      <c r="Q32">
        <f>--($A32=IF('الداشبورد'!$B$5="الكل",$A32,'الداشبورد'!$B$5))</f>
        <v/>
      </c>
      <c r="R32">
        <f>--($E32=IF('الداشبورد'!$B$6="الكل",$E32,'الداشبورد'!$B$6))</f>
        <v/>
      </c>
      <c r="S32">
        <f>--($K32=IF('الداشبورد'!$B$7="الكل",$K32,IF('الداشبورد'!$B$7="تصدير","Y","N")))</f>
        <v/>
      </c>
      <c r="T32">
        <f>--($J32=IF('الداشبورد'!$B$8="الكل",$J32,IF('الداشبورد'!$B$8="AL","A","C")))</f>
        <v/>
      </c>
      <c r="U32">
        <f>--($I32=IF('الداشبورد'!$B$9="الكل",$I32,IF('الداشبورد'!$B$9="بدون حالة","P",'الداشبورد'!$B$9)))</f>
        <v/>
      </c>
      <c r="V32">
        <f>--($D32=IF('الداشبورد'!$B$10="الكل",$D32,'الداشبورد'!$B$10))</f>
        <v/>
      </c>
      <c r="W32">
        <f>--($G32=IF('الداشبورد'!$B$11="الكل",$G32,'الداشبورد'!$B$11))</f>
        <v/>
      </c>
      <c r="X32">
        <f>Q32*R32*S32*T32*U32*V32*W32*--($C32&lt;&gt;"")</f>
        <v/>
      </c>
    </row>
    <row r="33">
      <c r="A33" s="15" t="n">
        <v>1</v>
      </c>
      <c r="B33" s="15" t="inlineStr">
        <is>
          <t>J183363</t>
        </is>
      </c>
      <c r="C33" s="15" t="inlineStr">
        <is>
          <t>1520/26/06</t>
        </is>
      </c>
      <c r="D33" s="15" t="inlineStr">
        <is>
          <t>سكاي للموانىء</t>
        </is>
      </c>
      <c r="E33" s="15" t="inlineStr">
        <is>
          <t>LV</t>
        </is>
      </c>
      <c r="F33" s="15" t="inlineStr">
        <is>
          <t>0.6/1 KV 4*10</t>
        </is>
      </c>
      <c r="G33" s="15" t="inlineStr">
        <is>
          <t>EX14</t>
        </is>
      </c>
      <c r="H33" s="15" t="inlineStr">
        <is>
          <t>Wooden Drums</t>
        </is>
      </c>
      <c r="I33" s="15" t="inlineStr">
        <is>
          <t>OK</t>
        </is>
      </c>
      <c r="J33" s="15" t="inlineStr">
        <is>
          <t>C</t>
        </is>
      </c>
      <c r="K33" s="15" t="inlineStr">
        <is>
          <t>N</t>
        </is>
      </c>
      <c r="L33" s="15" t="n">
        <v>2266</v>
      </c>
      <c r="M33" s="16" t="n">
        <v>0.772706</v>
      </c>
      <c r="N33" s="16" t="n">
        <v>0</v>
      </c>
      <c r="O33" s="16" t="n">
        <v>0</v>
      </c>
      <c r="P33" s="16" t="n">
        <v>0.772706</v>
      </c>
      <c r="Q33">
        <f>--($A33=IF('الداشبورد'!$B$5="الكل",$A33,'الداشبورد'!$B$5))</f>
        <v/>
      </c>
      <c r="R33">
        <f>--($E33=IF('الداشبورد'!$B$6="الكل",$E33,'الداشبورد'!$B$6))</f>
        <v/>
      </c>
      <c r="S33">
        <f>--($K33=IF('الداشبورد'!$B$7="الكل",$K33,IF('الداشبورد'!$B$7="تصدير","Y","N")))</f>
        <v/>
      </c>
      <c r="T33">
        <f>--($J33=IF('الداشبورد'!$B$8="الكل",$J33,IF('الداشبورد'!$B$8="AL","A","C")))</f>
        <v/>
      </c>
      <c r="U33">
        <f>--($I33=IF('الداشبورد'!$B$9="الكل",$I33,IF('الداشبورد'!$B$9="بدون حالة","P",'الداشبورد'!$B$9)))</f>
        <v/>
      </c>
      <c r="V33">
        <f>--($D33=IF('الداشبورد'!$B$10="الكل",$D33,'الداشبورد'!$B$10))</f>
        <v/>
      </c>
      <c r="W33">
        <f>--($G33=IF('الداشبورد'!$B$11="الكل",$G33,'الداشبورد'!$B$11))</f>
        <v/>
      </c>
      <c r="X33">
        <f>Q33*R33*S33*T33*U33*V33*W33*--($C33&lt;&gt;"")</f>
        <v/>
      </c>
    </row>
    <row r="34">
      <c r="A34" s="15" t="n">
        <v>1</v>
      </c>
      <c r="B34" s="15" t="inlineStr">
        <is>
          <t>F182399</t>
        </is>
      </c>
      <c r="C34" s="15" t="inlineStr">
        <is>
          <t>1478/26/26</t>
        </is>
      </c>
      <c r="D34" s="15" t="inlineStr">
        <is>
          <t>Energya Power &amp; Telecom Solutions</t>
        </is>
      </c>
      <c r="E34" s="15" t="inlineStr">
        <is>
          <t>LV</t>
        </is>
      </c>
      <c r="F34" s="15" t="inlineStr">
        <is>
          <t>0.6/1 KV 4X25</t>
        </is>
      </c>
      <c r="G34" s="15" t="inlineStr">
        <is>
          <t>EX14</t>
        </is>
      </c>
      <c r="H34" s="15" t="inlineStr">
        <is>
          <t>Wooden Drums</t>
        </is>
      </c>
      <c r="I34" s="15" t="inlineStr">
        <is>
          <t>OK</t>
        </is>
      </c>
      <c r="J34" s="15" t="inlineStr">
        <is>
          <t>C</t>
        </is>
      </c>
      <c r="K34" s="15" t="inlineStr">
        <is>
          <t>N</t>
        </is>
      </c>
      <c r="L34" s="15" t="n">
        <v>133</v>
      </c>
      <c r="M34" s="16" t="n">
        <v>0.114247</v>
      </c>
      <c r="N34" s="16" t="n">
        <v>0</v>
      </c>
      <c r="O34" s="16" t="n">
        <v>0</v>
      </c>
      <c r="P34" s="16" t="n">
        <v>0.114247</v>
      </c>
      <c r="Q34">
        <f>--($A34=IF('الداشبورد'!$B$5="الكل",$A34,'الداشبورد'!$B$5))</f>
        <v/>
      </c>
      <c r="R34">
        <f>--($E34=IF('الداشبورد'!$B$6="الكل",$E34,'الداشبورد'!$B$6))</f>
        <v/>
      </c>
      <c r="S34">
        <f>--($K34=IF('الداشبورد'!$B$7="الكل",$K34,IF('الداشبورد'!$B$7="تصدير","Y","N")))</f>
        <v/>
      </c>
      <c r="T34">
        <f>--($J34=IF('الداشبورد'!$B$8="الكل",$J34,IF('الداشبورد'!$B$8="AL","A","C")))</f>
        <v/>
      </c>
      <c r="U34">
        <f>--($I34=IF('الداشبورد'!$B$9="الكل",$I34,IF('الداشبورد'!$B$9="بدون حالة","P",'الداشبورد'!$B$9)))</f>
        <v/>
      </c>
      <c r="V34">
        <f>--($D34=IF('الداشبورد'!$B$10="الكل",$D34,'الداشبورد'!$B$10))</f>
        <v/>
      </c>
      <c r="W34">
        <f>--($G34=IF('الداشبورد'!$B$11="الكل",$G34,'الداشبورد'!$B$11))</f>
        <v/>
      </c>
      <c r="X34">
        <f>Q34*R34*S34*T34*U34*V34*W34*--($C34&lt;&gt;"")</f>
        <v/>
      </c>
    </row>
    <row r="35">
      <c r="A35" s="15" t="n">
        <v>1</v>
      </c>
      <c r="B35" s="15" t="inlineStr">
        <is>
          <t>P184221</t>
        </is>
      </c>
      <c r="C35" s="15" t="inlineStr">
        <is>
          <t>1555/26/01</t>
        </is>
      </c>
      <c r="D35" s="15" t="inlineStr">
        <is>
          <t>Eland Cables</t>
        </is>
      </c>
      <c r="E35" s="15" t="inlineStr">
        <is>
          <t>MV</t>
        </is>
      </c>
      <c r="F35" s="15" t="inlineStr">
        <is>
          <t>12/20 KV 1X630</t>
        </is>
      </c>
      <c r="G35" s="15" t="inlineStr">
        <is>
          <t>EX06</t>
        </is>
      </c>
      <c r="H35" s="15" t="inlineStr">
        <is>
          <t>Wooden Drums</t>
        </is>
      </c>
      <c r="I35" s="15" t="inlineStr">
        <is>
          <t>OK</t>
        </is>
      </c>
      <c r="J35" s="15" t="inlineStr">
        <is>
          <t>A</t>
        </is>
      </c>
      <c r="K35" s="15" t="inlineStr">
        <is>
          <t>Y</t>
        </is>
      </c>
      <c r="L35" s="15" t="n">
        <v>807</v>
      </c>
      <c r="M35" s="16" t="n">
        <v>1.3719</v>
      </c>
      <c r="N35" s="16" t="n">
        <v>0.119436</v>
      </c>
      <c r="O35" s="16" t="n">
        <v>0</v>
      </c>
      <c r="P35" s="16" t="n">
        <v>1.491336</v>
      </c>
      <c r="Q35">
        <f>--($A35=IF('الداشبورد'!$B$5="الكل",$A35,'الداشبورد'!$B$5))</f>
        <v/>
      </c>
      <c r="R35">
        <f>--($E35=IF('الداشبورد'!$B$6="الكل",$E35,'الداشبورد'!$B$6))</f>
        <v/>
      </c>
      <c r="S35">
        <f>--($K35=IF('الداشبورد'!$B$7="الكل",$K35,IF('الداشبورد'!$B$7="تصدير","Y","N")))</f>
        <v/>
      </c>
      <c r="T35">
        <f>--($J35=IF('الداشبورد'!$B$8="الكل",$J35,IF('الداشبورد'!$B$8="AL","A","C")))</f>
        <v/>
      </c>
      <c r="U35">
        <f>--($I35=IF('الداشبورد'!$B$9="الكل",$I35,IF('الداشبورد'!$B$9="بدون حالة","P",'الداشبورد'!$B$9)))</f>
        <v/>
      </c>
      <c r="V35">
        <f>--($D35=IF('الداشبورد'!$B$10="الكل",$D35,'الداشبورد'!$B$10))</f>
        <v/>
      </c>
      <c r="W35">
        <f>--($G35=IF('الداشبورد'!$B$11="الكل",$G35,'الداشبورد'!$B$11))</f>
        <v/>
      </c>
      <c r="X35">
        <f>Q35*R35*S35*T35*U35*V35*W35*--($C35&lt;&gt;"")</f>
        <v/>
      </c>
    </row>
    <row r="36">
      <c r="A36" s="15" t="n">
        <v>1</v>
      </c>
      <c r="B36" s="15" t="inlineStr">
        <is>
          <t>P184222</t>
        </is>
      </c>
      <c r="C36" s="15" t="inlineStr">
        <is>
          <t>1555/26/01</t>
        </is>
      </c>
      <c r="D36" s="15" t="inlineStr">
        <is>
          <t>Eland Cables</t>
        </is>
      </c>
      <c r="E36" s="15" t="inlineStr">
        <is>
          <t>MV</t>
        </is>
      </c>
      <c r="F36" s="15" t="inlineStr">
        <is>
          <t>12/20 KV 1X630</t>
        </is>
      </c>
      <c r="G36" s="15" t="inlineStr">
        <is>
          <t>EX06</t>
        </is>
      </c>
      <c r="H36" s="15" t="inlineStr">
        <is>
          <t>Wooden Drums</t>
        </is>
      </c>
      <c r="I36" s="15" t="inlineStr">
        <is>
          <t>OK</t>
        </is>
      </c>
      <c r="J36" s="15" t="inlineStr">
        <is>
          <t>A</t>
        </is>
      </c>
      <c r="K36" s="15" t="inlineStr">
        <is>
          <t>Y</t>
        </is>
      </c>
      <c r="L36" s="15" t="n">
        <v>820</v>
      </c>
      <c r="M36" s="16" t="n">
        <v>1.394</v>
      </c>
      <c r="N36" s="16" t="n">
        <v>0.12136</v>
      </c>
      <c r="O36" s="16" t="n">
        <v>0</v>
      </c>
      <c r="P36" s="16" t="n">
        <v>1.51536</v>
      </c>
      <c r="Q36">
        <f>--($A36=IF('الداشبورد'!$B$5="الكل",$A36,'الداشبورد'!$B$5))</f>
        <v/>
      </c>
      <c r="R36">
        <f>--($E36=IF('الداشبورد'!$B$6="الكل",$E36,'الداشبورد'!$B$6))</f>
        <v/>
      </c>
      <c r="S36">
        <f>--($K36=IF('الداشبورد'!$B$7="الكل",$K36,IF('الداشبورد'!$B$7="تصدير","Y","N")))</f>
        <v/>
      </c>
      <c r="T36">
        <f>--($J36=IF('الداشبورد'!$B$8="الكل",$J36,IF('الداشبورد'!$B$8="AL","A","C")))</f>
        <v/>
      </c>
      <c r="U36">
        <f>--($I36=IF('الداشبورد'!$B$9="الكل",$I36,IF('الداشبورد'!$B$9="بدون حالة","P",'الداشبورد'!$B$9)))</f>
        <v/>
      </c>
      <c r="V36">
        <f>--($D36=IF('الداشبورد'!$B$10="الكل",$D36,'الداشبورد'!$B$10))</f>
        <v/>
      </c>
      <c r="W36">
        <f>--($G36=IF('الداشبورد'!$B$11="الكل",$G36,'الداشبورد'!$B$11))</f>
        <v/>
      </c>
      <c r="X36">
        <f>Q36*R36*S36*T36*U36*V36*W36*--($C36&lt;&gt;"")</f>
        <v/>
      </c>
    </row>
    <row r="37">
      <c r="A37" s="15" t="n">
        <v>1</v>
      </c>
      <c r="B37" s="15" t="inlineStr">
        <is>
          <t>P184220</t>
        </is>
      </c>
      <c r="C37" s="15" t="inlineStr">
        <is>
          <t>1555/26/01</t>
        </is>
      </c>
      <c r="D37" s="15" t="inlineStr">
        <is>
          <t>Eland Cables</t>
        </is>
      </c>
      <c r="E37" s="15" t="inlineStr">
        <is>
          <t>MV</t>
        </is>
      </c>
      <c r="F37" s="15" t="inlineStr">
        <is>
          <t>12/20 KV 1X630</t>
        </is>
      </c>
      <c r="G37" s="15" t="inlineStr">
        <is>
          <t>EX06</t>
        </is>
      </c>
      <c r="H37" s="15" t="inlineStr">
        <is>
          <t>Wooden Drums</t>
        </is>
      </c>
      <c r="I37" s="15" t="inlineStr">
        <is>
          <t>OK</t>
        </is>
      </c>
      <c r="J37" s="15" t="inlineStr">
        <is>
          <t>A</t>
        </is>
      </c>
      <c r="K37" s="15" t="inlineStr">
        <is>
          <t>Y</t>
        </is>
      </c>
      <c r="L37" s="15" t="n">
        <v>825</v>
      </c>
      <c r="M37" s="16" t="n">
        <v>1.4025</v>
      </c>
      <c r="N37" s="16" t="n">
        <v>0.1221</v>
      </c>
      <c r="O37" s="16" t="n">
        <v>0</v>
      </c>
      <c r="P37" s="16" t="n">
        <v>1.5246</v>
      </c>
      <c r="Q37">
        <f>--($A37=IF('الداشبورد'!$B$5="الكل",$A37,'الداشبورد'!$B$5))</f>
        <v/>
      </c>
      <c r="R37">
        <f>--($E37=IF('الداشبورد'!$B$6="الكل",$E37,'الداشبورد'!$B$6))</f>
        <v/>
      </c>
      <c r="S37">
        <f>--($K37=IF('الداشبورد'!$B$7="الكل",$K37,IF('الداشبورد'!$B$7="تصدير","Y","N")))</f>
        <v/>
      </c>
      <c r="T37">
        <f>--($J37=IF('الداشبورد'!$B$8="الكل",$J37,IF('الداشبورد'!$B$8="AL","A","C")))</f>
        <v/>
      </c>
      <c r="U37">
        <f>--($I37=IF('الداشبورد'!$B$9="الكل",$I37,IF('الداشبورد'!$B$9="بدون حالة","P",'الداشبورد'!$B$9)))</f>
        <v/>
      </c>
      <c r="V37">
        <f>--($D37=IF('الداشبورد'!$B$10="الكل",$D37,'الداشبورد'!$B$10))</f>
        <v/>
      </c>
      <c r="W37">
        <f>--($G37=IF('الداشبورد'!$B$11="الكل",$G37,'الداشبورد'!$B$11))</f>
        <v/>
      </c>
      <c r="X37">
        <f>Q37*R37*S37*T37*U37*V37*W37*--($C37&lt;&gt;"")</f>
        <v/>
      </c>
    </row>
    <row r="38">
      <c r="A38" s="15" t="n">
        <v>1</v>
      </c>
      <c r="B38" s="15" t="inlineStr">
        <is>
          <t>P184269</t>
        </is>
      </c>
      <c r="C38" s="15" t="inlineStr">
        <is>
          <t>1555/26/01</t>
        </is>
      </c>
      <c r="D38" s="15" t="inlineStr">
        <is>
          <t>Eland Cables</t>
        </is>
      </c>
      <c r="E38" s="15" t="inlineStr">
        <is>
          <t>MV</t>
        </is>
      </c>
      <c r="F38" s="15" t="inlineStr">
        <is>
          <t>12/20 KV 1X630</t>
        </is>
      </c>
      <c r="G38" s="15" t="inlineStr">
        <is>
          <t>EX06</t>
        </is>
      </c>
      <c r="H38" s="15" t="inlineStr">
        <is>
          <t>Wooden Drums</t>
        </is>
      </c>
      <c r="I38" s="15" t="inlineStr">
        <is>
          <t>OK</t>
        </is>
      </c>
      <c r="J38" s="15" t="inlineStr">
        <is>
          <t>A</t>
        </is>
      </c>
      <c r="K38" s="15" t="inlineStr">
        <is>
          <t>Y</t>
        </is>
      </c>
      <c r="L38" s="15" t="n">
        <v>945</v>
      </c>
      <c r="M38" s="16" t="n">
        <v>1.6065</v>
      </c>
      <c r="N38" s="16" t="n">
        <v>0.13986</v>
      </c>
      <c r="O38" s="16" t="n">
        <v>0</v>
      </c>
      <c r="P38" s="16" t="n">
        <v>1.74636</v>
      </c>
      <c r="Q38">
        <f>--($A38=IF('الداشبورد'!$B$5="الكل",$A38,'الداشبورد'!$B$5))</f>
        <v/>
      </c>
      <c r="R38">
        <f>--($E38=IF('الداشبورد'!$B$6="الكل",$E38,'الداشبورد'!$B$6))</f>
        <v/>
      </c>
      <c r="S38">
        <f>--($K38=IF('الداشبورد'!$B$7="الكل",$K38,IF('الداشبورد'!$B$7="تصدير","Y","N")))</f>
        <v/>
      </c>
      <c r="T38">
        <f>--($J38=IF('الداشبورد'!$B$8="الكل",$J38,IF('الداشبورد'!$B$8="AL","A","C")))</f>
        <v/>
      </c>
      <c r="U38">
        <f>--($I38=IF('الداشبورد'!$B$9="الكل",$I38,IF('الداشبورد'!$B$9="بدون حالة","P",'الداشبورد'!$B$9)))</f>
        <v/>
      </c>
      <c r="V38">
        <f>--($D38=IF('الداشبورد'!$B$10="الكل",$D38,'الداشبورد'!$B$10))</f>
        <v/>
      </c>
      <c r="W38">
        <f>--($G38=IF('الداشبورد'!$B$11="الكل",$G38,'الداشبورد'!$B$11))</f>
        <v/>
      </c>
      <c r="X38">
        <f>Q38*R38*S38*T38*U38*V38*W38*--($C38&lt;&gt;"")</f>
        <v/>
      </c>
    </row>
    <row r="39">
      <c r="A39" s="15" t="n">
        <v>1</v>
      </c>
      <c r="B39" s="15" t="inlineStr">
        <is>
          <t>P184249</t>
        </is>
      </c>
      <c r="C39" s="15" t="inlineStr">
        <is>
          <t>1555/26/01</t>
        </is>
      </c>
      <c r="D39" s="15" t="inlineStr">
        <is>
          <t>Eland Cables</t>
        </is>
      </c>
      <c r="E39" s="15" t="inlineStr">
        <is>
          <t>MV</t>
        </is>
      </c>
      <c r="F39" s="15" t="inlineStr">
        <is>
          <t>12/20 KV 1X630</t>
        </is>
      </c>
      <c r="G39" s="15" t="inlineStr">
        <is>
          <t>EX06</t>
        </is>
      </c>
      <c r="H39" s="15" t="inlineStr">
        <is>
          <t>Wooden Drums</t>
        </is>
      </c>
      <c r="I39" s="15" t="inlineStr">
        <is>
          <t>OK</t>
        </is>
      </c>
      <c r="J39" s="15" t="inlineStr">
        <is>
          <t>A</t>
        </is>
      </c>
      <c r="K39" s="15" t="inlineStr">
        <is>
          <t>Y</t>
        </is>
      </c>
      <c r="L39" s="15" t="n">
        <v>960</v>
      </c>
      <c r="M39" s="16" t="n">
        <v>1.632</v>
      </c>
      <c r="N39" s="16" t="n">
        <v>0.14208</v>
      </c>
      <c r="O39" s="16" t="n">
        <v>0</v>
      </c>
      <c r="P39" s="16" t="n">
        <v>1.77408</v>
      </c>
      <c r="Q39">
        <f>--($A39=IF('الداشبورد'!$B$5="الكل",$A39,'الداشبورد'!$B$5))</f>
        <v/>
      </c>
      <c r="R39">
        <f>--($E39=IF('الداشبورد'!$B$6="الكل",$E39,'الداشبورد'!$B$6))</f>
        <v/>
      </c>
      <c r="S39">
        <f>--($K39=IF('الداشبورد'!$B$7="الكل",$K39,IF('الداشبورد'!$B$7="تصدير","Y","N")))</f>
        <v/>
      </c>
      <c r="T39">
        <f>--($J39=IF('الداشبورد'!$B$8="الكل",$J39,IF('الداشبورد'!$B$8="AL","A","C")))</f>
        <v/>
      </c>
      <c r="U39">
        <f>--($I39=IF('الداشبورد'!$B$9="الكل",$I39,IF('الداشبورد'!$B$9="بدون حالة","P",'الداشبورد'!$B$9)))</f>
        <v/>
      </c>
      <c r="V39">
        <f>--($D39=IF('الداشبورد'!$B$10="الكل",$D39,'الداشبورد'!$B$10))</f>
        <v/>
      </c>
      <c r="W39">
        <f>--($G39=IF('الداشبورد'!$B$11="الكل",$G39,'الداشبورد'!$B$11))</f>
        <v/>
      </c>
      <c r="X39">
        <f>Q39*R39*S39*T39*U39*V39*W39*--($C39&lt;&gt;"")</f>
        <v/>
      </c>
    </row>
    <row r="40">
      <c r="A40" s="15" t="n">
        <v>1</v>
      </c>
      <c r="B40" s="15" t="inlineStr">
        <is>
          <t>T184132</t>
        </is>
      </c>
      <c r="C40" s="15" t="inlineStr">
        <is>
          <t>1385/26/03</t>
        </is>
      </c>
      <c r="D40" s="15" t="inlineStr">
        <is>
          <t>الشركة العربية للصناعة والتجارة الدولية</t>
        </is>
      </c>
      <c r="E40" s="15" t="inlineStr">
        <is>
          <t>LV</t>
        </is>
      </c>
      <c r="F40" s="15" t="inlineStr">
        <is>
          <t>0.6/1 KV 3*240+120</t>
        </is>
      </c>
      <c r="G40" s="15" t="inlineStr">
        <is>
          <t>EX07</t>
        </is>
      </c>
      <c r="H40" s="15" t="inlineStr">
        <is>
          <t>Wooden Drums</t>
        </is>
      </c>
      <c r="I40" s="15" t="inlineStr">
        <is>
          <t>OK</t>
        </is>
      </c>
      <c r="J40" s="15" t="inlineStr">
        <is>
          <t>A</t>
        </is>
      </c>
      <c r="K40" s="15" t="inlineStr">
        <is>
          <t>N</t>
        </is>
      </c>
      <c r="L40" s="15" t="n">
        <v>1010</v>
      </c>
      <c r="M40" s="16" t="n">
        <v>2.21897</v>
      </c>
      <c r="N40" s="16" t="n">
        <v>0</v>
      </c>
      <c r="O40" s="16" t="n">
        <v>0</v>
      </c>
      <c r="P40" s="16" t="n">
        <v>2.21897</v>
      </c>
      <c r="Q40">
        <f>--($A40=IF('الداشبورد'!$B$5="الكل",$A40,'الداشبورد'!$B$5))</f>
        <v/>
      </c>
      <c r="R40">
        <f>--($E40=IF('الداشبورد'!$B$6="الكل",$E40,'الداشبورد'!$B$6))</f>
        <v/>
      </c>
      <c r="S40">
        <f>--($K40=IF('الداشبورد'!$B$7="الكل",$K40,IF('الداشبورد'!$B$7="تصدير","Y","N")))</f>
        <v/>
      </c>
      <c r="T40">
        <f>--($J40=IF('الداشبورد'!$B$8="الكل",$J40,IF('الداشبورد'!$B$8="AL","A","C")))</f>
        <v/>
      </c>
      <c r="U40">
        <f>--($I40=IF('الداشبورد'!$B$9="الكل",$I40,IF('الداشبورد'!$B$9="بدون حالة","P",'الداشبورد'!$B$9)))</f>
        <v/>
      </c>
      <c r="V40">
        <f>--($D40=IF('الداشبورد'!$B$10="الكل",$D40,'الداشبورد'!$B$10))</f>
        <v/>
      </c>
      <c r="W40">
        <f>--($G40=IF('الداشبورد'!$B$11="الكل",$G40,'الداشبورد'!$B$11))</f>
        <v/>
      </c>
      <c r="X40">
        <f>Q40*R40*S40*T40*U40*V40*W40*--($C40&lt;&gt;"")</f>
        <v/>
      </c>
    </row>
    <row r="41">
      <c r="A41" s="15" t="n">
        <v>1</v>
      </c>
      <c r="B41" s="15" t="inlineStr">
        <is>
          <t>T184244</t>
        </is>
      </c>
      <c r="C41" s="15" t="inlineStr">
        <is>
          <t>1385/26/03</t>
        </is>
      </c>
      <c r="D41" s="15" t="inlineStr">
        <is>
          <t>الشركة العربية للصناعة والتجارة الدولية</t>
        </is>
      </c>
      <c r="E41" s="15" t="inlineStr">
        <is>
          <t>LV</t>
        </is>
      </c>
      <c r="F41" s="15" t="inlineStr">
        <is>
          <t>0.6/1 KV 3*240+120</t>
        </is>
      </c>
      <c r="G41" s="15" t="inlineStr">
        <is>
          <t>EX07</t>
        </is>
      </c>
      <c r="H41" s="15" t="inlineStr">
        <is>
          <t>Wooden Drums</t>
        </is>
      </c>
      <c r="I41" s="15" t="inlineStr">
        <is>
          <t>OK</t>
        </is>
      </c>
      <c r="J41" s="15" t="inlineStr">
        <is>
          <t>A</t>
        </is>
      </c>
      <c r="K41" s="15" t="inlineStr">
        <is>
          <t>N</t>
        </is>
      </c>
      <c r="L41" s="15" t="n">
        <v>1008</v>
      </c>
      <c r="M41" s="16" t="n">
        <v>2.214576</v>
      </c>
      <c r="N41" s="16" t="n">
        <v>0</v>
      </c>
      <c r="O41" s="16" t="n">
        <v>0</v>
      </c>
      <c r="P41" s="16" t="n">
        <v>2.214576</v>
      </c>
      <c r="Q41">
        <f>--($A41=IF('الداشبورد'!$B$5="الكل",$A41,'الداشبورد'!$B$5))</f>
        <v/>
      </c>
      <c r="R41">
        <f>--($E41=IF('الداشبورد'!$B$6="الكل",$E41,'الداشبورد'!$B$6))</f>
        <v/>
      </c>
      <c r="S41">
        <f>--($K41=IF('الداشبورد'!$B$7="الكل",$K41,IF('الداشبورد'!$B$7="تصدير","Y","N")))</f>
        <v/>
      </c>
      <c r="T41">
        <f>--($J41=IF('الداشبورد'!$B$8="الكل",$J41,IF('الداشبورد'!$B$8="AL","A","C")))</f>
        <v/>
      </c>
      <c r="U41">
        <f>--($I41=IF('الداشبورد'!$B$9="الكل",$I41,IF('الداشبورد'!$B$9="بدون حالة","P",'الداشبورد'!$B$9)))</f>
        <v/>
      </c>
      <c r="V41">
        <f>--($D41=IF('الداشبورد'!$B$10="الكل",$D41,'الداشبورد'!$B$10))</f>
        <v/>
      </c>
      <c r="W41">
        <f>--($G41=IF('الداشبورد'!$B$11="الكل",$G41,'الداشبورد'!$B$11))</f>
        <v/>
      </c>
      <c r="X41">
        <f>Q41*R41*S41*T41*U41*V41*W41*--($C41&lt;&gt;"")</f>
        <v/>
      </c>
    </row>
    <row r="42">
      <c r="A42" s="15" t="n">
        <v>1</v>
      </c>
      <c r="B42" s="15" t="inlineStr">
        <is>
          <t>T184271</t>
        </is>
      </c>
      <c r="C42" s="15" t="inlineStr">
        <is>
          <t>1385/26/03</t>
        </is>
      </c>
      <c r="D42" s="15" t="inlineStr">
        <is>
          <t>الشركة العربية للصناعة والتجارة الدولية</t>
        </is>
      </c>
      <c r="E42" s="15" t="inlineStr">
        <is>
          <t>LV</t>
        </is>
      </c>
      <c r="F42" s="15" t="inlineStr">
        <is>
          <t>0.6/1 KV 3*240+120</t>
        </is>
      </c>
      <c r="G42" s="15" t="inlineStr">
        <is>
          <t>EX07</t>
        </is>
      </c>
      <c r="H42" s="15" t="inlineStr">
        <is>
          <t>Wooden Drums</t>
        </is>
      </c>
      <c r="I42" s="15" t="inlineStr">
        <is>
          <t>OK</t>
        </is>
      </c>
      <c r="J42" s="15" t="inlineStr">
        <is>
          <t>A</t>
        </is>
      </c>
      <c r="K42" s="15" t="inlineStr">
        <is>
          <t>N</t>
        </is>
      </c>
      <c r="L42" s="15" t="n">
        <v>1010</v>
      </c>
      <c r="M42" s="16" t="n">
        <v>2.21897</v>
      </c>
      <c r="N42" s="16" t="n">
        <v>0</v>
      </c>
      <c r="O42" s="16" t="n">
        <v>0</v>
      </c>
      <c r="P42" s="16" t="n">
        <v>2.21897</v>
      </c>
      <c r="Q42">
        <f>--($A42=IF('الداشبورد'!$B$5="الكل",$A42,'الداشبورد'!$B$5))</f>
        <v/>
      </c>
      <c r="R42">
        <f>--($E42=IF('الداشبورد'!$B$6="الكل",$E42,'الداشبورد'!$B$6))</f>
        <v/>
      </c>
      <c r="S42">
        <f>--($K42=IF('الداشبورد'!$B$7="الكل",$K42,IF('الداشبورد'!$B$7="تصدير","Y","N")))</f>
        <v/>
      </c>
      <c r="T42">
        <f>--($J42=IF('الداشبورد'!$B$8="الكل",$J42,IF('الداشبورد'!$B$8="AL","A","C")))</f>
        <v/>
      </c>
      <c r="U42">
        <f>--($I42=IF('الداشبورد'!$B$9="الكل",$I42,IF('الداشبورد'!$B$9="بدون حالة","P",'الداشبورد'!$B$9)))</f>
        <v/>
      </c>
      <c r="V42">
        <f>--($D42=IF('الداشبورد'!$B$10="الكل",$D42,'الداشبورد'!$B$10))</f>
        <v/>
      </c>
      <c r="W42">
        <f>--($G42=IF('الداشبورد'!$B$11="الكل",$G42,'الداشبورد'!$B$11))</f>
        <v/>
      </c>
      <c r="X42">
        <f>Q42*R42*S42*T42*U42*V42*W42*--($C42&lt;&gt;"")</f>
        <v/>
      </c>
    </row>
    <row r="43">
      <c r="A43" s="15" t="n">
        <v>1</v>
      </c>
      <c r="B43" s="15" t="inlineStr">
        <is>
          <t>T184246</t>
        </is>
      </c>
      <c r="C43" s="15" t="inlineStr">
        <is>
          <t>1385/26/03</t>
        </is>
      </c>
      <c r="D43" s="15" t="inlineStr">
        <is>
          <t>الشركة العربية للصناعة والتجارة الدولية</t>
        </is>
      </c>
      <c r="E43" s="15" t="inlineStr">
        <is>
          <t>LV</t>
        </is>
      </c>
      <c r="F43" s="15" t="inlineStr">
        <is>
          <t>0.6/1 KV 3*240+120</t>
        </is>
      </c>
      <c r="G43" s="15" t="inlineStr">
        <is>
          <t>EX07</t>
        </is>
      </c>
      <c r="H43" s="15" t="inlineStr">
        <is>
          <t>Wooden Drums</t>
        </is>
      </c>
      <c r="I43" s="15" t="inlineStr">
        <is>
          <t>OK</t>
        </is>
      </c>
      <c r="J43" s="15" t="inlineStr">
        <is>
          <t>A</t>
        </is>
      </c>
      <c r="K43" s="15" t="inlineStr">
        <is>
          <t>N</t>
        </is>
      </c>
      <c r="L43" s="15" t="n">
        <v>1010</v>
      </c>
      <c r="M43" s="16" t="n">
        <v>2.21897</v>
      </c>
      <c r="N43" s="16" t="n">
        <v>0</v>
      </c>
      <c r="O43" s="16" t="n">
        <v>0</v>
      </c>
      <c r="P43" s="16" t="n">
        <v>2.21897</v>
      </c>
      <c r="Q43">
        <f>--($A43=IF('الداشبورد'!$B$5="الكل",$A43,'الداشبورد'!$B$5))</f>
        <v/>
      </c>
      <c r="R43">
        <f>--($E43=IF('الداشبورد'!$B$6="الكل",$E43,'الداشبورد'!$B$6))</f>
        <v/>
      </c>
      <c r="S43">
        <f>--($K43=IF('الداشبورد'!$B$7="الكل",$K43,IF('الداشبورد'!$B$7="تصدير","Y","N")))</f>
        <v/>
      </c>
      <c r="T43">
        <f>--($J43=IF('الداشبورد'!$B$8="الكل",$J43,IF('الداشبورد'!$B$8="AL","A","C")))</f>
        <v/>
      </c>
      <c r="U43">
        <f>--($I43=IF('الداشبورد'!$B$9="الكل",$I43,IF('الداشبورد'!$B$9="بدون حالة","P",'الداشبورد'!$B$9)))</f>
        <v/>
      </c>
      <c r="V43">
        <f>--($D43=IF('الداشبورد'!$B$10="الكل",$D43,'الداشبورد'!$B$10))</f>
        <v/>
      </c>
      <c r="W43">
        <f>--($G43=IF('الداشبورد'!$B$11="الكل",$G43,'الداشبورد'!$B$11))</f>
        <v/>
      </c>
      <c r="X43">
        <f>Q43*R43*S43*T43*U43*V43*W43*--($C43&lt;&gt;"")</f>
        <v/>
      </c>
    </row>
    <row r="44">
      <c r="A44" s="15" t="n">
        <v>1</v>
      </c>
      <c r="B44" s="15" t="inlineStr">
        <is>
          <t>E-110</t>
        </is>
      </c>
      <c r="C44" s="15" t="inlineStr">
        <is>
          <t>395/26/01</t>
        </is>
      </c>
      <c r="D44" s="15" t="inlineStr">
        <is>
          <t>Eland Cables</t>
        </is>
      </c>
      <c r="E44" s="15" t="inlineStr">
        <is>
          <t>MV</t>
        </is>
      </c>
      <c r="F44" s="15" t="inlineStr">
        <is>
          <t>6.35/11 KV 1X240</t>
        </is>
      </c>
      <c r="G44" s="15" t="inlineStr">
        <is>
          <t>EX09</t>
        </is>
      </c>
      <c r="H44" s="15" t="inlineStr">
        <is>
          <t>Wooden Drums</t>
        </is>
      </c>
      <c r="I44" s="15" t="inlineStr">
        <is>
          <t>Hold</t>
        </is>
      </c>
      <c r="J44" s="15" t="inlineStr">
        <is>
          <t>C</t>
        </is>
      </c>
      <c r="K44" s="15" t="inlineStr">
        <is>
          <t>Y</t>
        </is>
      </c>
      <c r="L44" s="15" t="n">
        <v>102</v>
      </c>
      <c r="M44" s="16" t="n">
        <v>0.214404</v>
      </c>
      <c r="N44" s="16" t="n">
        <v>0</v>
      </c>
      <c r="O44" s="16" t="n">
        <v>0.03723</v>
      </c>
      <c r="P44" s="16" t="n">
        <v>0.251634</v>
      </c>
      <c r="Q44">
        <f>--($A44=IF('الداشبورد'!$B$5="الكل",$A44,'الداشبورد'!$B$5))</f>
        <v/>
      </c>
      <c r="R44">
        <f>--($E44=IF('الداشبورد'!$B$6="الكل",$E44,'الداشبورد'!$B$6))</f>
        <v/>
      </c>
      <c r="S44">
        <f>--($K44=IF('الداشبورد'!$B$7="الكل",$K44,IF('الداشبورد'!$B$7="تصدير","Y","N")))</f>
        <v/>
      </c>
      <c r="T44">
        <f>--($J44=IF('الداشبورد'!$B$8="الكل",$J44,IF('الداشبورد'!$B$8="AL","A","C")))</f>
        <v/>
      </c>
      <c r="U44">
        <f>--($I44=IF('الداشبورد'!$B$9="الكل",$I44,IF('الداشبورد'!$B$9="بدون حالة","P",'الداشبورد'!$B$9)))</f>
        <v/>
      </c>
      <c r="V44">
        <f>--($D44=IF('الداشبورد'!$B$10="الكل",$D44,'الداشبورد'!$B$10))</f>
        <v/>
      </c>
      <c r="W44">
        <f>--($G44=IF('الداشبورد'!$B$11="الكل",$G44,'الداشبورد'!$B$11))</f>
        <v/>
      </c>
      <c r="X44">
        <f>Q44*R44*S44*T44*U44*V44*W44*--($C44&lt;&gt;"")</f>
        <v/>
      </c>
    </row>
    <row r="45">
      <c r="A45" s="15" t="n">
        <v>1</v>
      </c>
      <c r="B45" s="15" t="inlineStr">
        <is>
          <t>K184277</t>
        </is>
      </c>
      <c r="C45" s="15" t="inlineStr">
        <is>
          <t>1550/26/03</t>
        </is>
      </c>
      <c r="D45" s="15" t="inlineStr">
        <is>
          <t>Master Power Systems  Ltd</t>
        </is>
      </c>
      <c r="E45" s="15" t="inlineStr">
        <is>
          <t>LV</t>
        </is>
      </c>
      <c r="F45" s="15" t="inlineStr">
        <is>
          <t>0.6/1 KV 4*16</t>
        </is>
      </c>
      <c r="G45" s="15" t="inlineStr">
        <is>
          <t>EX14</t>
        </is>
      </c>
      <c r="H45" s="15" t="inlineStr">
        <is>
          <t>Wooden Drums</t>
        </is>
      </c>
      <c r="I45" s="15" t="inlineStr">
        <is>
          <t>OK</t>
        </is>
      </c>
      <c r="J45" s="15" t="inlineStr">
        <is>
          <t>A</t>
        </is>
      </c>
      <c r="K45" s="15" t="inlineStr">
        <is>
          <t>Y</t>
        </is>
      </c>
      <c r="L45" s="15" t="n">
        <v>3850</v>
      </c>
      <c r="M45" s="16" t="n">
        <v>0.63525</v>
      </c>
      <c r="N45" s="16" t="n">
        <v>0</v>
      </c>
      <c r="O45" s="16" t="n">
        <v>0</v>
      </c>
      <c r="P45" s="16" t="n">
        <v>0.63525</v>
      </c>
      <c r="Q45">
        <f>--($A45=IF('الداشبورد'!$B$5="الكل",$A45,'الداشبورد'!$B$5))</f>
        <v/>
      </c>
      <c r="R45">
        <f>--($E45=IF('الداشبورد'!$B$6="الكل",$E45,'الداشبورد'!$B$6))</f>
        <v/>
      </c>
      <c r="S45">
        <f>--($K45=IF('الداشبورد'!$B$7="الكل",$K45,IF('الداشبورد'!$B$7="تصدير","Y","N")))</f>
        <v/>
      </c>
      <c r="T45">
        <f>--($J45=IF('الداشبورد'!$B$8="الكل",$J45,IF('الداشبورد'!$B$8="AL","A","C")))</f>
        <v/>
      </c>
      <c r="U45">
        <f>--($I45=IF('الداشبورد'!$B$9="الكل",$I45,IF('الداشبورد'!$B$9="بدون حالة","P",'الداشبورد'!$B$9)))</f>
        <v/>
      </c>
      <c r="V45">
        <f>--($D45=IF('الداشبورد'!$B$10="الكل",$D45,'الداشبورد'!$B$10))</f>
        <v/>
      </c>
      <c r="W45">
        <f>--($G45=IF('الداشبورد'!$B$11="الكل",$G45,'الداشبورد'!$B$11))</f>
        <v/>
      </c>
      <c r="X45">
        <f>Q45*R45*S45*T45*U45*V45*W45*--($C45&lt;&gt;"")</f>
        <v/>
      </c>
    </row>
    <row r="46">
      <c r="A46" s="15" t="n">
        <v>1</v>
      </c>
      <c r="B46" s="15" t="inlineStr">
        <is>
          <t>P125</t>
        </is>
      </c>
      <c r="C46" s="15" t="inlineStr">
        <is>
          <t>1533/26/05</t>
        </is>
      </c>
      <c r="D46" s="15" t="inlineStr">
        <is>
          <t>المدكور  للمشروعات</t>
        </is>
      </c>
      <c r="E46" s="15" t="inlineStr">
        <is>
          <t>OH</t>
        </is>
      </c>
      <c r="F46" s="15" t="inlineStr">
        <is>
          <t>35/6</t>
        </is>
      </c>
      <c r="G46" s="15" t="inlineStr">
        <is>
          <t>RS03</t>
        </is>
      </c>
      <c r="H46" s="15" t="inlineStr">
        <is>
          <t>Wooden Drums</t>
        </is>
      </c>
      <c r="I46" s="15" t="inlineStr">
        <is>
          <t>Hold</t>
        </is>
      </c>
      <c r="J46" s="15" t="inlineStr">
        <is>
          <t>A</t>
        </is>
      </c>
      <c r="K46" s="15" t="inlineStr">
        <is>
          <t>N</t>
        </is>
      </c>
      <c r="L46" s="15" t="n">
        <v>515</v>
      </c>
      <c r="M46" s="16" t="n">
        <v>0.04840999999999999</v>
      </c>
      <c r="N46" s="16" t="n">
        <v>0</v>
      </c>
      <c r="O46" s="16" t="n">
        <v>0</v>
      </c>
      <c r="P46" s="16" t="n">
        <v>0.04840999999999999</v>
      </c>
      <c r="Q46">
        <f>--($A46=IF('الداشبورد'!$B$5="الكل",$A46,'الداشبورد'!$B$5))</f>
        <v/>
      </c>
      <c r="R46">
        <f>--($E46=IF('الداشبورد'!$B$6="الكل",$E46,'الداشبورد'!$B$6))</f>
        <v/>
      </c>
      <c r="S46">
        <f>--($K46=IF('الداشبورد'!$B$7="الكل",$K46,IF('الداشبورد'!$B$7="تصدير","Y","N")))</f>
        <v/>
      </c>
      <c r="T46">
        <f>--($J46=IF('الداشبورد'!$B$8="الكل",$J46,IF('الداشبورد'!$B$8="AL","A","C")))</f>
        <v/>
      </c>
      <c r="U46">
        <f>--($I46=IF('الداشبورد'!$B$9="الكل",$I46,IF('الداشبورد'!$B$9="بدون حالة","P",'الداشبورد'!$B$9)))</f>
        <v/>
      </c>
      <c r="V46">
        <f>--($D46=IF('الداشبورد'!$B$10="الكل",$D46,'الداشبورد'!$B$10))</f>
        <v/>
      </c>
      <c r="W46">
        <f>--($G46=IF('الداشبورد'!$B$11="الكل",$G46,'الداشبورد'!$B$11))</f>
        <v/>
      </c>
      <c r="X46">
        <f>Q46*R46*S46*T46*U46*V46*W46*--($C46&lt;&gt;"")</f>
        <v/>
      </c>
    </row>
    <row r="47">
      <c r="A47" s="15" t="n">
        <v>1</v>
      </c>
      <c r="B47" s="15" t="inlineStr">
        <is>
          <t>G183458</t>
        </is>
      </c>
      <c r="C47" s="15" t="inlineStr">
        <is>
          <t>1533/26/05</t>
        </is>
      </c>
      <c r="D47" s="15" t="inlineStr">
        <is>
          <t>المدكور  للمشروعات</t>
        </is>
      </c>
      <c r="E47" s="15" t="inlineStr">
        <is>
          <t>OH</t>
        </is>
      </c>
      <c r="F47" s="15" t="inlineStr">
        <is>
          <t>35/6</t>
        </is>
      </c>
      <c r="G47" s="15" t="inlineStr">
        <is>
          <t>CS01</t>
        </is>
      </c>
      <c r="H47" s="15" t="inlineStr">
        <is>
          <t>Wooden Drums</t>
        </is>
      </c>
      <c r="I47" s="15" t="inlineStr">
        <is>
          <t>OK</t>
        </is>
      </c>
      <c r="J47" s="15" t="inlineStr">
        <is>
          <t>A</t>
        </is>
      </c>
      <c r="K47" s="15" t="inlineStr">
        <is>
          <t>N</t>
        </is>
      </c>
      <c r="L47" s="15" t="n">
        <v>5150</v>
      </c>
      <c r="M47" s="16" t="n">
        <v>0.4841</v>
      </c>
      <c r="N47" s="16" t="n">
        <v>0</v>
      </c>
      <c r="O47" s="16" t="n">
        <v>0</v>
      </c>
      <c r="P47" s="16" t="n">
        <v>0.4841</v>
      </c>
      <c r="Q47">
        <f>--($A47=IF('الداشبورد'!$B$5="الكل",$A47,'الداشبورد'!$B$5))</f>
        <v/>
      </c>
      <c r="R47">
        <f>--($E47=IF('الداشبورد'!$B$6="الكل",$E47,'الداشبورد'!$B$6))</f>
        <v/>
      </c>
      <c r="S47">
        <f>--($K47=IF('الداشبورد'!$B$7="الكل",$K47,IF('الداشبورد'!$B$7="تصدير","Y","N")))</f>
        <v/>
      </c>
      <c r="T47">
        <f>--($J47=IF('الداشبورد'!$B$8="الكل",$J47,IF('الداشبورد'!$B$8="AL","A","C")))</f>
        <v/>
      </c>
      <c r="U47">
        <f>--($I47=IF('الداشبورد'!$B$9="الكل",$I47,IF('الداشبورد'!$B$9="بدون حالة","P",'الداشبورد'!$B$9)))</f>
        <v/>
      </c>
      <c r="V47">
        <f>--($D47=IF('الداشبورد'!$B$10="الكل",$D47,'الداشبورد'!$B$10))</f>
        <v/>
      </c>
      <c r="W47">
        <f>--($G47=IF('الداشبورد'!$B$11="الكل",$G47,'الداشبورد'!$B$11))</f>
        <v/>
      </c>
      <c r="X47">
        <f>Q47*R47*S47*T47*U47*V47*W47*--($C47&lt;&gt;"")</f>
        <v/>
      </c>
    </row>
    <row r="48">
      <c r="A48" s="15" t="n">
        <v>1</v>
      </c>
      <c r="B48" s="15" t="inlineStr">
        <is>
          <t>R184264</t>
        </is>
      </c>
      <c r="C48" s="15" t="inlineStr">
        <is>
          <t>1279/26/01</t>
        </is>
      </c>
      <c r="D48" s="15" t="inlineStr">
        <is>
          <t>Eland Cables</t>
        </is>
      </c>
      <c r="E48" s="15" t="inlineStr">
        <is>
          <t>MV</t>
        </is>
      </c>
      <c r="F48" s="15" t="inlineStr">
        <is>
          <t>19/33 KV 3X1X185</t>
        </is>
      </c>
      <c r="G48" s="15" t="inlineStr">
        <is>
          <t>LX01</t>
        </is>
      </c>
      <c r="H48" s="15" t="inlineStr">
        <is>
          <t>Wooden Drums</t>
        </is>
      </c>
      <c r="I48" s="15" t="inlineStr">
        <is>
          <t>OK</t>
        </is>
      </c>
      <c r="J48" s="15" t="inlineStr">
        <is>
          <t>A</t>
        </is>
      </c>
      <c r="K48" s="15" t="inlineStr">
        <is>
          <t>Y</t>
        </is>
      </c>
      <c r="L48" s="15" t="n">
        <v>507</v>
      </c>
      <c r="M48" s="16" t="n">
        <v>0.7275450000000001</v>
      </c>
      <c r="N48" s="16" t="n">
        <v>0.485706</v>
      </c>
      <c r="O48" s="16" t="n">
        <v>0</v>
      </c>
      <c r="P48" s="16" t="n">
        <v>1.213251</v>
      </c>
      <c r="Q48">
        <f>--($A48=IF('الداشبورد'!$B$5="الكل",$A48,'الداشبورد'!$B$5))</f>
        <v/>
      </c>
      <c r="R48">
        <f>--($E48=IF('الداشبورد'!$B$6="الكل",$E48,'الداشبورد'!$B$6))</f>
        <v/>
      </c>
      <c r="S48">
        <f>--($K48=IF('الداشبورد'!$B$7="الكل",$K48,IF('الداشبورد'!$B$7="تصدير","Y","N")))</f>
        <v/>
      </c>
      <c r="T48">
        <f>--($J48=IF('الداشبورد'!$B$8="الكل",$J48,IF('الداشبورد'!$B$8="AL","A","C")))</f>
        <v/>
      </c>
      <c r="U48">
        <f>--($I48=IF('الداشبورد'!$B$9="الكل",$I48,IF('الداشبورد'!$B$9="بدون حالة","P",'الداشبورد'!$B$9)))</f>
        <v/>
      </c>
      <c r="V48">
        <f>--($D48=IF('الداشبورد'!$B$10="الكل",$D48,'الداشبورد'!$B$10))</f>
        <v/>
      </c>
      <c r="W48">
        <f>--($G48=IF('الداشبورد'!$B$11="الكل",$G48,'الداشبورد'!$B$11))</f>
        <v/>
      </c>
      <c r="X48">
        <f>Q48*R48*S48*T48*U48*V48*W48*--($C48&lt;&gt;"")</f>
        <v/>
      </c>
    </row>
    <row r="49">
      <c r="A49" s="15" t="n">
        <v>1</v>
      </c>
      <c r="B49" s="15" t="inlineStr">
        <is>
          <t>S184266</t>
        </is>
      </c>
      <c r="C49" s="15" t="inlineStr">
        <is>
          <t>1279/26/01</t>
        </is>
      </c>
      <c r="D49" s="15" t="inlineStr">
        <is>
          <t>Eland Cables</t>
        </is>
      </c>
      <c r="E49" s="15" t="inlineStr">
        <is>
          <t>MV</t>
        </is>
      </c>
      <c r="F49" s="15" t="inlineStr">
        <is>
          <t>19/33 KV 3X1X185</t>
        </is>
      </c>
      <c r="G49" s="15" t="inlineStr">
        <is>
          <t>LX01</t>
        </is>
      </c>
      <c r="H49" s="15" t="inlineStr">
        <is>
          <t>Wooden Drums</t>
        </is>
      </c>
      <c r="I49" s="15" t="inlineStr">
        <is>
          <t>OK</t>
        </is>
      </c>
      <c r="J49" s="15" t="inlineStr">
        <is>
          <t>A</t>
        </is>
      </c>
      <c r="K49" s="15" t="inlineStr">
        <is>
          <t>Y</t>
        </is>
      </c>
      <c r="L49" s="15" t="n">
        <v>507</v>
      </c>
      <c r="M49" s="16" t="n">
        <v>0.7275450000000001</v>
      </c>
      <c r="N49" s="16" t="n">
        <v>0.485706</v>
      </c>
      <c r="O49" s="16" t="n">
        <v>0</v>
      </c>
      <c r="P49" s="16" t="n">
        <v>1.213251</v>
      </c>
      <c r="Q49">
        <f>--($A49=IF('الداشبورد'!$B$5="الكل",$A49,'الداشبورد'!$B$5))</f>
        <v/>
      </c>
      <c r="R49">
        <f>--($E49=IF('الداشبورد'!$B$6="الكل",$E49,'الداشبورد'!$B$6))</f>
        <v/>
      </c>
      <c r="S49">
        <f>--($K49=IF('الداشبورد'!$B$7="الكل",$K49,IF('الداشبورد'!$B$7="تصدير","Y","N")))</f>
        <v/>
      </c>
      <c r="T49">
        <f>--($J49=IF('الداشبورد'!$B$8="الكل",$J49,IF('الداشبورد'!$B$8="AL","A","C")))</f>
        <v/>
      </c>
      <c r="U49">
        <f>--($I49=IF('الداشبورد'!$B$9="الكل",$I49,IF('الداشبورد'!$B$9="بدون حالة","P",'الداشبورد'!$B$9)))</f>
        <v/>
      </c>
      <c r="V49">
        <f>--($D49=IF('الداشبورد'!$B$10="الكل",$D49,'الداشبورد'!$B$10))</f>
        <v/>
      </c>
      <c r="W49">
        <f>--($G49=IF('الداشبورد'!$B$11="الكل",$G49,'الداشبورد'!$B$11))</f>
        <v/>
      </c>
      <c r="X49">
        <f>Q49*R49*S49*T49*U49*V49*W49*--($C49&lt;&gt;"")</f>
        <v/>
      </c>
    </row>
    <row r="50">
      <c r="A50" s="15" t="n">
        <v>1</v>
      </c>
      <c r="B50" s="15" t="inlineStr">
        <is>
          <t>S184265</t>
        </is>
      </c>
      <c r="C50" s="15" t="inlineStr">
        <is>
          <t>1279/26/01</t>
        </is>
      </c>
      <c r="D50" s="15" t="inlineStr">
        <is>
          <t>Eland Cables</t>
        </is>
      </c>
      <c r="E50" s="15" t="inlineStr">
        <is>
          <t>MV</t>
        </is>
      </c>
      <c r="F50" s="15" t="inlineStr">
        <is>
          <t>19/33 KV 3X1X185</t>
        </is>
      </c>
      <c r="G50" s="15" t="inlineStr">
        <is>
          <t>LX01</t>
        </is>
      </c>
      <c r="H50" s="15" t="inlineStr">
        <is>
          <t>Wooden Drums</t>
        </is>
      </c>
      <c r="I50" s="15" t="inlineStr">
        <is>
          <t>OK</t>
        </is>
      </c>
      <c r="J50" s="15" t="inlineStr">
        <is>
          <t>A</t>
        </is>
      </c>
      <c r="K50" s="15" t="inlineStr">
        <is>
          <t>Y</t>
        </is>
      </c>
      <c r="L50" s="15" t="n">
        <v>507</v>
      </c>
      <c r="M50" s="16" t="n">
        <v>0.7275450000000001</v>
      </c>
      <c r="N50" s="16" t="n">
        <v>0.485706</v>
      </c>
      <c r="O50" s="16" t="n">
        <v>0</v>
      </c>
      <c r="P50" s="16" t="n">
        <v>1.213251</v>
      </c>
      <c r="Q50">
        <f>--($A50=IF('الداشبورد'!$B$5="الكل",$A50,'الداشبورد'!$B$5))</f>
        <v/>
      </c>
      <c r="R50">
        <f>--($E50=IF('الداشبورد'!$B$6="الكل",$E50,'الداشبورد'!$B$6))</f>
        <v/>
      </c>
      <c r="S50">
        <f>--($K50=IF('الداشبورد'!$B$7="الكل",$K50,IF('الداشبورد'!$B$7="تصدير","Y","N")))</f>
        <v/>
      </c>
      <c r="T50">
        <f>--($J50=IF('الداشبورد'!$B$8="الكل",$J50,IF('الداشبورد'!$B$8="AL","A","C")))</f>
        <v/>
      </c>
      <c r="U50">
        <f>--($I50=IF('الداشبورد'!$B$9="الكل",$I50,IF('الداشبورد'!$B$9="بدون حالة","P",'الداشبورد'!$B$9)))</f>
        <v/>
      </c>
      <c r="V50">
        <f>--($D50=IF('الداشبورد'!$B$10="الكل",$D50,'الداشبورد'!$B$10))</f>
        <v/>
      </c>
      <c r="W50">
        <f>--($G50=IF('الداشبورد'!$B$11="الكل",$G50,'الداشبورد'!$B$11))</f>
        <v/>
      </c>
      <c r="X50">
        <f>Q50*R50*S50*T50*U50*V50*W50*--($C50&lt;&gt;"")</f>
        <v/>
      </c>
    </row>
    <row r="51">
      <c r="A51" s="15" t="n">
        <v>1</v>
      </c>
      <c r="B51" s="15" t="inlineStr">
        <is>
          <t>I184188</t>
        </is>
      </c>
      <c r="C51" s="15" t="inlineStr">
        <is>
          <t>1595/26/05</t>
        </is>
      </c>
      <c r="D51" s="15" t="inlineStr">
        <is>
          <t>Helukabel Germany</t>
        </is>
      </c>
      <c r="E51" s="15" t="inlineStr">
        <is>
          <t>LV</t>
        </is>
      </c>
      <c r="F51" s="15" t="inlineStr">
        <is>
          <t>0.6/1 KV 1X240</t>
        </is>
      </c>
      <c r="G51" s="15" t="inlineStr">
        <is>
          <t>EX13</t>
        </is>
      </c>
      <c r="H51" s="15" t="inlineStr">
        <is>
          <t>Wooden Drums</t>
        </is>
      </c>
      <c r="I51" s="15" t="inlineStr">
        <is>
          <t>OK</t>
        </is>
      </c>
      <c r="J51" s="15" t="inlineStr">
        <is>
          <t>A</t>
        </is>
      </c>
      <c r="K51" s="15" t="inlineStr">
        <is>
          <t>Y</t>
        </is>
      </c>
      <c r="L51" s="15" t="n">
        <v>1050</v>
      </c>
      <c r="M51" s="16" t="n">
        <v>0.6573</v>
      </c>
      <c r="N51" s="16" t="n">
        <v>0</v>
      </c>
      <c r="O51" s="16" t="n">
        <v>0</v>
      </c>
      <c r="P51" s="16" t="n">
        <v>0.6573</v>
      </c>
      <c r="Q51">
        <f>--($A51=IF('الداشبورد'!$B$5="الكل",$A51,'الداشبورد'!$B$5))</f>
        <v/>
      </c>
      <c r="R51">
        <f>--($E51=IF('الداشبورد'!$B$6="الكل",$E51,'الداشبورد'!$B$6))</f>
        <v/>
      </c>
      <c r="S51">
        <f>--($K51=IF('الداشبورد'!$B$7="الكل",$K51,IF('الداشبورد'!$B$7="تصدير","Y","N")))</f>
        <v/>
      </c>
      <c r="T51">
        <f>--($J51=IF('الداشبورد'!$B$8="الكل",$J51,IF('الداشبورد'!$B$8="AL","A","C")))</f>
        <v/>
      </c>
      <c r="U51">
        <f>--($I51=IF('الداشبورد'!$B$9="الكل",$I51,IF('الداشبورد'!$B$9="بدون حالة","P",'الداشبورد'!$B$9)))</f>
        <v/>
      </c>
      <c r="V51">
        <f>--($D51=IF('الداشبورد'!$B$10="الكل",$D51,'الداشبورد'!$B$10))</f>
        <v/>
      </c>
      <c r="W51">
        <f>--($G51=IF('الداشبورد'!$B$11="الكل",$G51,'الداشبورد'!$B$11))</f>
        <v/>
      </c>
      <c r="X51">
        <f>Q51*R51*S51*T51*U51*V51*W51*--($C51&lt;&gt;"")</f>
        <v/>
      </c>
    </row>
    <row r="52">
      <c r="A52" s="15" t="n">
        <v>1</v>
      </c>
      <c r="B52" s="15" t="inlineStr">
        <is>
          <t>K184167</t>
        </is>
      </c>
      <c r="C52" s="15" t="inlineStr">
        <is>
          <t>1595/26/05</t>
        </is>
      </c>
      <c r="D52" s="15" t="inlineStr">
        <is>
          <t>Helukabel Germany</t>
        </is>
      </c>
      <c r="E52" s="15" t="inlineStr">
        <is>
          <t>LV</t>
        </is>
      </c>
      <c r="F52" s="15" t="inlineStr">
        <is>
          <t>0.6/1 KV 1X240</t>
        </is>
      </c>
      <c r="G52" s="15" t="inlineStr">
        <is>
          <t>EX13</t>
        </is>
      </c>
      <c r="H52" s="15" t="inlineStr">
        <is>
          <t>Wooden Drums</t>
        </is>
      </c>
      <c r="I52" s="15" t="inlineStr">
        <is>
          <t>OK</t>
        </is>
      </c>
      <c r="J52" s="15" t="inlineStr">
        <is>
          <t>A</t>
        </is>
      </c>
      <c r="K52" s="15" t="inlineStr">
        <is>
          <t>Y</t>
        </is>
      </c>
      <c r="L52" s="15" t="n">
        <v>2035</v>
      </c>
      <c r="M52" s="16" t="n">
        <v>1.27391</v>
      </c>
      <c r="N52" s="16" t="n">
        <v>0</v>
      </c>
      <c r="O52" s="16" t="n">
        <v>0</v>
      </c>
      <c r="P52" s="16" t="n">
        <v>1.27391</v>
      </c>
      <c r="Q52">
        <f>--($A52=IF('الداشبورد'!$B$5="الكل",$A52,'الداشبورد'!$B$5))</f>
        <v/>
      </c>
      <c r="R52">
        <f>--($E52=IF('الداشبورد'!$B$6="الكل",$E52,'الداشبورد'!$B$6))</f>
        <v/>
      </c>
      <c r="S52">
        <f>--($K52=IF('الداشبورد'!$B$7="الكل",$K52,IF('الداشبورد'!$B$7="تصدير","Y","N")))</f>
        <v/>
      </c>
      <c r="T52">
        <f>--($J52=IF('الداشبورد'!$B$8="الكل",$J52,IF('الداشبورد'!$B$8="AL","A","C")))</f>
        <v/>
      </c>
      <c r="U52">
        <f>--($I52=IF('الداشبورد'!$B$9="الكل",$I52,IF('الداشبورد'!$B$9="بدون حالة","P",'الداشبورد'!$B$9)))</f>
        <v/>
      </c>
      <c r="V52">
        <f>--($D52=IF('الداشبورد'!$B$10="الكل",$D52,'الداشبورد'!$B$10))</f>
        <v/>
      </c>
      <c r="W52">
        <f>--($G52=IF('الداشبورد'!$B$11="الكل",$G52,'الداشبورد'!$B$11))</f>
        <v/>
      </c>
      <c r="X52">
        <f>Q52*R52*S52*T52*U52*V52*W52*--($C52&lt;&gt;"")</f>
        <v/>
      </c>
    </row>
    <row r="53">
      <c r="A53" s="15" t="n">
        <v>2</v>
      </c>
      <c r="B53" s="15" t="inlineStr">
        <is>
          <t>O184282</t>
        </is>
      </c>
      <c r="C53" s="15" t="inlineStr">
        <is>
          <t>1363/26/01</t>
        </is>
      </c>
      <c r="D53" s="15" t="inlineStr">
        <is>
          <t>Meinhart Cables Connect</t>
        </is>
      </c>
      <c r="E53" s="15" t="inlineStr">
        <is>
          <t>LV</t>
        </is>
      </c>
      <c r="F53" s="15" t="inlineStr">
        <is>
          <t>600/1000 4X240</t>
        </is>
      </c>
      <c r="G53" s="15" t="inlineStr">
        <is>
          <t>EX03</t>
        </is>
      </c>
      <c r="H53" s="15" t="inlineStr">
        <is>
          <t>Wooden Drums</t>
        </is>
      </c>
      <c r="I53" s="15" t="inlineStr">
        <is>
          <t>OK</t>
        </is>
      </c>
      <c r="J53" s="15" t="inlineStr">
        <is>
          <t>A</t>
        </is>
      </c>
      <c r="K53" s="15" t="inlineStr">
        <is>
          <t>Y</t>
        </is>
      </c>
      <c r="L53" s="15" t="n">
        <v>498</v>
      </c>
      <c r="M53" s="16" t="n">
        <v>1.248984</v>
      </c>
      <c r="N53" s="16" t="n">
        <v>0</v>
      </c>
      <c r="O53" s="16" t="n">
        <v>0</v>
      </c>
      <c r="P53" s="16" t="n">
        <v>1.248984</v>
      </c>
      <c r="Q53">
        <f>--($A53=IF('الداشبورد'!$B$5="الكل",$A53,'الداشبورد'!$B$5))</f>
        <v/>
      </c>
      <c r="R53">
        <f>--($E53=IF('الداشبورد'!$B$6="الكل",$E53,'الداشبورد'!$B$6))</f>
        <v/>
      </c>
      <c r="S53">
        <f>--($K53=IF('الداشبورد'!$B$7="الكل",$K53,IF('الداشبورد'!$B$7="تصدير","Y","N")))</f>
        <v/>
      </c>
      <c r="T53">
        <f>--($J53=IF('الداشبورد'!$B$8="الكل",$J53,IF('الداشبورد'!$B$8="AL","A","C")))</f>
        <v/>
      </c>
      <c r="U53">
        <f>--($I53=IF('الداشبورد'!$B$9="الكل",$I53,IF('الداشبورد'!$B$9="بدون حالة","P",'الداشبورد'!$B$9)))</f>
        <v/>
      </c>
      <c r="V53">
        <f>--($D53=IF('الداشبورد'!$B$10="الكل",$D53,'الداشبورد'!$B$10))</f>
        <v/>
      </c>
      <c r="W53">
        <f>--($G53=IF('الداشبورد'!$B$11="الكل",$G53,'الداشبورد'!$B$11))</f>
        <v/>
      </c>
      <c r="X53">
        <f>Q53*R53*S53*T53*U53*V53*W53*--($C53&lt;&gt;"")</f>
        <v/>
      </c>
    </row>
    <row r="54">
      <c r="A54" s="15" t="n">
        <v>2</v>
      </c>
      <c r="B54" s="15" t="inlineStr">
        <is>
          <t>O184280</t>
        </is>
      </c>
      <c r="C54" s="15" t="inlineStr">
        <is>
          <t>1363/26/01</t>
        </is>
      </c>
      <c r="D54" s="15" t="inlineStr">
        <is>
          <t>Meinhart Cables Connect</t>
        </is>
      </c>
      <c r="E54" s="15" t="inlineStr">
        <is>
          <t>LV</t>
        </is>
      </c>
      <c r="F54" s="15" t="inlineStr">
        <is>
          <t>600/1000 4X240</t>
        </is>
      </c>
      <c r="G54" s="15" t="inlineStr">
        <is>
          <t>EX03</t>
        </is>
      </c>
      <c r="H54" s="15" t="inlineStr">
        <is>
          <t>Wooden Drums</t>
        </is>
      </c>
      <c r="I54" s="15" t="inlineStr">
        <is>
          <t>OK</t>
        </is>
      </c>
      <c r="J54" s="15" t="inlineStr">
        <is>
          <t>A</t>
        </is>
      </c>
      <c r="K54" s="15" t="inlineStr">
        <is>
          <t>Y</t>
        </is>
      </c>
      <c r="L54" s="15" t="n">
        <v>488</v>
      </c>
      <c r="M54" s="16" t="n">
        <v>1.223904</v>
      </c>
      <c r="N54" s="16" t="n">
        <v>0</v>
      </c>
      <c r="O54" s="16" t="n">
        <v>0</v>
      </c>
      <c r="P54" s="16" t="n">
        <v>1.223904</v>
      </c>
      <c r="Q54">
        <f>--($A54=IF('الداشبورد'!$B$5="الكل",$A54,'الداشبورد'!$B$5))</f>
        <v/>
      </c>
      <c r="R54">
        <f>--($E54=IF('الداشبورد'!$B$6="الكل",$E54,'الداشبورد'!$B$6))</f>
        <v/>
      </c>
      <c r="S54">
        <f>--($K54=IF('الداشبورد'!$B$7="الكل",$K54,IF('الداشبورد'!$B$7="تصدير","Y","N")))</f>
        <v/>
      </c>
      <c r="T54">
        <f>--($J54=IF('الداشبورد'!$B$8="الكل",$J54,IF('الداشبورد'!$B$8="AL","A","C")))</f>
        <v/>
      </c>
      <c r="U54">
        <f>--($I54=IF('الداشبورد'!$B$9="الكل",$I54,IF('الداشبورد'!$B$9="بدون حالة","P",'الداشبورد'!$B$9)))</f>
        <v/>
      </c>
      <c r="V54">
        <f>--($D54=IF('الداشبورد'!$B$10="الكل",$D54,'الداشبورد'!$B$10))</f>
        <v/>
      </c>
      <c r="W54">
        <f>--($G54=IF('الداشبورد'!$B$11="الكل",$G54,'الداشبورد'!$B$11))</f>
        <v/>
      </c>
      <c r="X54">
        <f>Q54*R54*S54*T54*U54*V54*W54*--($C54&lt;&gt;"")</f>
        <v/>
      </c>
    </row>
    <row r="55">
      <c r="A55" s="15" t="n">
        <v>2</v>
      </c>
      <c r="B55" s="15" t="inlineStr">
        <is>
          <t>O184283</t>
        </is>
      </c>
      <c r="C55" s="15" t="inlineStr">
        <is>
          <t>1363/26/01</t>
        </is>
      </c>
      <c r="D55" s="15" t="inlineStr">
        <is>
          <t>Meinhart Cables Connect</t>
        </is>
      </c>
      <c r="E55" s="15" t="inlineStr">
        <is>
          <t>LV</t>
        </is>
      </c>
      <c r="F55" s="15" t="inlineStr">
        <is>
          <t>600/1000 4X240</t>
        </is>
      </c>
      <c r="G55" s="15" t="inlineStr">
        <is>
          <t>EX03</t>
        </is>
      </c>
      <c r="H55" s="15" t="inlineStr">
        <is>
          <t>Wooden Drums</t>
        </is>
      </c>
      <c r="I55" s="15" t="inlineStr">
        <is>
          <t>P</t>
        </is>
      </c>
      <c r="J55" s="15" t="inlineStr">
        <is>
          <t>A</t>
        </is>
      </c>
      <c r="K55" s="15" t="inlineStr">
        <is>
          <t>Y</t>
        </is>
      </c>
      <c r="L55" s="15" t="n">
        <v>493</v>
      </c>
      <c r="M55" s="16" t="n">
        <v>1.236444</v>
      </c>
      <c r="N55" s="16" t="n">
        <v>0</v>
      </c>
      <c r="O55" s="16" t="n">
        <v>0</v>
      </c>
      <c r="P55" s="16" t="n">
        <v>1.236444</v>
      </c>
      <c r="Q55">
        <f>--($A55=IF('الداشبورد'!$B$5="الكل",$A55,'الداشبورد'!$B$5))</f>
        <v/>
      </c>
      <c r="R55">
        <f>--($E55=IF('الداشبورد'!$B$6="الكل",$E55,'الداشبورد'!$B$6))</f>
        <v/>
      </c>
      <c r="S55">
        <f>--($K55=IF('الداشبورد'!$B$7="الكل",$K55,IF('الداشبورد'!$B$7="تصدير","Y","N")))</f>
        <v/>
      </c>
      <c r="T55">
        <f>--($J55=IF('الداشبورد'!$B$8="الكل",$J55,IF('الداشبورد'!$B$8="AL","A","C")))</f>
        <v/>
      </c>
      <c r="U55">
        <f>--($I55=IF('الداشبورد'!$B$9="الكل",$I55,IF('الداشبورد'!$B$9="بدون حالة","P",'الداشبورد'!$B$9)))</f>
        <v/>
      </c>
      <c r="V55">
        <f>--($D55=IF('الداشبورد'!$B$10="الكل",$D55,'الداشبورد'!$B$10))</f>
        <v/>
      </c>
      <c r="W55">
        <f>--($G55=IF('الداشبورد'!$B$11="الكل",$G55,'الداشبورد'!$B$11))</f>
        <v/>
      </c>
      <c r="X55">
        <f>Q55*R55*S55*T55*U55*V55*W55*--($C55&lt;&gt;"")</f>
        <v/>
      </c>
    </row>
    <row r="56">
      <c r="A56" s="15" t="n">
        <v>2</v>
      </c>
      <c r="B56" s="15" t="inlineStr">
        <is>
          <t>P181579</t>
        </is>
      </c>
      <c r="C56" s="15" t="inlineStr">
        <is>
          <t>1363/26/01</t>
        </is>
      </c>
      <c r="D56" s="15" t="inlineStr">
        <is>
          <t>Meinhart Cables Connect</t>
        </is>
      </c>
      <c r="E56" s="15" t="inlineStr">
        <is>
          <t>LV</t>
        </is>
      </c>
      <c r="F56" s="15" t="inlineStr">
        <is>
          <t>600/1000 4X240</t>
        </is>
      </c>
      <c r="G56" s="15" t="inlineStr">
        <is>
          <t>EX03</t>
        </is>
      </c>
      <c r="H56" s="15" t="inlineStr">
        <is>
          <t>Wooden Drums</t>
        </is>
      </c>
      <c r="I56" s="15" t="inlineStr">
        <is>
          <t>P</t>
        </is>
      </c>
      <c r="J56" s="15" t="inlineStr">
        <is>
          <t>A</t>
        </is>
      </c>
      <c r="K56" s="15" t="inlineStr">
        <is>
          <t>Y</t>
        </is>
      </c>
      <c r="L56" s="15" t="n">
        <v>1027</v>
      </c>
      <c r="M56" s="16" t="n">
        <v>2.575716</v>
      </c>
      <c r="N56" s="16" t="n">
        <v>0</v>
      </c>
      <c r="O56" s="16" t="n">
        <v>0</v>
      </c>
      <c r="P56" s="16" t="n">
        <v>2.575716</v>
      </c>
      <c r="Q56">
        <f>--($A56=IF('الداشبورد'!$B$5="الكل",$A56,'الداشبورد'!$B$5))</f>
        <v/>
      </c>
      <c r="R56">
        <f>--($E56=IF('الداشبورد'!$B$6="الكل",$E56,'الداشبورد'!$B$6))</f>
        <v/>
      </c>
      <c r="S56">
        <f>--($K56=IF('الداشبورد'!$B$7="الكل",$K56,IF('الداشبورد'!$B$7="تصدير","Y","N")))</f>
        <v/>
      </c>
      <c r="T56">
        <f>--($J56=IF('الداشبورد'!$B$8="الكل",$J56,IF('الداشبورد'!$B$8="AL","A","C")))</f>
        <v/>
      </c>
      <c r="U56">
        <f>--($I56=IF('الداشبورد'!$B$9="الكل",$I56,IF('الداشبورد'!$B$9="بدون حالة","P",'الداشبورد'!$B$9)))</f>
        <v/>
      </c>
      <c r="V56">
        <f>--($D56=IF('الداشبورد'!$B$10="الكل",$D56,'الداشبورد'!$B$10))</f>
        <v/>
      </c>
      <c r="W56">
        <f>--($G56=IF('الداشبورد'!$B$11="الكل",$G56,'الداشبورد'!$B$11))</f>
        <v/>
      </c>
      <c r="X56">
        <f>Q56*R56*S56*T56*U56*V56*W56*--($C56&lt;&gt;"")</f>
        <v/>
      </c>
    </row>
    <row r="57">
      <c r="A57" s="15" t="n">
        <v>2</v>
      </c>
      <c r="B57" s="15" t="inlineStr">
        <is>
          <t>J184320</t>
        </is>
      </c>
      <c r="C57" s="15" t="inlineStr">
        <is>
          <t>1363/26/02</t>
        </is>
      </c>
      <c r="D57" s="15" t="inlineStr">
        <is>
          <t>Meinhart Cables Connect</t>
        </is>
      </c>
      <c r="E57" s="15" t="inlineStr">
        <is>
          <t>LV</t>
        </is>
      </c>
      <c r="F57" s="15" t="inlineStr">
        <is>
          <t>600/100 4X50</t>
        </is>
      </c>
      <c r="G57" s="15" t="inlineStr">
        <is>
          <t>EX03</t>
        </is>
      </c>
      <c r="H57" s="15" t="inlineStr">
        <is>
          <t>Wooden Drums</t>
        </is>
      </c>
      <c r="I57" s="15" t="inlineStr">
        <is>
          <t>OK</t>
        </is>
      </c>
      <c r="J57" s="15" t="inlineStr">
        <is>
          <t>A</t>
        </is>
      </c>
      <c r="K57" s="15" t="inlineStr">
        <is>
          <t>Y</t>
        </is>
      </c>
      <c r="L57" s="15" t="n">
        <v>502</v>
      </c>
      <c r="M57" s="16" t="n">
        <v>0.254012</v>
      </c>
      <c r="N57" s="16" t="n">
        <v>0</v>
      </c>
      <c r="O57" s="16" t="n">
        <v>0</v>
      </c>
      <c r="P57" s="16" t="n">
        <v>0.254012</v>
      </c>
      <c r="Q57">
        <f>--($A57=IF('الداشبورد'!$B$5="الكل",$A57,'الداشبورد'!$B$5))</f>
        <v/>
      </c>
      <c r="R57">
        <f>--($E57=IF('الداشبورد'!$B$6="الكل",$E57,'الداشبورد'!$B$6))</f>
        <v/>
      </c>
      <c r="S57">
        <f>--($K57=IF('الداشبورد'!$B$7="الكل",$K57,IF('الداشبورد'!$B$7="تصدير","Y","N")))</f>
        <v/>
      </c>
      <c r="T57">
        <f>--($J57=IF('الداشبورد'!$B$8="الكل",$J57,IF('الداشبورد'!$B$8="AL","A","C")))</f>
        <v/>
      </c>
      <c r="U57">
        <f>--($I57=IF('الداشبورد'!$B$9="الكل",$I57,IF('الداشبورد'!$B$9="بدون حالة","P",'الداشبورد'!$B$9)))</f>
        <v/>
      </c>
      <c r="V57">
        <f>--($D57=IF('الداشبورد'!$B$10="الكل",$D57,'الداشبورد'!$B$10))</f>
        <v/>
      </c>
      <c r="W57">
        <f>--($G57=IF('الداشبورد'!$B$11="الكل",$G57,'الداشبورد'!$B$11))</f>
        <v/>
      </c>
      <c r="X57">
        <f>Q57*R57*S57*T57*U57*V57*W57*--($C57&lt;&gt;"")</f>
        <v/>
      </c>
    </row>
    <row r="58">
      <c r="A58" s="15" t="n">
        <v>2</v>
      </c>
      <c r="B58" s="15" t="inlineStr">
        <is>
          <t>J184321</t>
        </is>
      </c>
      <c r="C58" s="15" t="inlineStr">
        <is>
          <t>1363/26/02</t>
        </is>
      </c>
      <c r="D58" s="15" t="inlineStr">
        <is>
          <t>Meinhart Cables Connect</t>
        </is>
      </c>
      <c r="E58" s="15" t="inlineStr">
        <is>
          <t>LV</t>
        </is>
      </c>
      <c r="F58" s="15" t="inlineStr">
        <is>
          <t>600/100 4X50</t>
        </is>
      </c>
      <c r="G58" s="15" t="inlineStr">
        <is>
          <t>EX03</t>
        </is>
      </c>
      <c r="H58" s="15" t="inlineStr">
        <is>
          <t>Wooden Drums</t>
        </is>
      </c>
      <c r="I58" s="15" t="inlineStr">
        <is>
          <t>P</t>
        </is>
      </c>
      <c r="J58" s="15" t="inlineStr">
        <is>
          <t>A</t>
        </is>
      </c>
      <c r="K58" s="15" t="inlineStr">
        <is>
          <t>Y</t>
        </is>
      </c>
      <c r="L58" s="15" t="n">
        <v>503</v>
      </c>
      <c r="M58" s="16" t="n">
        <v>0.254518</v>
      </c>
      <c r="N58" s="16" t="n">
        <v>0</v>
      </c>
      <c r="O58" s="16" t="n">
        <v>0</v>
      </c>
      <c r="P58" s="16" t="n">
        <v>0.254518</v>
      </c>
      <c r="Q58">
        <f>--($A58=IF('الداشبورد'!$B$5="الكل",$A58,'الداشبورد'!$B$5))</f>
        <v/>
      </c>
      <c r="R58">
        <f>--($E58=IF('الداشبورد'!$B$6="الكل",$E58,'الداشبورد'!$B$6))</f>
        <v/>
      </c>
      <c r="S58">
        <f>--($K58=IF('الداشبورد'!$B$7="الكل",$K58,IF('الداشبورد'!$B$7="تصدير","Y","N")))</f>
        <v/>
      </c>
      <c r="T58">
        <f>--($J58=IF('الداشبورد'!$B$8="الكل",$J58,IF('الداشبورد'!$B$8="AL","A","C")))</f>
        <v/>
      </c>
      <c r="U58">
        <f>--($I58=IF('الداشبورد'!$B$9="الكل",$I58,IF('الداشبورد'!$B$9="بدون حالة","P",'الداشبورد'!$B$9)))</f>
        <v/>
      </c>
      <c r="V58">
        <f>--($D58=IF('الداشبورد'!$B$10="الكل",$D58,'الداشبورد'!$B$10))</f>
        <v/>
      </c>
      <c r="W58">
        <f>--($G58=IF('الداشبورد'!$B$11="الكل",$G58,'الداشبورد'!$B$11))</f>
        <v/>
      </c>
      <c r="X58">
        <f>Q58*R58*S58*T58*U58*V58*W58*--($C58&lt;&gt;"")</f>
        <v/>
      </c>
    </row>
    <row r="59">
      <c r="A59" s="15" t="n">
        <v>2</v>
      </c>
      <c r="B59" s="15" t="inlineStr">
        <is>
          <t>P184230</t>
        </is>
      </c>
      <c r="C59" s="15" t="inlineStr">
        <is>
          <t>1555/26/01</t>
        </is>
      </c>
      <c r="D59" s="15" t="inlineStr">
        <is>
          <t>Eland Cables</t>
        </is>
      </c>
      <c r="E59" s="15" t="inlineStr">
        <is>
          <t>MV</t>
        </is>
      </c>
      <c r="F59" s="15" t="inlineStr">
        <is>
          <t>12/20 KV 1X630</t>
        </is>
      </c>
      <c r="G59" s="15" t="inlineStr">
        <is>
          <t>EX06</t>
        </is>
      </c>
      <c r="H59" s="15" t="inlineStr">
        <is>
          <t>Wooden Drums</t>
        </is>
      </c>
      <c r="I59" s="15" t="inlineStr">
        <is>
          <t>OK</t>
        </is>
      </c>
      <c r="J59" s="15" t="inlineStr">
        <is>
          <t>A</t>
        </is>
      </c>
      <c r="K59" s="15" t="inlineStr">
        <is>
          <t>Y</t>
        </is>
      </c>
      <c r="L59" s="15" t="n">
        <v>840</v>
      </c>
      <c r="M59" s="16" t="n">
        <v>1.428</v>
      </c>
      <c r="N59" s="16" t="n">
        <v>0.12432</v>
      </c>
      <c r="O59" s="16" t="n">
        <v>0</v>
      </c>
      <c r="P59" s="16" t="n">
        <v>1.55232</v>
      </c>
      <c r="Q59">
        <f>--($A59=IF('الداشبورد'!$B$5="الكل",$A59,'الداشبورد'!$B$5))</f>
        <v/>
      </c>
      <c r="R59">
        <f>--($E59=IF('الداشبورد'!$B$6="الكل",$E59,'الداشبورد'!$B$6))</f>
        <v/>
      </c>
      <c r="S59">
        <f>--($K59=IF('الداشبورد'!$B$7="الكل",$K59,IF('الداشبورد'!$B$7="تصدير","Y","N")))</f>
        <v/>
      </c>
      <c r="T59">
        <f>--($J59=IF('الداشبورد'!$B$8="الكل",$J59,IF('الداشبورد'!$B$8="AL","A","C")))</f>
        <v/>
      </c>
      <c r="U59">
        <f>--($I59=IF('الداشبورد'!$B$9="الكل",$I59,IF('الداشبورد'!$B$9="بدون حالة","P",'الداشبورد'!$B$9)))</f>
        <v/>
      </c>
      <c r="V59">
        <f>--($D59=IF('الداشبورد'!$B$10="الكل",$D59,'الداشبورد'!$B$10))</f>
        <v/>
      </c>
      <c r="W59">
        <f>--($G59=IF('الداشبورد'!$B$11="الكل",$G59,'الداشبورد'!$B$11))</f>
        <v/>
      </c>
      <c r="X59">
        <f>Q59*R59*S59*T59*U59*V59*W59*--($C59&lt;&gt;"")</f>
        <v/>
      </c>
    </row>
    <row r="60">
      <c r="A60" s="15" t="n">
        <v>2</v>
      </c>
      <c r="B60" s="15" t="inlineStr">
        <is>
          <t>P184229</t>
        </is>
      </c>
      <c r="C60" s="15" t="inlineStr">
        <is>
          <t>1555/26/01</t>
        </is>
      </c>
      <c r="D60" s="15" t="inlineStr">
        <is>
          <t>Eland Cables</t>
        </is>
      </c>
      <c r="E60" s="15" t="inlineStr">
        <is>
          <t>MV</t>
        </is>
      </c>
      <c r="F60" s="15" t="inlineStr">
        <is>
          <t>12/20 KV 1X630</t>
        </is>
      </c>
      <c r="G60" s="15" t="inlineStr">
        <is>
          <t>EX06</t>
        </is>
      </c>
      <c r="H60" s="15" t="inlineStr">
        <is>
          <t>Wooden Drums</t>
        </is>
      </c>
      <c r="I60" s="15" t="inlineStr">
        <is>
          <t>OK</t>
        </is>
      </c>
      <c r="J60" s="15" t="inlineStr">
        <is>
          <t>A</t>
        </is>
      </c>
      <c r="K60" s="15" t="inlineStr">
        <is>
          <t>Y</t>
        </is>
      </c>
      <c r="L60" s="15" t="n">
        <v>836</v>
      </c>
      <c r="M60" s="16" t="n">
        <v>1.4212</v>
      </c>
      <c r="N60" s="16" t="n">
        <v>0.123728</v>
      </c>
      <c r="O60" s="16" t="n">
        <v>0</v>
      </c>
      <c r="P60" s="16" t="n">
        <v>1.544928</v>
      </c>
      <c r="Q60">
        <f>--($A60=IF('الداشبورد'!$B$5="الكل",$A60,'الداشبورد'!$B$5))</f>
        <v/>
      </c>
      <c r="R60">
        <f>--($E60=IF('الداشبورد'!$B$6="الكل",$E60,'الداشبورد'!$B$6))</f>
        <v/>
      </c>
      <c r="S60">
        <f>--($K60=IF('الداشبورد'!$B$7="الكل",$K60,IF('الداشبورد'!$B$7="تصدير","Y","N")))</f>
        <v/>
      </c>
      <c r="T60">
        <f>--($J60=IF('الداشبورد'!$B$8="الكل",$J60,IF('الداشبورد'!$B$8="AL","A","C")))</f>
        <v/>
      </c>
      <c r="U60">
        <f>--($I60=IF('الداشبورد'!$B$9="الكل",$I60,IF('الداشبورد'!$B$9="بدون حالة","P",'الداشبورد'!$B$9)))</f>
        <v/>
      </c>
      <c r="V60">
        <f>--($D60=IF('الداشبورد'!$B$10="الكل",$D60,'الداشبورد'!$B$10))</f>
        <v/>
      </c>
      <c r="W60">
        <f>--($G60=IF('الداشبورد'!$B$11="الكل",$G60,'الداشبورد'!$B$11))</f>
        <v/>
      </c>
      <c r="X60">
        <f>Q60*R60*S60*T60*U60*V60*W60*--($C60&lt;&gt;"")</f>
        <v/>
      </c>
    </row>
    <row r="61">
      <c r="A61" s="15" t="n">
        <v>2</v>
      </c>
      <c r="B61" s="15" t="inlineStr">
        <is>
          <t>P184309</t>
        </is>
      </c>
      <c r="C61" s="15" t="inlineStr">
        <is>
          <t>1555/26/01</t>
        </is>
      </c>
      <c r="D61" s="15" t="inlineStr">
        <is>
          <t>Eland Cables</t>
        </is>
      </c>
      <c r="E61" s="15" t="inlineStr">
        <is>
          <t>MV</t>
        </is>
      </c>
      <c r="F61" s="15" t="inlineStr">
        <is>
          <t>12/20 KV 1X630</t>
        </is>
      </c>
      <c r="G61" s="15" t="inlineStr">
        <is>
          <t>EX06</t>
        </is>
      </c>
      <c r="H61" s="15" t="inlineStr">
        <is>
          <t>Wooden Drums</t>
        </is>
      </c>
      <c r="I61" s="15" t="inlineStr">
        <is>
          <t>OK</t>
        </is>
      </c>
      <c r="J61" s="15" t="inlineStr">
        <is>
          <t>A</t>
        </is>
      </c>
      <c r="K61" s="15" t="inlineStr">
        <is>
          <t>Y</t>
        </is>
      </c>
      <c r="L61" s="15" t="n">
        <v>865</v>
      </c>
      <c r="M61" s="16" t="n">
        <v>1.4705</v>
      </c>
      <c r="N61" s="16" t="n">
        <v>0.12802</v>
      </c>
      <c r="O61" s="16" t="n">
        <v>0</v>
      </c>
      <c r="P61" s="16" t="n">
        <v>1.59852</v>
      </c>
      <c r="Q61">
        <f>--($A61=IF('الداشبورد'!$B$5="الكل",$A61,'الداشبورد'!$B$5))</f>
        <v/>
      </c>
      <c r="R61">
        <f>--($E61=IF('الداشبورد'!$B$6="الكل",$E61,'الداشبورد'!$B$6))</f>
        <v/>
      </c>
      <c r="S61">
        <f>--($K61=IF('الداشبورد'!$B$7="الكل",$K61,IF('الداشبورد'!$B$7="تصدير","Y","N")))</f>
        <v/>
      </c>
      <c r="T61">
        <f>--($J61=IF('الداشبورد'!$B$8="الكل",$J61,IF('الداشبورد'!$B$8="AL","A","C")))</f>
        <v/>
      </c>
      <c r="U61">
        <f>--($I61=IF('الداشبورد'!$B$9="الكل",$I61,IF('الداشبورد'!$B$9="بدون حالة","P",'الداشبورد'!$B$9)))</f>
        <v/>
      </c>
      <c r="V61">
        <f>--($D61=IF('الداشبورد'!$B$10="الكل",$D61,'الداشبورد'!$B$10))</f>
        <v/>
      </c>
      <c r="W61">
        <f>--($G61=IF('الداشبورد'!$B$11="الكل",$G61,'الداشبورد'!$B$11))</f>
        <v/>
      </c>
      <c r="X61">
        <f>Q61*R61*S61*T61*U61*V61*W61*--($C61&lt;&gt;"")</f>
        <v/>
      </c>
    </row>
    <row r="62">
      <c r="A62" s="15" t="n">
        <v>2</v>
      </c>
      <c r="B62" s="15" t="inlineStr">
        <is>
          <t>T184279</t>
        </is>
      </c>
      <c r="C62" s="15" t="inlineStr">
        <is>
          <t>1385/26/03</t>
        </is>
      </c>
      <c r="D62" s="15" t="inlineStr">
        <is>
          <t>الشركة العربية للصناعة والتجارة الدولية</t>
        </is>
      </c>
      <c r="E62" s="15" t="inlineStr">
        <is>
          <t>LV</t>
        </is>
      </c>
      <c r="F62" s="15" t="inlineStr">
        <is>
          <t>0.6/1 KV 3*240+120</t>
        </is>
      </c>
      <c r="G62" s="15" t="inlineStr">
        <is>
          <t>EX07</t>
        </is>
      </c>
      <c r="H62" s="15" t="inlineStr">
        <is>
          <t>Wooden Drums</t>
        </is>
      </c>
      <c r="I62" s="15" t="inlineStr">
        <is>
          <t>OK</t>
        </is>
      </c>
      <c r="J62" s="15" t="inlineStr">
        <is>
          <t>A</t>
        </is>
      </c>
      <c r="K62" s="15" t="inlineStr">
        <is>
          <t>N</t>
        </is>
      </c>
      <c r="L62" s="15" t="n">
        <v>1010</v>
      </c>
      <c r="M62" s="16" t="n">
        <v>2.21897</v>
      </c>
      <c r="N62" s="16" t="n">
        <v>0</v>
      </c>
      <c r="O62" s="16" t="n">
        <v>0</v>
      </c>
      <c r="P62" s="16" t="n">
        <v>2.21897</v>
      </c>
      <c r="Q62">
        <f>--($A62=IF('الداشبورد'!$B$5="الكل",$A62,'الداشبورد'!$B$5))</f>
        <v/>
      </c>
      <c r="R62">
        <f>--($E62=IF('الداشبورد'!$B$6="الكل",$E62,'الداشبورد'!$B$6))</f>
        <v/>
      </c>
      <c r="S62">
        <f>--($K62=IF('الداشبورد'!$B$7="الكل",$K62,IF('الداشبورد'!$B$7="تصدير","Y","N")))</f>
        <v/>
      </c>
      <c r="T62">
        <f>--($J62=IF('الداشبورد'!$B$8="الكل",$J62,IF('الداشبورد'!$B$8="AL","A","C")))</f>
        <v/>
      </c>
      <c r="U62">
        <f>--($I62=IF('الداشبورد'!$B$9="الكل",$I62,IF('الداشبورد'!$B$9="بدون حالة","P",'الداشبورد'!$B$9)))</f>
        <v/>
      </c>
      <c r="V62">
        <f>--($D62=IF('الداشبورد'!$B$10="الكل",$D62,'الداشبورد'!$B$10))</f>
        <v/>
      </c>
      <c r="W62">
        <f>--($G62=IF('الداشبورد'!$B$11="الكل",$G62,'الداشبورد'!$B$11))</f>
        <v/>
      </c>
      <c r="X62">
        <f>Q62*R62*S62*T62*U62*V62*W62*--($C62&lt;&gt;"")</f>
        <v/>
      </c>
    </row>
    <row r="63">
      <c r="A63" s="15" t="n">
        <v>2</v>
      </c>
      <c r="B63" s="15" t="inlineStr">
        <is>
          <t>R184290</t>
        </is>
      </c>
      <c r="C63" s="15" t="inlineStr">
        <is>
          <t>1385/26/03</t>
        </is>
      </c>
      <c r="D63" s="15" t="inlineStr">
        <is>
          <t>الشركة العربية للصناعة والتجارة الدولية</t>
        </is>
      </c>
      <c r="E63" s="15" t="inlineStr">
        <is>
          <t>LV</t>
        </is>
      </c>
      <c r="F63" s="15" t="inlineStr">
        <is>
          <t>0.6/1 KV 3*240+120</t>
        </is>
      </c>
      <c r="G63" s="15" t="inlineStr">
        <is>
          <t>EX07</t>
        </is>
      </c>
      <c r="H63" s="15" t="inlineStr">
        <is>
          <t>Wooden Drums</t>
        </is>
      </c>
      <c r="I63" s="15" t="inlineStr">
        <is>
          <t>OK</t>
        </is>
      </c>
      <c r="J63" s="15" t="inlineStr">
        <is>
          <t>A</t>
        </is>
      </c>
      <c r="K63" s="15" t="inlineStr">
        <is>
          <t>N</t>
        </is>
      </c>
      <c r="L63" s="15" t="n">
        <v>442</v>
      </c>
      <c r="M63" s="16" t="n">
        <v>0.9710740000000001</v>
      </c>
      <c r="N63" s="16" t="n">
        <v>0</v>
      </c>
      <c r="O63" s="16" t="n">
        <v>0</v>
      </c>
      <c r="P63" s="16" t="n">
        <v>0.9710740000000001</v>
      </c>
      <c r="Q63">
        <f>--($A63=IF('الداشبورد'!$B$5="الكل",$A63,'الداشبورد'!$B$5))</f>
        <v/>
      </c>
      <c r="R63">
        <f>--($E63=IF('الداشبورد'!$B$6="الكل",$E63,'الداشبورد'!$B$6))</f>
        <v/>
      </c>
      <c r="S63">
        <f>--($K63=IF('الداشبورد'!$B$7="الكل",$K63,IF('الداشبورد'!$B$7="تصدير","Y","N")))</f>
        <v/>
      </c>
      <c r="T63">
        <f>--($J63=IF('الداشبورد'!$B$8="الكل",$J63,IF('الداشبورد'!$B$8="AL","A","C")))</f>
        <v/>
      </c>
      <c r="U63">
        <f>--($I63=IF('الداشبورد'!$B$9="الكل",$I63,IF('الداشبورد'!$B$9="بدون حالة","P",'الداشبورد'!$B$9)))</f>
        <v/>
      </c>
      <c r="V63">
        <f>--($D63=IF('الداشبورد'!$B$10="الكل",$D63,'الداشبورد'!$B$10))</f>
        <v/>
      </c>
      <c r="W63">
        <f>--($G63=IF('الداشبورد'!$B$11="الكل",$G63,'الداشبورد'!$B$11))</f>
        <v/>
      </c>
      <c r="X63">
        <f>Q63*R63*S63*T63*U63*V63*W63*--($C63&lt;&gt;"")</f>
        <v/>
      </c>
    </row>
    <row r="64">
      <c r="A64" s="15" t="n">
        <v>2</v>
      </c>
      <c r="B64" s="15" t="inlineStr">
        <is>
          <t>R184289</t>
        </is>
      </c>
      <c r="C64" s="15" t="inlineStr">
        <is>
          <t>1385/26/03</t>
        </is>
      </c>
      <c r="D64" s="15" t="inlineStr">
        <is>
          <t>الشركة العربية للصناعة والتجارة الدولية</t>
        </is>
      </c>
      <c r="E64" s="15" t="inlineStr">
        <is>
          <t>LV</t>
        </is>
      </c>
      <c r="F64" s="15" t="inlineStr">
        <is>
          <t>0.6/1 KV 3*240+120</t>
        </is>
      </c>
      <c r="G64" s="15" t="inlineStr">
        <is>
          <t>EX07</t>
        </is>
      </c>
      <c r="H64" s="15" t="inlineStr">
        <is>
          <t>Wooden Drums</t>
        </is>
      </c>
      <c r="I64" s="15" t="inlineStr">
        <is>
          <t>OK</t>
        </is>
      </c>
      <c r="J64" s="15" t="inlineStr">
        <is>
          <t>A</t>
        </is>
      </c>
      <c r="K64" s="15" t="inlineStr">
        <is>
          <t>N</t>
        </is>
      </c>
      <c r="L64" s="15" t="n">
        <v>510</v>
      </c>
      <c r="M64" s="16" t="n">
        <v>1.12047</v>
      </c>
      <c r="N64" s="16" t="n">
        <v>0</v>
      </c>
      <c r="O64" s="16" t="n">
        <v>0</v>
      </c>
      <c r="P64" s="16" t="n">
        <v>1.12047</v>
      </c>
      <c r="Q64">
        <f>--($A64=IF('الداشبورد'!$B$5="الكل",$A64,'الداشبورد'!$B$5))</f>
        <v/>
      </c>
      <c r="R64">
        <f>--($E64=IF('الداشبورد'!$B$6="الكل",$E64,'الداشبورد'!$B$6))</f>
        <v/>
      </c>
      <c r="S64">
        <f>--($K64=IF('الداشبورد'!$B$7="الكل",$K64,IF('الداشبورد'!$B$7="تصدير","Y","N")))</f>
        <v/>
      </c>
      <c r="T64">
        <f>--($J64=IF('الداشبورد'!$B$8="الكل",$J64,IF('الداشبورد'!$B$8="AL","A","C")))</f>
        <v/>
      </c>
      <c r="U64">
        <f>--($I64=IF('الداشبورد'!$B$9="الكل",$I64,IF('الداشبورد'!$B$9="بدون حالة","P",'الداشبورد'!$B$9)))</f>
        <v/>
      </c>
      <c r="V64">
        <f>--($D64=IF('الداشبورد'!$B$10="الكل",$D64,'الداشبورد'!$B$10))</f>
        <v/>
      </c>
      <c r="W64">
        <f>--($G64=IF('الداشبورد'!$B$11="الكل",$G64,'الداشبورد'!$B$11))</f>
        <v/>
      </c>
      <c r="X64">
        <f>Q64*R64*S64*T64*U64*V64*W64*--($C64&lt;&gt;"")</f>
        <v/>
      </c>
    </row>
    <row r="65">
      <c r="A65" s="15" t="n">
        <v>2</v>
      </c>
      <c r="B65" s="15" t="inlineStr">
        <is>
          <t>T184278</t>
        </is>
      </c>
      <c r="C65" s="15" t="inlineStr">
        <is>
          <t>1385/26/03</t>
        </is>
      </c>
      <c r="D65" s="15" t="inlineStr">
        <is>
          <t>الشركة العربية للصناعة والتجارة الدولية</t>
        </is>
      </c>
      <c r="E65" s="15" t="inlineStr">
        <is>
          <t>LV</t>
        </is>
      </c>
      <c r="F65" s="15" t="inlineStr">
        <is>
          <t>0.6/1 KV 3*240+120</t>
        </is>
      </c>
      <c r="G65" s="15" t="inlineStr">
        <is>
          <t>EX07</t>
        </is>
      </c>
      <c r="H65" s="15" t="inlineStr">
        <is>
          <t>Wooden Drums</t>
        </is>
      </c>
      <c r="I65" s="15" t="inlineStr">
        <is>
          <t>OK</t>
        </is>
      </c>
      <c r="J65" s="15" t="inlineStr">
        <is>
          <t>A</t>
        </is>
      </c>
      <c r="K65" s="15" t="inlineStr">
        <is>
          <t>N</t>
        </is>
      </c>
      <c r="L65" s="15" t="n">
        <v>1045</v>
      </c>
      <c r="M65" s="16" t="n">
        <v>2.295865</v>
      </c>
      <c r="N65" s="16" t="n">
        <v>0</v>
      </c>
      <c r="O65" s="16" t="n">
        <v>0</v>
      </c>
      <c r="P65" s="16" t="n">
        <v>2.295865</v>
      </c>
      <c r="Q65">
        <f>--($A65=IF('الداشبورد'!$B$5="الكل",$A65,'الداشبورد'!$B$5))</f>
        <v/>
      </c>
      <c r="R65">
        <f>--($E65=IF('الداشبورد'!$B$6="الكل",$E65,'الداشبورد'!$B$6))</f>
        <v/>
      </c>
      <c r="S65">
        <f>--($K65=IF('الداشبورد'!$B$7="الكل",$K65,IF('الداشبورد'!$B$7="تصدير","Y","N")))</f>
        <v/>
      </c>
      <c r="T65">
        <f>--($J65=IF('الداشبورد'!$B$8="الكل",$J65,IF('الداشبورد'!$B$8="AL","A","C")))</f>
        <v/>
      </c>
      <c r="U65">
        <f>--($I65=IF('الداشبورد'!$B$9="الكل",$I65,IF('الداشبورد'!$B$9="بدون حالة","P",'الداشبورد'!$B$9)))</f>
        <v/>
      </c>
      <c r="V65">
        <f>--($D65=IF('الداشبورد'!$B$10="الكل",$D65,'الداشبورد'!$B$10))</f>
        <v/>
      </c>
      <c r="W65">
        <f>--($G65=IF('الداشبورد'!$B$11="الكل",$G65,'الداشبورد'!$B$11))</f>
        <v/>
      </c>
      <c r="X65">
        <f>Q65*R65*S65*T65*U65*V65*W65*--($C65&lt;&gt;"")</f>
        <v/>
      </c>
    </row>
    <row r="66">
      <c r="A66" s="15" t="n">
        <v>2</v>
      </c>
      <c r="B66" s="15" t="inlineStr">
        <is>
          <t>V184210</t>
        </is>
      </c>
      <c r="C66" s="15" t="inlineStr">
        <is>
          <t>803/26/02</t>
        </is>
      </c>
      <c r="D66" s="15" t="inlineStr">
        <is>
          <t>الشركة العربية للصناعة والتجارة الدولية</t>
        </is>
      </c>
      <c r="E66" s="15" t="inlineStr">
        <is>
          <t>MV</t>
        </is>
      </c>
      <c r="F66" s="15" t="inlineStr">
        <is>
          <t>18 / 30 KV 3 X 240 MM</t>
        </is>
      </c>
      <c r="G66" s="15" t="inlineStr">
        <is>
          <t>EX07</t>
        </is>
      </c>
      <c r="H66" s="15" t="inlineStr">
        <is>
          <t>Wooden Drums</t>
        </is>
      </c>
      <c r="I66" s="15" t="inlineStr">
        <is>
          <t>OK</t>
        </is>
      </c>
      <c r="J66" s="15" t="inlineStr">
        <is>
          <t>A</t>
        </is>
      </c>
      <c r="K66" s="15" t="inlineStr">
        <is>
          <t>N</t>
        </is>
      </c>
      <c r="L66" s="15" t="n">
        <v>500</v>
      </c>
      <c r="M66" s="16" t="n">
        <v>0.9399999999999999</v>
      </c>
      <c r="N66" s="16" t="n">
        <v>0</v>
      </c>
      <c r="O66" s="16" t="n">
        <v>0</v>
      </c>
      <c r="P66" s="16" t="n">
        <v>0.9399999999999999</v>
      </c>
      <c r="Q66">
        <f>--($A66=IF('الداشبورد'!$B$5="الكل",$A66,'الداشبورد'!$B$5))</f>
        <v/>
      </c>
      <c r="R66">
        <f>--($E66=IF('الداشبورد'!$B$6="الكل",$E66,'الداشبورد'!$B$6))</f>
        <v/>
      </c>
      <c r="S66">
        <f>--($K66=IF('الداشبورد'!$B$7="الكل",$K66,IF('الداشبورد'!$B$7="تصدير","Y","N")))</f>
        <v/>
      </c>
      <c r="T66">
        <f>--($J66=IF('الداشبورد'!$B$8="الكل",$J66,IF('الداشبورد'!$B$8="AL","A","C")))</f>
        <v/>
      </c>
      <c r="U66">
        <f>--($I66=IF('الداشبورد'!$B$9="الكل",$I66,IF('الداشبورد'!$B$9="بدون حالة","P",'الداشبورد'!$B$9)))</f>
        <v/>
      </c>
      <c r="V66">
        <f>--($D66=IF('الداشبورد'!$B$10="الكل",$D66,'الداشبورد'!$B$10))</f>
        <v/>
      </c>
      <c r="W66">
        <f>--($G66=IF('الداشبورد'!$B$11="الكل",$G66,'الداشبورد'!$B$11))</f>
        <v/>
      </c>
      <c r="X66">
        <f>Q66*R66*S66*T66*U66*V66*W66*--($C66&lt;&gt;"")</f>
        <v/>
      </c>
    </row>
    <row r="67">
      <c r="A67" s="15" t="n">
        <v>2</v>
      </c>
      <c r="B67" s="15" t="inlineStr">
        <is>
          <t>V184293</t>
        </is>
      </c>
      <c r="C67" s="15" t="inlineStr">
        <is>
          <t>803/26/02</t>
        </is>
      </c>
      <c r="D67" s="15" t="inlineStr">
        <is>
          <t>الشركة العربية للصناعة والتجارة الدولية</t>
        </is>
      </c>
      <c r="E67" s="15" t="inlineStr">
        <is>
          <t>MV</t>
        </is>
      </c>
      <c r="F67" s="15" t="inlineStr">
        <is>
          <t>18 / 30 KV 3 X 240 MM</t>
        </is>
      </c>
      <c r="G67" s="15" t="inlineStr">
        <is>
          <t>EX07</t>
        </is>
      </c>
      <c r="H67" s="15" t="inlineStr">
        <is>
          <t>Wooden Drums</t>
        </is>
      </c>
      <c r="I67" s="15" t="inlineStr">
        <is>
          <t>OK</t>
        </is>
      </c>
      <c r="J67" s="15" t="inlineStr">
        <is>
          <t>A</t>
        </is>
      </c>
      <c r="K67" s="15" t="inlineStr">
        <is>
          <t>N</t>
        </is>
      </c>
      <c r="L67" s="15" t="n">
        <v>490</v>
      </c>
      <c r="M67" s="16" t="n">
        <v>0.9211999999999999</v>
      </c>
      <c r="N67" s="16" t="n">
        <v>0</v>
      </c>
      <c r="O67" s="16" t="n">
        <v>0</v>
      </c>
      <c r="P67" s="16" t="n">
        <v>0.9211999999999999</v>
      </c>
      <c r="Q67">
        <f>--($A67=IF('الداشبورد'!$B$5="الكل",$A67,'الداشبورد'!$B$5))</f>
        <v/>
      </c>
      <c r="R67">
        <f>--($E67=IF('الداشبورد'!$B$6="الكل",$E67,'الداشبورد'!$B$6))</f>
        <v/>
      </c>
      <c r="S67">
        <f>--($K67=IF('الداشبورد'!$B$7="الكل",$K67,IF('الداشبورد'!$B$7="تصدير","Y","N")))</f>
        <v/>
      </c>
      <c r="T67">
        <f>--($J67=IF('الداشبورد'!$B$8="الكل",$J67,IF('الداشبورد'!$B$8="AL","A","C")))</f>
        <v/>
      </c>
      <c r="U67">
        <f>--($I67=IF('الداشبورد'!$B$9="الكل",$I67,IF('الداشبورد'!$B$9="بدون حالة","P",'الداشبورد'!$B$9)))</f>
        <v/>
      </c>
      <c r="V67">
        <f>--($D67=IF('الداشبورد'!$B$10="الكل",$D67,'الداشبورد'!$B$10))</f>
        <v/>
      </c>
      <c r="W67">
        <f>--($G67=IF('الداشبورد'!$B$11="الكل",$G67,'الداشبورد'!$B$11))</f>
        <v/>
      </c>
      <c r="X67">
        <f>Q67*R67*S67*T67*U67*V67*W67*--($C67&lt;&gt;"")</f>
        <v/>
      </c>
    </row>
    <row r="68">
      <c r="A68" s="15" t="n">
        <v>2</v>
      </c>
      <c r="B68" s="15" t="inlineStr">
        <is>
          <t>F183419</t>
        </is>
      </c>
      <c r="C68" s="15" t="inlineStr">
        <is>
          <t>1462/26/05</t>
        </is>
      </c>
      <c r="D68" s="15" t="inlineStr">
        <is>
          <t>Vigo trgovina d.o.o.</t>
        </is>
      </c>
      <c r="E68" s="15" t="inlineStr">
        <is>
          <t>LV</t>
        </is>
      </c>
      <c r="F68" s="15" t="inlineStr">
        <is>
          <t>0.6/1 KV 4X10</t>
        </is>
      </c>
      <c r="G68" s="15" t="inlineStr">
        <is>
          <t>EX13</t>
        </is>
      </c>
      <c r="H68" s="15" t="inlineStr">
        <is>
          <t>Wooden Drums</t>
        </is>
      </c>
      <c r="I68" s="15" t="inlineStr">
        <is>
          <t>OK</t>
        </is>
      </c>
      <c r="J68" s="15" t="inlineStr">
        <is>
          <t>C</t>
        </is>
      </c>
      <c r="K68" s="15" t="inlineStr">
        <is>
          <t>Y</t>
        </is>
      </c>
      <c r="L68" s="15" t="n">
        <v>505</v>
      </c>
      <c r="M68" s="16" t="n">
        <v>0.17877</v>
      </c>
      <c r="N68" s="16" t="n">
        <v>0</v>
      </c>
      <c r="O68" s="16" t="n">
        <v>0</v>
      </c>
      <c r="P68" s="16" t="n">
        <v>0.17877</v>
      </c>
      <c r="Q68">
        <f>--($A68=IF('الداشبورد'!$B$5="الكل",$A68,'الداشبورد'!$B$5))</f>
        <v/>
      </c>
      <c r="R68">
        <f>--($E68=IF('الداشبورد'!$B$6="الكل",$E68,'الداشبورد'!$B$6))</f>
        <v/>
      </c>
      <c r="S68">
        <f>--($K68=IF('الداشبورد'!$B$7="الكل",$K68,IF('الداشبورد'!$B$7="تصدير","Y","N")))</f>
        <v/>
      </c>
      <c r="T68">
        <f>--($J68=IF('الداشبورد'!$B$8="الكل",$J68,IF('الداشبورد'!$B$8="AL","A","C")))</f>
        <v/>
      </c>
      <c r="U68">
        <f>--($I68=IF('الداشبورد'!$B$9="الكل",$I68,IF('الداشبورد'!$B$9="بدون حالة","P",'الداشبورد'!$B$9)))</f>
        <v/>
      </c>
      <c r="V68">
        <f>--($D68=IF('الداشبورد'!$B$10="الكل",$D68,'الداشبورد'!$B$10))</f>
        <v/>
      </c>
      <c r="W68">
        <f>--($G68=IF('الداشبورد'!$B$11="الكل",$G68,'الداشبورد'!$B$11))</f>
        <v/>
      </c>
      <c r="X68">
        <f>Q68*R68*S68*T68*U68*V68*W68*--($C68&lt;&gt;"")</f>
        <v/>
      </c>
    </row>
    <row r="69">
      <c r="A69" s="15" t="n">
        <v>2</v>
      </c>
      <c r="B69" s="15" t="inlineStr">
        <is>
          <t>F183418</t>
        </is>
      </c>
      <c r="C69" s="15" t="inlineStr">
        <is>
          <t>1462/26/05</t>
        </is>
      </c>
      <c r="D69" s="15" t="inlineStr">
        <is>
          <t>Vigo trgovina d.o.o.</t>
        </is>
      </c>
      <c r="E69" s="15" t="inlineStr">
        <is>
          <t>LV</t>
        </is>
      </c>
      <c r="F69" s="15" t="inlineStr">
        <is>
          <t>0.6/1 KV 4X10</t>
        </is>
      </c>
      <c r="G69" s="15" t="inlineStr">
        <is>
          <t>EX13</t>
        </is>
      </c>
      <c r="H69" s="15" t="inlineStr">
        <is>
          <t>Wooden Drums</t>
        </is>
      </c>
      <c r="I69" s="15" t="inlineStr">
        <is>
          <t>OK</t>
        </is>
      </c>
      <c r="J69" s="15" t="inlineStr">
        <is>
          <t>C</t>
        </is>
      </c>
      <c r="K69" s="15" t="inlineStr">
        <is>
          <t>Y</t>
        </is>
      </c>
      <c r="L69" s="15" t="n">
        <v>514</v>
      </c>
      <c r="M69" s="16" t="n">
        <v>0.181956</v>
      </c>
      <c r="N69" s="16" t="n">
        <v>0</v>
      </c>
      <c r="O69" s="16" t="n">
        <v>0</v>
      </c>
      <c r="P69" s="16" t="n">
        <v>0.181956</v>
      </c>
      <c r="Q69">
        <f>--($A69=IF('الداشبورد'!$B$5="الكل",$A69,'الداشبورد'!$B$5))</f>
        <v/>
      </c>
      <c r="R69">
        <f>--($E69=IF('الداشبورد'!$B$6="الكل",$E69,'الداشبورد'!$B$6))</f>
        <v/>
      </c>
      <c r="S69">
        <f>--($K69=IF('الداشبورد'!$B$7="الكل",$K69,IF('الداشبورد'!$B$7="تصدير","Y","N")))</f>
        <v/>
      </c>
      <c r="T69">
        <f>--($J69=IF('الداشبورد'!$B$8="الكل",$J69,IF('الداشبورد'!$B$8="AL","A","C")))</f>
        <v/>
      </c>
      <c r="U69">
        <f>--($I69=IF('الداشبورد'!$B$9="الكل",$I69,IF('الداشبورد'!$B$9="بدون حالة","P",'الداشبورد'!$B$9)))</f>
        <v/>
      </c>
      <c r="V69">
        <f>--($D69=IF('الداشبورد'!$B$10="الكل",$D69,'الداشبورد'!$B$10))</f>
        <v/>
      </c>
      <c r="W69">
        <f>--($G69=IF('الداشبورد'!$B$11="الكل",$G69,'الداشبورد'!$B$11))</f>
        <v/>
      </c>
      <c r="X69">
        <f>Q69*R69*S69*T69*U69*V69*W69*--($C69&lt;&gt;"")</f>
        <v/>
      </c>
    </row>
    <row r="70">
      <c r="A70" s="15" t="n">
        <v>2</v>
      </c>
      <c r="B70" s="15" t="inlineStr">
        <is>
          <t>M184255</t>
        </is>
      </c>
      <c r="C70" s="15" t="inlineStr">
        <is>
          <t>1385/26/11</t>
        </is>
      </c>
      <c r="D70" s="15" t="inlineStr">
        <is>
          <t>الشركة العربية للصناعة والتجارة الدولية</t>
        </is>
      </c>
      <c r="E70" s="15" t="inlineStr">
        <is>
          <t>LV</t>
        </is>
      </c>
      <c r="F70" s="15" t="inlineStr">
        <is>
          <t>0.6/1 KV 4*25</t>
        </is>
      </c>
      <c r="G70" s="15" t="inlineStr">
        <is>
          <t>EX13</t>
        </is>
      </c>
      <c r="H70" s="15" t="inlineStr">
        <is>
          <t>Wooden Drums</t>
        </is>
      </c>
      <c r="I70" s="15" t="inlineStr">
        <is>
          <t>OK</t>
        </is>
      </c>
      <c r="J70" s="15" t="inlineStr">
        <is>
          <t>A</t>
        </is>
      </c>
      <c r="K70" s="15" t="inlineStr">
        <is>
          <t>N</t>
        </is>
      </c>
      <c r="L70" s="15" t="n">
        <v>2005</v>
      </c>
      <c r="M70" s="16" t="n">
        <v>0.5172899999999999</v>
      </c>
      <c r="N70" s="16" t="n">
        <v>0</v>
      </c>
      <c r="O70" s="16" t="n">
        <v>0</v>
      </c>
      <c r="P70" s="16" t="n">
        <v>0.5172899999999999</v>
      </c>
      <c r="Q70">
        <f>--($A70=IF('الداشبورد'!$B$5="الكل",$A70,'الداشبورد'!$B$5))</f>
        <v/>
      </c>
      <c r="R70">
        <f>--($E70=IF('الداشبورد'!$B$6="الكل",$E70,'الداشبورد'!$B$6))</f>
        <v/>
      </c>
      <c r="S70">
        <f>--($K70=IF('الداشبورد'!$B$7="الكل",$K70,IF('الداشبورد'!$B$7="تصدير","Y","N")))</f>
        <v/>
      </c>
      <c r="T70">
        <f>--($J70=IF('الداشبورد'!$B$8="الكل",$J70,IF('الداشبورد'!$B$8="AL","A","C")))</f>
        <v/>
      </c>
      <c r="U70">
        <f>--($I70=IF('الداشبورد'!$B$9="الكل",$I70,IF('الداشبورد'!$B$9="بدون حالة","P",'الداشبورد'!$B$9)))</f>
        <v/>
      </c>
      <c r="V70">
        <f>--($D70=IF('الداشبورد'!$B$10="الكل",$D70,'الداشبورد'!$B$10))</f>
        <v/>
      </c>
      <c r="W70">
        <f>--($G70=IF('الداشبورد'!$B$11="الكل",$G70,'الداشبورد'!$B$11))</f>
        <v/>
      </c>
      <c r="X70">
        <f>Q70*R70*S70*T70*U70*V70*W70*--($C70&lt;&gt;"")</f>
        <v/>
      </c>
    </row>
    <row r="71">
      <c r="A71" s="15" t="n">
        <v>2</v>
      </c>
      <c r="B71" s="15" t="inlineStr">
        <is>
          <t>P184297</t>
        </is>
      </c>
      <c r="C71" s="15" t="inlineStr">
        <is>
          <t>1385/26/11</t>
        </is>
      </c>
      <c r="D71" s="15" t="inlineStr">
        <is>
          <t>الشركة العربية للصناعة والتجارة الدولية</t>
        </is>
      </c>
      <c r="E71" s="15" t="inlineStr">
        <is>
          <t>LV</t>
        </is>
      </c>
      <c r="F71" s="15" t="inlineStr">
        <is>
          <t>0.6/1 KV 4*25</t>
        </is>
      </c>
      <c r="G71" s="15" t="inlineStr">
        <is>
          <t>EX13</t>
        </is>
      </c>
      <c r="H71" s="15" t="inlineStr">
        <is>
          <t>Wooden Drums</t>
        </is>
      </c>
      <c r="I71" s="15" t="inlineStr">
        <is>
          <t>OK</t>
        </is>
      </c>
      <c r="J71" s="15" t="inlineStr">
        <is>
          <t>A</t>
        </is>
      </c>
      <c r="K71" s="15" t="inlineStr">
        <is>
          <t>N</t>
        </is>
      </c>
      <c r="L71" s="15" t="n">
        <v>2030</v>
      </c>
      <c r="M71" s="16" t="n">
        <v>0.52374</v>
      </c>
      <c r="N71" s="16" t="n">
        <v>0</v>
      </c>
      <c r="O71" s="16" t="n">
        <v>0</v>
      </c>
      <c r="P71" s="16" t="n">
        <v>0.52374</v>
      </c>
      <c r="Q71">
        <f>--($A71=IF('الداشبورد'!$B$5="الكل",$A71,'الداشبورد'!$B$5))</f>
        <v/>
      </c>
      <c r="R71">
        <f>--($E71=IF('الداشبورد'!$B$6="الكل",$E71,'الداشبورد'!$B$6))</f>
        <v/>
      </c>
      <c r="S71">
        <f>--($K71=IF('الداشبورد'!$B$7="الكل",$K71,IF('الداشبورد'!$B$7="تصدير","Y","N")))</f>
        <v/>
      </c>
      <c r="T71">
        <f>--($J71=IF('الداشبورد'!$B$8="الكل",$J71,IF('الداشبورد'!$B$8="AL","A","C")))</f>
        <v/>
      </c>
      <c r="U71">
        <f>--($I71=IF('الداشبورد'!$B$9="الكل",$I71,IF('الداشبورد'!$B$9="بدون حالة","P",'الداشبورد'!$B$9)))</f>
        <v/>
      </c>
      <c r="V71">
        <f>--($D71=IF('الداشبورد'!$B$10="الكل",$D71,'الداشبورد'!$B$10))</f>
        <v/>
      </c>
      <c r="W71">
        <f>--($G71=IF('الداشبورد'!$B$11="الكل",$G71,'الداشبورد'!$B$11))</f>
        <v/>
      </c>
      <c r="X71">
        <f>Q71*R71*S71*T71*U71*V71*W71*--($C71&lt;&gt;"")</f>
        <v/>
      </c>
    </row>
    <row r="72">
      <c r="A72" s="15" t="n">
        <v>2</v>
      </c>
      <c r="B72" s="15" t="inlineStr">
        <is>
          <t>J184299</t>
        </is>
      </c>
      <c r="C72" s="15" t="inlineStr">
        <is>
          <t>1520/26/10</t>
        </is>
      </c>
      <c r="D72" s="15" t="inlineStr">
        <is>
          <t>سكاي للموانىء</t>
        </is>
      </c>
      <c r="E72" s="15" t="inlineStr">
        <is>
          <t>LV</t>
        </is>
      </c>
      <c r="F72" s="15" t="inlineStr">
        <is>
          <t>0.6/1 KV 5X35</t>
        </is>
      </c>
      <c r="G72" s="15" t="inlineStr">
        <is>
          <t>EX13</t>
        </is>
      </c>
      <c r="H72" s="15" t="inlineStr">
        <is>
          <t>Wooden Drums</t>
        </is>
      </c>
      <c r="I72" s="15" t="inlineStr">
        <is>
          <t>OK</t>
        </is>
      </c>
      <c r="J72" s="15" t="inlineStr">
        <is>
          <t>C</t>
        </is>
      </c>
      <c r="K72" s="15" t="inlineStr">
        <is>
          <t>N</t>
        </is>
      </c>
      <c r="L72" s="15" t="n">
        <v>481</v>
      </c>
      <c r="M72" s="16" t="n">
        <v>0.7373729999999999</v>
      </c>
      <c r="N72" s="16" t="n">
        <v>0</v>
      </c>
      <c r="O72" s="16" t="n">
        <v>0</v>
      </c>
      <c r="P72" s="16" t="n">
        <v>0.7373729999999999</v>
      </c>
      <c r="Q72">
        <f>--($A72=IF('الداشبورد'!$B$5="الكل",$A72,'الداشبورد'!$B$5))</f>
        <v/>
      </c>
      <c r="R72">
        <f>--($E72=IF('الداشبورد'!$B$6="الكل",$E72,'الداشبورد'!$B$6))</f>
        <v/>
      </c>
      <c r="S72">
        <f>--($K72=IF('الداشبورد'!$B$7="الكل",$K72,IF('الداشبورد'!$B$7="تصدير","Y","N")))</f>
        <v/>
      </c>
      <c r="T72">
        <f>--($J72=IF('الداشبورد'!$B$8="الكل",$J72,IF('الداشبورد'!$B$8="AL","A","C")))</f>
        <v/>
      </c>
      <c r="U72">
        <f>--($I72=IF('الداشبورد'!$B$9="الكل",$I72,IF('الداشبورد'!$B$9="بدون حالة","P",'الداشبورد'!$B$9)))</f>
        <v/>
      </c>
      <c r="V72">
        <f>--($D72=IF('الداشبورد'!$B$10="الكل",$D72,'الداشبورد'!$B$10))</f>
        <v/>
      </c>
      <c r="W72">
        <f>--($G72=IF('الداشبورد'!$B$11="الكل",$G72,'الداشبورد'!$B$11))</f>
        <v/>
      </c>
      <c r="X72">
        <f>Q72*R72*S72*T72*U72*V72*W72*--($C72&lt;&gt;"")</f>
        <v/>
      </c>
    </row>
    <row r="73">
      <c r="A73" s="15" t="n">
        <v>2</v>
      </c>
      <c r="B73" s="15" t="inlineStr">
        <is>
          <t>J184243</t>
        </is>
      </c>
      <c r="C73" s="15" t="inlineStr">
        <is>
          <t>1392/26/10</t>
        </is>
      </c>
      <c r="D73" s="15" t="inlineStr">
        <is>
          <t>أوتاك  للتجارة والهندسية</t>
        </is>
      </c>
      <c r="E73" s="15" t="inlineStr">
        <is>
          <t>LV</t>
        </is>
      </c>
      <c r="F73" s="15" t="inlineStr">
        <is>
          <t>0.6/1 KV 4*16</t>
        </is>
      </c>
      <c r="G73" s="15" t="inlineStr">
        <is>
          <t>EX14</t>
        </is>
      </c>
      <c r="H73" s="15" t="inlineStr">
        <is>
          <t>Wooden Drums</t>
        </is>
      </c>
      <c r="I73" s="15" t="inlineStr">
        <is>
          <t>OK</t>
        </is>
      </c>
      <c r="J73" s="15" t="inlineStr">
        <is>
          <t>A</t>
        </is>
      </c>
      <c r="K73" s="15" t="inlineStr">
        <is>
          <t>N</t>
        </is>
      </c>
      <c r="L73" s="15" t="n">
        <v>1854</v>
      </c>
      <c r="M73" s="16" t="n">
        <v>0.30591</v>
      </c>
      <c r="N73" s="16" t="n">
        <v>0</v>
      </c>
      <c r="O73" s="16" t="n">
        <v>0</v>
      </c>
      <c r="P73" s="16" t="n">
        <v>0.30591</v>
      </c>
      <c r="Q73">
        <f>--($A73=IF('الداشبورد'!$B$5="الكل",$A73,'الداشبورد'!$B$5))</f>
        <v/>
      </c>
      <c r="R73">
        <f>--($E73=IF('الداشبورد'!$B$6="الكل",$E73,'الداشبورد'!$B$6))</f>
        <v/>
      </c>
      <c r="S73">
        <f>--($K73=IF('الداشبورد'!$B$7="الكل",$K73,IF('الداشبورد'!$B$7="تصدير","Y","N")))</f>
        <v/>
      </c>
      <c r="T73">
        <f>--($J73=IF('الداشبورد'!$B$8="الكل",$J73,IF('الداشبورد'!$B$8="AL","A","C")))</f>
        <v/>
      </c>
      <c r="U73">
        <f>--($I73=IF('الداشبورد'!$B$9="الكل",$I73,IF('الداشبورد'!$B$9="بدون حالة","P",'الداشبورد'!$B$9)))</f>
        <v/>
      </c>
      <c r="V73">
        <f>--($D73=IF('الداشبورد'!$B$10="الكل",$D73,'الداشبورد'!$B$10))</f>
        <v/>
      </c>
      <c r="W73">
        <f>--($G73=IF('الداشبورد'!$B$11="الكل",$G73,'الداشبورد'!$B$11))</f>
        <v/>
      </c>
      <c r="X73">
        <f>Q73*R73*S73*T73*U73*V73*W73*--($C73&lt;&gt;"")</f>
        <v/>
      </c>
    </row>
    <row r="74">
      <c r="A74" s="15" t="n">
        <v>2</v>
      </c>
      <c r="B74" s="15" t="inlineStr">
        <is>
          <t>V184272</t>
        </is>
      </c>
      <c r="C74" s="15" t="inlineStr">
        <is>
          <t>809/26/02</t>
        </is>
      </c>
      <c r="D74" s="15" t="inlineStr">
        <is>
          <t>الشركة العربية للصناعة والتجارة الدولية</t>
        </is>
      </c>
      <c r="E74" s="15" t="inlineStr">
        <is>
          <t>MV</t>
        </is>
      </c>
      <c r="F74" s="15" t="inlineStr">
        <is>
          <t>18 / 30 KV 3 X 240 MM</t>
        </is>
      </c>
      <c r="G74" s="15" t="inlineStr">
        <is>
          <t>EX07</t>
        </is>
      </c>
      <c r="H74" s="15" t="inlineStr">
        <is>
          <t>Wooden Drums</t>
        </is>
      </c>
      <c r="I74" s="15" t="inlineStr">
        <is>
          <t>OK</t>
        </is>
      </c>
      <c r="J74" s="15" t="inlineStr">
        <is>
          <t>A</t>
        </is>
      </c>
      <c r="K74" s="15" t="inlineStr">
        <is>
          <t>N</t>
        </is>
      </c>
      <c r="L74" s="15" t="n">
        <v>538</v>
      </c>
      <c r="M74" s="16" t="n">
        <v>1.01144</v>
      </c>
      <c r="N74" s="16" t="n">
        <v>0</v>
      </c>
      <c r="O74" s="16" t="n">
        <v>0</v>
      </c>
      <c r="P74" s="16" t="n">
        <v>1.01144</v>
      </c>
      <c r="Q74">
        <f>--($A74=IF('الداشبورد'!$B$5="الكل",$A74,'الداشبورد'!$B$5))</f>
        <v/>
      </c>
      <c r="R74">
        <f>--($E74=IF('الداشبورد'!$B$6="الكل",$E74,'الداشبورد'!$B$6))</f>
        <v/>
      </c>
      <c r="S74">
        <f>--($K74=IF('الداشبورد'!$B$7="الكل",$K74,IF('الداشبورد'!$B$7="تصدير","Y","N")))</f>
        <v/>
      </c>
      <c r="T74">
        <f>--($J74=IF('الداشبورد'!$B$8="الكل",$J74,IF('الداشبورد'!$B$8="AL","A","C")))</f>
        <v/>
      </c>
      <c r="U74">
        <f>--($I74=IF('الداشبورد'!$B$9="الكل",$I74,IF('الداشبورد'!$B$9="بدون حالة","P",'الداشبورد'!$B$9)))</f>
        <v/>
      </c>
      <c r="V74">
        <f>--($D74=IF('الداشبورد'!$B$10="الكل",$D74,'الداشبورد'!$B$10))</f>
        <v/>
      </c>
      <c r="W74">
        <f>--($G74=IF('الداشبورد'!$B$11="الكل",$G74,'الداشبورد'!$B$11))</f>
        <v/>
      </c>
      <c r="X74">
        <f>Q74*R74*S74*T74*U74*V74*W74*--($C74&lt;&gt;"")</f>
        <v/>
      </c>
    </row>
    <row r="75">
      <c r="A75" s="15" t="n">
        <v>2</v>
      </c>
      <c r="B75" s="15" t="inlineStr">
        <is>
          <t>U184275</t>
        </is>
      </c>
      <c r="C75" s="15" t="inlineStr">
        <is>
          <t>809/26/02</t>
        </is>
      </c>
      <c r="D75" s="15" t="inlineStr">
        <is>
          <t>الشركة العربية للصناعة والتجارة الدولية</t>
        </is>
      </c>
      <c r="E75" s="15" t="inlineStr">
        <is>
          <t>MV</t>
        </is>
      </c>
      <c r="F75" s="15" t="inlineStr">
        <is>
          <t>18 / 30 KV 3 X 240 MM</t>
        </is>
      </c>
      <c r="G75" s="15" t="inlineStr">
        <is>
          <t>EX07</t>
        </is>
      </c>
      <c r="H75" s="15" t="inlineStr">
        <is>
          <t>Wooden Drums</t>
        </is>
      </c>
      <c r="I75" s="15" t="inlineStr">
        <is>
          <t>OK</t>
        </is>
      </c>
      <c r="J75" s="15" t="inlineStr">
        <is>
          <t>A</t>
        </is>
      </c>
      <c r="K75" s="15" t="inlineStr">
        <is>
          <t>N</t>
        </is>
      </c>
      <c r="L75" s="15" t="n">
        <v>500</v>
      </c>
      <c r="M75" s="16" t="n">
        <v>0.9399999999999999</v>
      </c>
      <c r="N75" s="16" t="n">
        <v>0</v>
      </c>
      <c r="O75" s="16" t="n">
        <v>0</v>
      </c>
      <c r="P75" s="16" t="n">
        <v>0.9399999999999999</v>
      </c>
      <c r="Q75">
        <f>--($A75=IF('الداشبورد'!$B$5="الكل",$A75,'الداشبورد'!$B$5))</f>
        <v/>
      </c>
      <c r="R75">
        <f>--($E75=IF('الداشبورد'!$B$6="الكل",$E75,'الداشبورد'!$B$6))</f>
        <v/>
      </c>
      <c r="S75">
        <f>--($K75=IF('الداشبورد'!$B$7="الكل",$K75,IF('الداشبورد'!$B$7="تصدير","Y","N")))</f>
        <v/>
      </c>
      <c r="T75">
        <f>--($J75=IF('الداشبورد'!$B$8="الكل",$J75,IF('الداشبورد'!$B$8="AL","A","C")))</f>
        <v/>
      </c>
      <c r="U75">
        <f>--($I75=IF('الداشبورد'!$B$9="الكل",$I75,IF('الداشبورد'!$B$9="بدون حالة","P",'الداشبورد'!$B$9)))</f>
        <v/>
      </c>
      <c r="V75">
        <f>--($D75=IF('الداشبورد'!$B$10="الكل",$D75,'الداشبورد'!$B$10))</f>
        <v/>
      </c>
      <c r="W75">
        <f>--($G75=IF('الداشبورد'!$B$11="الكل",$G75,'الداشبورد'!$B$11))</f>
        <v/>
      </c>
      <c r="X75">
        <f>Q75*R75*S75*T75*U75*V75*W75*--($C75&lt;&gt;"")</f>
        <v/>
      </c>
    </row>
    <row r="76">
      <c r="A76" s="15" t="n">
        <v>2</v>
      </c>
      <c r="B76" s="15" t="inlineStr">
        <is>
          <t>U184228</t>
        </is>
      </c>
      <c r="C76" s="15" t="inlineStr">
        <is>
          <t>809/26/02</t>
        </is>
      </c>
      <c r="D76" s="15" t="inlineStr">
        <is>
          <t>الشركة العربية للصناعة والتجارة الدولية</t>
        </is>
      </c>
      <c r="E76" s="15" t="inlineStr">
        <is>
          <t>MV</t>
        </is>
      </c>
      <c r="F76" s="15" t="inlineStr">
        <is>
          <t>18 / 30 KV 3 X 240 MM</t>
        </is>
      </c>
      <c r="G76" s="15" t="inlineStr">
        <is>
          <t>EX07</t>
        </is>
      </c>
      <c r="H76" s="15" t="inlineStr">
        <is>
          <t>Wooden Drums</t>
        </is>
      </c>
      <c r="I76" s="15" t="inlineStr">
        <is>
          <t>OK</t>
        </is>
      </c>
      <c r="J76" s="15" t="inlineStr">
        <is>
          <t>A</t>
        </is>
      </c>
      <c r="K76" s="15" t="inlineStr">
        <is>
          <t>N</t>
        </is>
      </c>
      <c r="L76" s="15" t="n">
        <v>508</v>
      </c>
      <c r="M76" s="16" t="n">
        <v>0.95504</v>
      </c>
      <c r="N76" s="16" t="n">
        <v>0</v>
      </c>
      <c r="O76" s="16" t="n">
        <v>0</v>
      </c>
      <c r="P76" s="16" t="n">
        <v>0.95504</v>
      </c>
      <c r="Q76">
        <f>--($A76=IF('الداشبورد'!$B$5="الكل",$A76,'الداشبورد'!$B$5))</f>
        <v/>
      </c>
      <c r="R76">
        <f>--($E76=IF('الداشبورد'!$B$6="الكل",$E76,'الداشبورد'!$B$6))</f>
        <v/>
      </c>
      <c r="S76">
        <f>--($K76=IF('الداشبورد'!$B$7="الكل",$K76,IF('الداشبورد'!$B$7="تصدير","Y","N")))</f>
        <v/>
      </c>
      <c r="T76">
        <f>--($J76=IF('الداشبورد'!$B$8="الكل",$J76,IF('الداشبورد'!$B$8="AL","A","C")))</f>
        <v/>
      </c>
      <c r="U76">
        <f>--($I76=IF('الداشبورد'!$B$9="الكل",$I76,IF('الداشبورد'!$B$9="بدون حالة","P",'الداشبورد'!$B$9)))</f>
        <v/>
      </c>
      <c r="V76">
        <f>--($D76=IF('الداشبورد'!$B$10="الكل",$D76,'الداشبورد'!$B$10))</f>
        <v/>
      </c>
      <c r="W76">
        <f>--($G76=IF('الداشبورد'!$B$11="الكل",$G76,'الداشبورد'!$B$11))</f>
        <v/>
      </c>
      <c r="X76">
        <f>Q76*R76*S76*T76*U76*V76*W76*--($C76&lt;&gt;"")</f>
        <v/>
      </c>
    </row>
    <row r="77">
      <c r="A77" s="15" t="n">
        <v>2</v>
      </c>
      <c r="B77" s="15" t="inlineStr">
        <is>
          <t>Q184015</t>
        </is>
      </c>
      <c r="C77" s="15" t="inlineStr">
        <is>
          <t>1213/26/02</t>
        </is>
      </c>
      <c r="D77" s="15" t="inlineStr">
        <is>
          <t>Eland Cables</t>
        </is>
      </c>
      <c r="E77" s="15" t="inlineStr">
        <is>
          <t>MV</t>
        </is>
      </c>
      <c r="F77" s="15" t="inlineStr">
        <is>
          <t>18/30 KV 1X240</t>
        </is>
      </c>
      <c r="G77" s="15" t="inlineStr">
        <is>
          <t>EX06</t>
        </is>
      </c>
      <c r="H77" s="15" t="inlineStr">
        <is>
          <t>Wooden Drums</t>
        </is>
      </c>
      <c r="I77" s="15" t="inlineStr">
        <is>
          <t>OK</t>
        </is>
      </c>
      <c r="J77" s="15" t="inlineStr">
        <is>
          <t>A</t>
        </is>
      </c>
      <c r="K77" s="15" t="inlineStr">
        <is>
          <t>Y</t>
        </is>
      </c>
      <c r="L77" s="15" t="n">
        <v>1972</v>
      </c>
      <c r="M77" s="16" t="n">
        <v>1.226584</v>
      </c>
      <c r="N77" s="16" t="n">
        <v>0.42398</v>
      </c>
      <c r="O77" s="16" t="n">
        <v>0</v>
      </c>
      <c r="P77" s="16" t="n">
        <v>1.650564</v>
      </c>
      <c r="Q77">
        <f>--($A77=IF('الداشبورد'!$B$5="الكل",$A77,'الداشبورد'!$B$5))</f>
        <v/>
      </c>
      <c r="R77">
        <f>--($E77=IF('الداشبورد'!$B$6="الكل",$E77,'الداشبورد'!$B$6))</f>
        <v/>
      </c>
      <c r="S77">
        <f>--($K77=IF('الداشبورد'!$B$7="الكل",$K77,IF('الداشبورد'!$B$7="تصدير","Y","N")))</f>
        <v/>
      </c>
      <c r="T77">
        <f>--($J77=IF('الداشبورد'!$B$8="الكل",$J77,IF('الداشبورد'!$B$8="AL","A","C")))</f>
        <v/>
      </c>
      <c r="U77">
        <f>--($I77=IF('الداشبورد'!$B$9="الكل",$I77,IF('الداشبورد'!$B$9="بدون حالة","P",'الداشبورد'!$B$9)))</f>
        <v/>
      </c>
      <c r="V77">
        <f>--($D77=IF('الداشبورد'!$B$10="الكل",$D77,'الداشبورد'!$B$10))</f>
        <v/>
      </c>
      <c r="W77">
        <f>--($G77=IF('الداشبورد'!$B$11="الكل",$G77,'الداشبورد'!$B$11))</f>
        <v/>
      </c>
      <c r="X77">
        <f>Q77*R77*S77*T77*U77*V77*W77*--($C77&lt;&gt;"")</f>
        <v/>
      </c>
    </row>
    <row r="78">
      <c r="A78" s="15" t="n">
        <v>2</v>
      </c>
      <c r="B78" s="15" t="inlineStr">
        <is>
          <t>Q184028</t>
        </is>
      </c>
      <c r="C78" s="15" t="inlineStr">
        <is>
          <t>1213/26/02</t>
        </is>
      </c>
      <c r="D78" s="15" t="inlineStr">
        <is>
          <t>Eland Cables</t>
        </is>
      </c>
      <c r="E78" s="15" t="inlineStr">
        <is>
          <t>MV</t>
        </is>
      </c>
      <c r="F78" s="15" t="inlineStr">
        <is>
          <t>18/30 KV 1X240</t>
        </is>
      </c>
      <c r="G78" s="15" t="inlineStr">
        <is>
          <t>EX06</t>
        </is>
      </c>
      <c r="H78" s="15" t="inlineStr">
        <is>
          <t>Wooden Drums</t>
        </is>
      </c>
      <c r="I78" s="15" t="inlineStr">
        <is>
          <t>OK</t>
        </is>
      </c>
      <c r="J78" s="15" t="inlineStr">
        <is>
          <t>A</t>
        </is>
      </c>
      <c r="K78" s="15" t="inlineStr">
        <is>
          <t>Y</t>
        </is>
      </c>
      <c r="L78" s="15" t="n">
        <v>1983</v>
      </c>
      <c r="M78" s="16" t="n">
        <v>1.233426</v>
      </c>
      <c r="N78" s="16" t="n">
        <v>0.426345</v>
      </c>
      <c r="O78" s="16" t="n">
        <v>0</v>
      </c>
      <c r="P78" s="16" t="n">
        <v>1.659771</v>
      </c>
      <c r="Q78">
        <f>--($A78=IF('الداشبورد'!$B$5="الكل",$A78,'الداشبورد'!$B$5))</f>
        <v/>
      </c>
      <c r="R78">
        <f>--($E78=IF('الداشبورد'!$B$6="الكل",$E78,'الداشبورد'!$B$6))</f>
        <v/>
      </c>
      <c r="S78">
        <f>--($K78=IF('الداشبورد'!$B$7="الكل",$K78,IF('الداشبورد'!$B$7="تصدير","Y","N")))</f>
        <v/>
      </c>
      <c r="T78">
        <f>--($J78=IF('الداشبورد'!$B$8="الكل",$J78,IF('الداشبورد'!$B$8="AL","A","C")))</f>
        <v/>
      </c>
      <c r="U78">
        <f>--($I78=IF('الداشبورد'!$B$9="الكل",$I78,IF('الداشبورد'!$B$9="بدون حالة","P",'الداشبورد'!$B$9)))</f>
        <v/>
      </c>
      <c r="V78">
        <f>--($D78=IF('الداشبورد'!$B$10="الكل",$D78,'الداشبورد'!$B$10))</f>
        <v/>
      </c>
      <c r="W78">
        <f>--($G78=IF('الداشبورد'!$B$11="الكل",$G78,'الداشبورد'!$B$11))</f>
        <v/>
      </c>
      <c r="X78">
        <f>Q78*R78*S78*T78*U78*V78*W78*--($C78&lt;&gt;"")</f>
        <v/>
      </c>
    </row>
    <row r="79">
      <c r="A79" s="15" t="n">
        <v>2</v>
      </c>
      <c r="B79" s="15" t="inlineStr">
        <is>
          <t>P184184</t>
        </is>
      </c>
      <c r="C79" s="15" t="inlineStr">
        <is>
          <t>1639/26/01</t>
        </is>
      </c>
      <c r="D79" s="15" t="inlineStr">
        <is>
          <t>شركة جنوب الدلتا لتوزيع الكهرباء</t>
        </is>
      </c>
      <c r="E79" s="15" t="inlineStr">
        <is>
          <t>MV</t>
        </is>
      </c>
      <c r="F79" s="15" t="inlineStr">
        <is>
          <t>12/20 KV 1X70</t>
        </is>
      </c>
      <c r="G79" s="15" t="inlineStr">
        <is>
          <t>EX04</t>
        </is>
      </c>
      <c r="H79" s="15" t="inlineStr">
        <is>
          <t>Wooden Drums</t>
        </is>
      </c>
      <c r="I79" s="15" t="inlineStr">
        <is>
          <t>OK</t>
        </is>
      </c>
      <c r="J79" s="15" t="inlineStr">
        <is>
          <t>A</t>
        </is>
      </c>
      <c r="K79" s="15" t="inlineStr">
        <is>
          <t>N</t>
        </is>
      </c>
      <c r="L79" s="15" t="n">
        <v>1010</v>
      </c>
      <c r="M79" s="16" t="n">
        <v>0.18685</v>
      </c>
      <c r="N79" s="16" t="n">
        <v>0.09696</v>
      </c>
      <c r="O79" s="16" t="n">
        <v>0</v>
      </c>
      <c r="P79" s="16" t="n">
        <v>0.28381</v>
      </c>
      <c r="Q79">
        <f>--($A79=IF('الداشبورد'!$B$5="الكل",$A79,'الداشبورد'!$B$5))</f>
        <v/>
      </c>
      <c r="R79">
        <f>--($E79=IF('الداشبورد'!$B$6="الكل",$E79,'الداشبورد'!$B$6))</f>
        <v/>
      </c>
      <c r="S79">
        <f>--($K79=IF('الداشبورد'!$B$7="الكل",$K79,IF('الداشبورد'!$B$7="تصدير","Y","N")))</f>
        <v/>
      </c>
      <c r="T79">
        <f>--($J79=IF('الداشبورد'!$B$8="الكل",$J79,IF('الداشبورد'!$B$8="AL","A","C")))</f>
        <v/>
      </c>
      <c r="U79">
        <f>--($I79=IF('الداشبورد'!$B$9="الكل",$I79,IF('الداشبورد'!$B$9="بدون حالة","P",'الداشبورد'!$B$9)))</f>
        <v/>
      </c>
      <c r="V79">
        <f>--($D79=IF('الداشبورد'!$B$10="الكل",$D79,'الداشبورد'!$B$10))</f>
        <v/>
      </c>
      <c r="W79">
        <f>--($G79=IF('الداشبورد'!$B$11="الكل",$G79,'الداشبورد'!$B$11))</f>
        <v/>
      </c>
      <c r="X79">
        <f>Q79*R79*S79*T79*U79*V79*W79*--($C79&lt;&gt;"")</f>
        <v/>
      </c>
    </row>
    <row r="80">
      <c r="A80" s="15" t="n">
        <v>2</v>
      </c>
      <c r="B80" s="15" t="inlineStr">
        <is>
          <t>P184185</t>
        </is>
      </c>
      <c r="C80" s="15" t="inlineStr">
        <is>
          <t>1639/26/01</t>
        </is>
      </c>
      <c r="D80" s="15" t="inlineStr">
        <is>
          <t>شركة جنوب الدلتا لتوزيع الكهرباء</t>
        </is>
      </c>
      <c r="E80" s="15" t="inlineStr">
        <is>
          <t>MV</t>
        </is>
      </c>
      <c r="F80" s="15" t="inlineStr">
        <is>
          <t>12/20 KV 1X70</t>
        </is>
      </c>
      <c r="G80" s="15" t="inlineStr">
        <is>
          <t>EX04</t>
        </is>
      </c>
      <c r="H80" s="15" t="inlineStr">
        <is>
          <t>Wooden Drums</t>
        </is>
      </c>
      <c r="I80" s="15" t="inlineStr">
        <is>
          <t>OK</t>
        </is>
      </c>
      <c r="J80" s="15" t="inlineStr">
        <is>
          <t>A</t>
        </is>
      </c>
      <c r="K80" s="15" t="inlineStr">
        <is>
          <t>N</t>
        </is>
      </c>
      <c r="L80" s="15" t="n">
        <v>1020</v>
      </c>
      <c r="M80" s="16" t="n">
        <v>0.1887</v>
      </c>
      <c r="N80" s="16" t="n">
        <v>0.09792000000000001</v>
      </c>
      <c r="O80" s="16" t="n">
        <v>0</v>
      </c>
      <c r="P80" s="16" t="n">
        <v>0.28662</v>
      </c>
      <c r="Q80">
        <f>--($A80=IF('الداشبورد'!$B$5="الكل",$A80,'الداشبورد'!$B$5))</f>
        <v/>
      </c>
      <c r="R80">
        <f>--($E80=IF('الداشبورد'!$B$6="الكل",$E80,'الداشبورد'!$B$6))</f>
        <v/>
      </c>
      <c r="S80">
        <f>--($K80=IF('الداشبورد'!$B$7="الكل",$K80,IF('الداشبورد'!$B$7="تصدير","Y","N")))</f>
        <v/>
      </c>
      <c r="T80">
        <f>--($J80=IF('الداشبورد'!$B$8="الكل",$J80,IF('الداشبورد'!$B$8="AL","A","C")))</f>
        <v/>
      </c>
      <c r="U80">
        <f>--($I80=IF('الداشبورد'!$B$9="الكل",$I80,IF('الداشبورد'!$B$9="بدون حالة","P",'الداشبورد'!$B$9)))</f>
        <v/>
      </c>
      <c r="V80">
        <f>--($D80=IF('الداشبورد'!$B$10="الكل",$D80,'الداشبورد'!$B$10))</f>
        <v/>
      </c>
      <c r="W80">
        <f>--($G80=IF('الداشبورد'!$B$11="الكل",$G80,'الداشبورد'!$B$11))</f>
        <v/>
      </c>
      <c r="X80">
        <f>Q80*R80*S80*T80*U80*V80*W80*--($C80&lt;&gt;"")</f>
        <v/>
      </c>
    </row>
    <row r="81">
      <c r="A81" s="15" t="n">
        <v>2</v>
      </c>
      <c r="B81" s="15" t="inlineStr">
        <is>
          <t>P184182</t>
        </is>
      </c>
      <c r="C81" s="15" t="inlineStr">
        <is>
          <t>1640/26/01</t>
        </is>
      </c>
      <c r="D81" s="15" t="inlineStr">
        <is>
          <t>شركة جنوب الدلتا لتوزيع الكهرباء</t>
        </is>
      </c>
      <c r="E81" s="15" t="inlineStr">
        <is>
          <t>MV</t>
        </is>
      </c>
      <c r="F81" s="15" t="inlineStr">
        <is>
          <t>12/20 KV 1X70</t>
        </is>
      </c>
      <c r="G81" s="15" t="inlineStr">
        <is>
          <t>EX04</t>
        </is>
      </c>
      <c r="H81" s="15" t="inlineStr">
        <is>
          <t>Wooden Drums</t>
        </is>
      </c>
      <c r="I81" s="15" t="inlineStr">
        <is>
          <t>OK</t>
        </is>
      </c>
      <c r="J81" s="15" t="inlineStr">
        <is>
          <t>A</t>
        </is>
      </c>
      <c r="K81" s="15" t="inlineStr">
        <is>
          <t>N</t>
        </is>
      </c>
      <c r="L81" s="15" t="n">
        <v>1005</v>
      </c>
      <c r="M81" s="16" t="n">
        <v>0.185925</v>
      </c>
      <c r="N81" s="16" t="n">
        <v>0.09648000000000001</v>
      </c>
      <c r="O81" s="16" t="n">
        <v>0</v>
      </c>
      <c r="P81" s="16" t="n">
        <v>0.282405</v>
      </c>
      <c r="Q81">
        <f>--($A81=IF('الداشبورد'!$B$5="الكل",$A81,'الداشبورد'!$B$5))</f>
        <v/>
      </c>
      <c r="R81">
        <f>--($E81=IF('الداشبورد'!$B$6="الكل",$E81,'الداشبورد'!$B$6))</f>
        <v/>
      </c>
      <c r="S81">
        <f>--($K81=IF('الداشبورد'!$B$7="الكل",$K81,IF('الداشبورد'!$B$7="تصدير","Y","N")))</f>
        <v/>
      </c>
      <c r="T81">
        <f>--($J81=IF('الداشبورد'!$B$8="الكل",$J81,IF('الداشبورد'!$B$8="AL","A","C")))</f>
        <v/>
      </c>
      <c r="U81">
        <f>--($I81=IF('الداشبورد'!$B$9="الكل",$I81,IF('الداشبورد'!$B$9="بدون حالة","P",'الداشبورد'!$B$9)))</f>
        <v/>
      </c>
      <c r="V81">
        <f>--($D81=IF('الداشبورد'!$B$10="الكل",$D81,'الداشبورد'!$B$10))</f>
        <v/>
      </c>
      <c r="W81">
        <f>--($G81=IF('الداشبورد'!$B$11="الكل",$G81,'الداشبورد'!$B$11))</f>
        <v/>
      </c>
      <c r="X81">
        <f>Q81*R81*S81*T81*U81*V81*W81*--($C81&lt;&gt;"")</f>
        <v/>
      </c>
    </row>
    <row r="82">
      <c r="A82" s="15" t="n">
        <v>2</v>
      </c>
      <c r="B82" s="15" t="inlineStr">
        <is>
          <t>P184256</t>
        </is>
      </c>
      <c r="C82" s="15" t="inlineStr">
        <is>
          <t>1640/26/01</t>
        </is>
      </c>
      <c r="D82" s="15" t="inlineStr">
        <is>
          <t>شركة جنوب الدلتا لتوزيع الكهرباء</t>
        </is>
      </c>
      <c r="E82" s="15" t="inlineStr">
        <is>
          <t>MV</t>
        </is>
      </c>
      <c r="F82" s="15" t="inlineStr">
        <is>
          <t>12/20 KV 1X70</t>
        </is>
      </c>
      <c r="G82" s="15" t="inlineStr">
        <is>
          <t>EX04</t>
        </is>
      </c>
      <c r="H82" s="15" t="inlineStr">
        <is>
          <t>Wooden Drums</t>
        </is>
      </c>
      <c r="I82" s="15" t="inlineStr">
        <is>
          <t>OK</t>
        </is>
      </c>
      <c r="J82" s="15" t="inlineStr">
        <is>
          <t>A</t>
        </is>
      </c>
      <c r="K82" s="15" t="inlineStr">
        <is>
          <t>N</t>
        </is>
      </c>
      <c r="L82" s="15" t="n">
        <v>1005</v>
      </c>
      <c r="M82" s="16" t="n">
        <v>0.185925</v>
      </c>
      <c r="N82" s="16" t="n">
        <v>0.09648000000000001</v>
      </c>
      <c r="O82" s="16" t="n">
        <v>0</v>
      </c>
      <c r="P82" s="16" t="n">
        <v>0.282405</v>
      </c>
      <c r="Q82">
        <f>--($A82=IF('الداشبورد'!$B$5="الكل",$A82,'الداشبورد'!$B$5))</f>
        <v/>
      </c>
      <c r="R82">
        <f>--($E82=IF('الداشبورد'!$B$6="الكل",$E82,'الداشبورد'!$B$6))</f>
        <v/>
      </c>
      <c r="S82">
        <f>--($K82=IF('الداشبورد'!$B$7="الكل",$K82,IF('الداشبورد'!$B$7="تصدير","Y","N")))</f>
        <v/>
      </c>
      <c r="T82">
        <f>--($J82=IF('الداشبورد'!$B$8="الكل",$J82,IF('الداشبورد'!$B$8="AL","A","C")))</f>
        <v/>
      </c>
      <c r="U82">
        <f>--($I82=IF('الداشبورد'!$B$9="الكل",$I82,IF('الداشبورد'!$B$9="بدون حالة","P",'الداشبورد'!$B$9)))</f>
        <v/>
      </c>
      <c r="V82">
        <f>--($D82=IF('الداشبورد'!$B$10="الكل",$D82,'الداشبورد'!$B$10))</f>
        <v/>
      </c>
      <c r="W82">
        <f>--($G82=IF('الداشبورد'!$B$11="الكل",$G82,'الداشبورد'!$B$11))</f>
        <v/>
      </c>
      <c r="X82">
        <f>Q82*R82*S82*T82*U82*V82*W82*--($C82&lt;&gt;"")</f>
        <v/>
      </c>
    </row>
    <row r="83">
      <c r="A83" s="15" t="n">
        <v>2</v>
      </c>
      <c r="B83" s="15" t="inlineStr">
        <is>
          <t>J184305</t>
        </is>
      </c>
      <c r="C83" s="15" t="inlineStr">
        <is>
          <t>1787/26/03</t>
        </is>
      </c>
      <c r="D83" s="15" t="inlineStr">
        <is>
          <t>شركه ام ال اي شركه محاصه</t>
        </is>
      </c>
      <c r="E83" s="15" t="inlineStr">
        <is>
          <t>LV</t>
        </is>
      </c>
      <c r="F83" s="15" t="inlineStr">
        <is>
          <t>0.6/1 KV 3*70</t>
        </is>
      </c>
      <c r="G83" s="15" t="inlineStr">
        <is>
          <t>EX03</t>
        </is>
      </c>
      <c r="H83" s="15" t="inlineStr">
        <is>
          <t>Wooden Drums</t>
        </is>
      </c>
      <c r="I83" s="15" t="inlineStr">
        <is>
          <t>OK</t>
        </is>
      </c>
      <c r="J83" s="15" t="inlineStr">
        <is>
          <t>C</t>
        </is>
      </c>
      <c r="K83" s="15" t="inlineStr">
        <is>
          <t>N</t>
        </is>
      </c>
      <c r="L83" s="15" t="n">
        <v>1151</v>
      </c>
      <c r="M83" s="16" t="n">
        <v>2.067196</v>
      </c>
      <c r="N83" s="16" t="n">
        <v>0</v>
      </c>
      <c r="O83" s="16" t="n">
        <v>0</v>
      </c>
      <c r="P83" s="16" t="n">
        <v>2.067196</v>
      </c>
      <c r="Q83">
        <f>--($A83=IF('الداشبورد'!$B$5="الكل",$A83,'الداشبورد'!$B$5))</f>
        <v/>
      </c>
      <c r="R83">
        <f>--($E83=IF('الداشبورد'!$B$6="الكل",$E83,'الداشبورد'!$B$6))</f>
        <v/>
      </c>
      <c r="S83">
        <f>--($K83=IF('الداشبورد'!$B$7="الكل",$K83,IF('الداشبورد'!$B$7="تصدير","Y","N")))</f>
        <v/>
      </c>
      <c r="T83">
        <f>--($J83=IF('الداشبورد'!$B$8="الكل",$J83,IF('الداشبورد'!$B$8="AL","A","C")))</f>
        <v/>
      </c>
      <c r="U83">
        <f>--($I83=IF('الداشبورد'!$B$9="الكل",$I83,IF('الداشبورد'!$B$9="بدون حالة","P",'الداشبورد'!$B$9)))</f>
        <v/>
      </c>
      <c r="V83">
        <f>--($D83=IF('الداشبورد'!$B$10="الكل",$D83,'الداشبورد'!$B$10))</f>
        <v/>
      </c>
      <c r="W83">
        <f>--($G83=IF('الداشبورد'!$B$11="الكل",$G83,'الداشبورد'!$B$11))</f>
        <v/>
      </c>
      <c r="X83">
        <f>Q83*R83*S83*T83*U83*V83*W83*--($C83&lt;&gt;"")</f>
        <v/>
      </c>
    </row>
    <row r="84">
      <c r="A84" s="15" t="n">
        <v>2</v>
      </c>
      <c r="B84" s="15" t="inlineStr">
        <is>
          <t>V184209</t>
        </is>
      </c>
      <c r="C84" s="15" t="inlineStr">
        <is>
          <t>803/26/01</t>
        </is>
      </c>
      <c r="D84" s="15" t="inlineStr">
        <is>
          <t>الشركة العربية للصناعة والتجارة الدولية</t>
        </is>
      </c>
      <c r="E84" s="15" t="inlineStr">
        <is>
          <t>MV</t>
        </is>
      </c>
      <c r="F84" s="15" t="inlineStr">
        <is>
          <t>18 / 30 KV 3 X 400 MM</t>
        </is>
      </c>
      <c r="G84" s="15" t="inlineStr">
        <is>
          <t>EX07</t>
        </is>
      </c>
      <c r="H84" s="15" t="inlineStr">
        <is>
          <t>Wooden Drums</t>
        </is>
      </c>
      <c r="I84" s="15" t="inlineStr">
        <is>
          <t>OK</t>
        </is>
      </c>
      <c r="J84" s="15" t="inlineStr">
        <is>
          <t>A</t>
        </is>
      </c>
      <c r="K84" s="15" t="inlineStr">
        <is>
          <t>N</t>
        </is>
      </c>
      <c r="L84" s="15" t="n">
        <v>399</v>
      </c>
      <c r="M84" s="16" t="n">
        <v>1.223334</v>
      </c>
      <c r="N84" s="16" t="n">
        <v>0</v>
      </c>
      <c r="O84" s="16" t="n">
        <v>0</v>
      </c>
      <c r="P84" s="16" t="n">
        <v>1.223334</v>
      </c>
      <c r="Q84">
        <f>--($A84=IF('الداشبورد'!$B$5="الكل",$A84,'الداشبورد'!$B$5))</f>
        <v/>
      </c>
      <c r="R84">
        <f>--($E84=IF('الداشبورد'!$B$6="الكل",$E84,'الداشبورد'!$B$6))</f>
        <v/>
      </c>
      <c r="S84">
        <f>--($K84=IF('الداشبورد'!$B$7="الكل",$K84,IF('الداشبورد'!$B$7="تصدير","Y","N")))</f>
        <v/>
      </c>
      <c r="T84">
        <f>--($J84=IF('الداشبورد'!$B$8="الكل",$J84,IF('الداشبورد'!$B$8="AL","A","C")))</f>
        <v/>
      </c>
      <c r="U84">
        <f>--($I84=IF('الداشبورد'!$B$9="الكل",$I84,IF('الداشبورد'!$B$9="بدون حالة","P",'الداشبورد'!$B$9)))</f>
        <v/>
      </c>
      <c r="V84">
        <f>--($D84=IF('الداشبورد'!$B$10="الكل",$D84,'الداشبورد'!$B$10))</f>
        <v/>
      </c>
      <c r="W84">
        <f>--($G84=IF('الداشبورد'!$B$11="الكل",$G84,'الداشبورد'!$B$11))</f>
        <v/>
      </c>
      <c r="X84">
        <f>Q84*R84*S84*T84*U84*V84*W84*--($C84&lt;&gt;"")</f>
        <v/>
      </c>
    </row>
    <row r="85">
      <c r="A85" s="15" t="n">
        <v>2</v>
      </c>
      <c r="B85" s="15" t="inlineStr">
        <is>
          <t>U184227</t>
        </is>
      </c>
      <c r="C85" s="15" t="inlineStr">
        <is>
          <t>803/26/01</t>
        </is>
      </c>
      <c r="D85" s="15" t="inlineStr">
        <is>
          <t>الشركة العربية للصناعة والتجارة الدولية</t>
        </is>
      </c>
      <c r="E85" s="15" t="inlineStr">
        <is>
          <t>MV</t>
        </is>
      </c>
      <c r="F85" s="15" t="inlineStr">
        <is>
          <t>18 / 30 KV 3 X 400 MM</t>
        </is>
      </c>
      <c r="G85" s="15" t="inlineStr">
        <is>
          <t>EX07</t>
        </is>
      </c>
      <c r="H85" s="15" t="inlineStr">
        <is>
          <t>Wooden Drums</t>
        </is>
      </c>
      <c r="I85" s="15" t="inlineStr">
        <is>
          <t>OK</t>
        </is>
      </c>
      <c r="J85" s="15" t="inlineStr">
        <is>
          <t>A</t>
        </is>
      </c>
      <c r="K85" s="15" t="inlineStr">
        <is>
          <t>N</t>
        </is>
      </c>
      <c r="L85" s="15" t="n">
        <v>402</v>
      </c>
      <c r="M85" s="16" t="n">
        <v>1.232532</v>
      </c>
      <c r="N85" s="16" t="n">
        <v>0</v>
      </c>
      <c r="O85" s="16" t="n">
        <v>0</v>
      </c>
      <c r="P85" s="16" t="n">
        <v>1.232532</v>
      </c>
      <c r="Q85">
        <f>--($A85=IF('الداشبورد'!$B$5="الكل",$A85,'الداشبورد'!$B$5))</f>
        <v/>
      </c>
      <c r="R85">
        <f>--($E85=IF('الداشبورد'!$B$6="الكل",$E85,'الداشبورد'!$B$6))</f>
        <v/>
      </c>
      <c r="S85">
        <f>--($K85=IF('الداشبورد'!$B$7="الكل",$K85,IF('الداشبورد'!$B$7="تصدير","Y","N")))</f>
        <v/>
      </c>
      <c r="T85">
        <f>--($J85=IF('الداشبورد'!$B$8="الكل",$J85,IF('الداشبورد'!$B$8="AL","A","C")))</f>
        <v/>
      </c>
      <c r="U85">
        <f>--($I85=IF('الداشبورد'!$B$9="الكل",$I85,IF('الداشبورد'!$B$9="بدون حالة","P",'الداشبورد'!$B$9)))</f>
        <v/>
      </c>
      <c r="V85">
        <f>--($D85=IF('الداشبورد'!$B$10="الكل",$D85,'الداشبورد'!$B$10))</f>
        <v/>
      </c>
      <c r="W85">
        <f>--($G85=IF('الداشبورد'!$B$11="الكل",$G85,'الداشبورد'!$B$11))</f>
        <v/>
      </c>
      <c r="X85">
        <f>Q85*R85*S85*T85*U85*V85*W85*--($C85&lt;&gt;"")</f>
        <v/>
      </c>
    </row>
    <row r="86">
      <c r="A86" s="15" t="n">
        <v>2</v>
      </c>
      <c r="B86" s="15" t="inlineStr">
        <is>
          <t>Q184334</t>
        </is>
      </c>
      <c r="C86" s="15" t="inlineStr">
        <is>
          <t>1200/26/04</t>
        </is>
      </c>
      <c r="D86" s="15" t="inlineStr">
        <is>
          <t>INSELL</t>
        </is>
      </c>
      <c r="E86" s="15" t="inlineStr">
        <is>
          <t>MV</t>
        </is>
      </c>
      <c r="F86" s="15" t="inlineStr">
        <is>
          <t>12/20 KV 1X240/50</t>
        </is>
      </c>
      <c r="G86" s="15" t="inlineStr">
        <is>
          <t>EX06</t>
        </is>
      </c>
      <c r="H86" s="15" t="inlineStr">
        <is>
          <t>Wooden Drums</t>
        </is>
      </c>
      <c r="I86" s="15" t="inlineStr">
        <is>
          <t>OK</t>
        </is>
      </c>
      <c r="J86" s="15" t="inlineStr">
        <is>
          <t>A</t>
        </is>
      </c>
      <c r="K86" s="15" t="inlineStr">
        <is>
          <t>Y</t>
        </is>
      </c>
      <c r="L86" s="15" t="n">
        <v>2050</v>
      </c>
      <c r="M86" s="16" t="n">
        <v>1.2833</v>
      </c>
      <c r="N86" s="16" t="n">
        <v>0.92865</v>
      </c>
      <c r="O86" s="16" t="n">
        <v>0</v>
      </c>
      <c r="P86" s="16" t="n">
        <v>2.21195</v>
      </c>
      <c r="Q86">
        <f>--($A86=IF('الداشبورد'!$B$5="الكل",$A86,'الداشبورد'!$B$5))</f>
        <v/>
      </c>
      <c r="R86">
        <f>--($E86=IF('الداشبورد'!$B$6="الكل",$E86,'الداشبورد'!$B$6))</f>
        <v/>
      </c>
      <c r="S86">
        <f>--($K86=IF('الداشبورد'!$B$7="الكل",$K86,IF('الداشبورد'!$B$7="تصدير","Y","N")))</f>
        <v/>
      </c>
      <c r="T86">
        <f>--($J86=IF('الداشبورد'!$B$8="الكل",$J86,IF('الداشبورد'!$B$8="AL","A","C")))</f>
        <v/>
      </c>
      <c r="U86">
        <f>--($I86=IF('الداشبورد'!$B$9="الكل",$I86,IF('الداشبورد'!$B$9="بدون حالة","P",'الداشبورد'!$B$9)))</f>
        <v/>
      </c>
      <c r="V86">
        <f>--($D86=IF('الداشبورد'!$B$10="الكل",$D86,'الداشبورد'!$B$10))</f>
        <v/>
      </c>
      <c r="W86">
        <f>--($G86=IF('الداشبورد'!$B$11="الكل",$G86,'الداشبورد'!$B$11))</f>
        <v/>
      </c>
      <c r="X86">
        <f>Q86*R86*S86*T86*U86*V86*W86*--($C86&lt;&gt;"")</f>
        <v/>
      </c>
    </row>
    <row r="87">
      <c r="A87" s="15" t="n">
        <v>2</v>
      </c>
      <c r="B87" s="15" t="inlineStr">
        <is>
          <t>Y184324</t>
        </is>
      </c>
      <c r="C87" s="15" t="inlineStr">
        <is>
          <t>1550/26/07</t>
        </is>
      </c>
      <c r="D87" s="15" t="inlineStr">
        <is>
          <t>Master Power Systems  Ltd</t>
        </is>
      </c>
      <c r="E87" s="15" t="inlineStr">
        <is>
          <t>LV</t>
        </is>
      </c>
      <c r="F87" s="15" t="inlineStr">
        <is>
          <t>0.6 / 1 KV 4 X 70 MM2</t>
        </is>
      </c>
      <c r="G87" s="15" t="inlineStr">
        <is>
          <t>EX03</t>
        </is>
      </c>
      <c r="H87" s="15" t="inlineStr">
        <is>
          <t>Wooden Drums</t>
        </is>
      </c>
      <c r="I87" s="15" t="inlineStr">
        <is>
          <t>OK</t>
        </is>
      </c>
      <c r="J87" s="15" t="inlineStr">
        <is>
          <t>A</t>
        </is>
      </c>
      <c r="K87" s="15" t="inlineStr">
        <is>
          <t>Y</t>
        </is>
      </c>
      <c r="L87" s="15" t="n">
        <v>720</v>
      </c>
      <c r="M87" s="16" t="n">
        <v>0.50688</v>
      </c>
      <c r="N87" s="16" t="n">
        <v>0</v>
      </c>
      <c r="O87" s="16" t="n">
        <v>0</v>
      </c>
      <c r="P87" s="16" t="n">
        <v>0.50688</v>
      </c>
      <c r="Q87">
        <f>--($A87=IF('الداشبورد'!$B$5="الكل",$A87,'الداشبورد'!$B$5))</f>
        <v/>
      </c>
      <c r="R87">
        <f>--($E87=IF('الداشبورد'!$B$6="الكل",$E87,'الداشبورد'!$B$6))</f>
        <v/>
      </c>
      <c r="S87">
        <f>--($K87=IF('الداشبورد'!$B$7="الكل",$K87,IF('الداشبورد'!$B$7="تصدير","Y","N")))</f>
        <v/>
      </c>
      <c r="T87">
        <f>--($J87=IF('الداشبورد'!$B$8="الكل",$J87,IF('الداشبورد'!$B$8="AL","A","C")))</f>
        <v/>
      </c>
      <c r="U87">
        <f>--($I87=IF('الداشبورد'!$B$9="الكل",$I87,IF('الداشبورد'!$B$9="بدون حالة","P",'الداشبورد'!$B$9)))</f>
        <v/>
      </c>
      <c r="V87">
        <f>--($D87=IF('الداشبورد'!$B$10="الكل",$D87,'الداشبورد'!$B$10))</f>
        <v/>
      </c>
      <c r="W87">
        <f>--($G87=IF('الداشبورد'!$B$11="الكل",$G87,'الداشبورد'!$B$11))</f>
        <v/>
      </c>
      <c r="X87">
        <f>Q87*R87*S87*T87*U87*V87*W87*--($C87&lt;&gt;"")</f>
        <v/>
      </c>
    </row>
    <row r="88">
      <c r="A88" s="15" t="n">
        <v>2</v>
      </c>
      <c r="B88" s="15" t="inlineStr">
        <is>
          <t>F184344</t>
        </is>
      </c>
      <c r="C88" s="15" t="inlineStr">
        <is>
          <t>1405/26/03</t>
        </is>
      </c>
      <c r="D88" s="15" t="inlineStr">
        <is>
          <t>Kharafi National</t>
        </is>
      </c>
      <c r="E88" s="15" t="inlineStr">
        <is>
          <t>LV</t>
        </is>
      </c>
      <c r="F88" s="15" t="inlineStr">
        <is>
          <t>0.6/1 KV 3*50+25</t>
        </is>
      </c>
      <c r="G88" s="15" t="inlineStr">
        <is>
          <t>EX03</t>
        </is>
      </c>
      <c r="H88" s="15" t="inlineStr">
        <is>
          <t>Wooden Drums</t>
        </is>
      </c>
      <c r="I88" s="15" t="inlineStr">
        <is>
          <t>OK</t>
        </is>
      </c>
      <c r="J88" s="15" t="inlineStr">
        <is>
          <t>A</t>
        </is>
      </c>
      <c r="K88" s="15" t="inlineStr">
        <is>
          <t>N</t>
        </is>
      </c>
      <c r="L88" s="15" t="n">
        <v>41</v>
      </c>
      <c r="M88" s="16" t="n">
        <v>0.018204</v>
      </c>
      <c r="N88" s="16" t="n">
        <v>0</v>
      </c>
      <c r="O88" s="16" t="n">
        <v>0</v>
      </c>
      <c r="P88" s="16" t="n">
        <v>0.018204</v>
      </c>
      <c r="Q88">
        <f>--($A88=IF('الداشبورد'!$B$5="الكل",$A88,'الداشبورد'!$B$5))</f>
        <v/>
      </c>
      <c r="R88">
        <f>--($E88=IF('الداشبورد'!$B$6="الكل",$E88,'الداشبورد'!$B$6))</f>
        <v/>
      </c>
      <c r="S88">
        <f>--($K88=IF('الداشبورد'!$B$7="الكل",$K88,IF('الداشبورد'!$B$7="تصدير","Y","N")))</f>
        <v/>
      </c>
      <c r="T88">
        <f>--($J88=IF('الداشبورد'!$B$8="الكل",$J88,IF('الداشبورد'!$B$8="AL","A","C")))</f>
        <v/>
      </c>
      <c r="U88">
        <f>--($I88=IF('الداشبورد'!$B$9="الكل",$I88,IF('الداشبورد'!$B$9="بدون حالة","P",'الداشبورد'!$B$9)))</f>
        <v/>
      </c>
      <c r="V88">
        <f>--($D88=IF('الداشبورد'!$B$10="الكل",$D88,'الداشبورد'!$B$10))</f>
        <v/>
      </c>
      <c r="W88">
        <f>--($G88=IF('الداشبورد'!$B$11="الكل",$G88,'الداشبورد'!$B$11))</f>
        <v/>
      </c>
      <c r="X88">
        <f>Q88*R88*S88*T88*U88*V88*W88*--($C88&lt;&gt;"")</f>
        <v/>
      </c>
    </row>
    <row r="89">
      <c r="A89" s="15" t="n">
        <v>2</v>
      </c>
      <c r="B89" s="15" t="inlineStr">
        <is>
          <t>J184332</t>
        </is>
      </c>
      <c r="C89" s="15" t="inlineStr">
        <is>
          <t>1852/26/05</t>
        </is>
      </c>
      <c r="D89" s="15" t="inlineStr">
        <is>
          <t>دار التميز للاستثمار العقاري</t>
        </is>
      </c>
      <c r="E89" s="15" t="inlineStr">
        <is>
          <t>LV</t>
        </is>
      </c>
      <c r="F89" s="15" t="inlineStr">
        <is>
          <t>450/750 V 1*95</t>
        </is>
      </c>
      <c r="G89" s="15" t="inlineStr">
        <is>
          <t>EX01</t>
        </is>
      </c>
      <c r="H89" s="15" t="inlineStr">
        <is>
          <t>Wooden Drums</t>
        </is>
      </c>
      <c r="I89" s="15" t="inlineStr">
        <is>
          <t>OK</t>
        </is>
      </c>
      <c r="J89" s="15" t="inlineStr">
        <is>
          <t>A</t>
        </is>
      </c>
      <c r="K89" s="15" t="inlineStr">
        <is>
          <t>N</t>
        </is>
      </c>
      <c r="L89" s="15" t="n">
        <v>1526</v>
      </c>
      <c r="M89" s="16" t="n">
        <v>0.37387</v>
      </c>
      <c r="N89" s="16" t="n">
        <v>0</v>
      </c>
      <c r="O89" s="16" t="n">
        <v>0</v>
      </c>
      <c r="P89" s="16" t="n">
        <v>0.37387</v>
      </c>
      <c r="Q89">
        <f>--($A89=IF('الداشبورد'!$B$5="الكل",$A89,'الداشبورد'!$B$5))</f>
        <v/>
      </c>
      <c r="R89">
        <f>--($E89=IF('الداشبورد'!$B$6="الكل",$E89,'الداشبورد'!$B$6))</f>
        <v/>
      </c>
      <c r="S89">
        <f>--($K89=IF('الداشبورد'!$B$7="الكل",$K89,IF('الداشبورد'!$B$7="تصدير","Y","N")))</f>
        <v/>
      </c>
      <c r="T89">
        <f>--($J89=IF('الداشبورد'!$B$8="الكل",$J89,IF('الداشبورد'!$B$8="AL","A","C")))</f>
        <v/>
      </c>
      <c r="U89">
        <f>--($I89=IF('الداشبورد'!$B$9="الكل",$I89,IF('الداشبورد'!$B$9="بدون حالة","P",'الداشبورد'!$B$9)))</f>
        <v/>
      </c>
      <c r="V89">
        <f>--($D89=IF('الداشبورد'!$B$10="الكل",$D89,'الداشبورد'!$B$10))</f>
        <v/>
      </c>
      <c r="W89">
        <f>--($G89=IF('الداشبورد'!$B$11="الكل",$G89,'الداشبورد'!$B$11))</f>
        <v/>
      </c>
      <c r="X89">
        <f>Q89*R89*S89*T89*U89*V89*W89*--($C89&lt;&gt;"")</f>
        <v/>
      </c>
    </row>
    <row r="90">
      <c r="A90" s="15" t="n">
        <v>2</v>
      </c>
      <c r="B90" s="15" t="inlineStr">
        <is>
          <t>G184196</t>
        </is>
      </c>
      <c r="C90" s="15" t="inlineStr">
        <is>
          <t>1787/26/02</t>
        </is>
      </c>
      <c r="D90" s="15" t="inlineStr">
        <is>
          <t>شركه ام ال اي شركه محاصه</t>
        </is>
      </c>
      <c r="E90" s="15" t="inlineStr">
        <is>
          <t>LV</t>
        </is>
      </c>
      <c r="F90" s="15" t="inlineStr">
        <is>
          <t>450/750 V 1*70</t>
        </is>
      </c>
      <c r="G90" s="15" t="inlineStr">
        <is>
          <t>EX01</t>
        </is>
      </c>
      <c r="H90" s="15" t="inlineStr">
        <is>
          <t>Wooden Drums</t>
        </is>
      </c>
      <c r="I90" s="15" t="inlineStr">
        <is>
          <t>OK</t>
        </is>
      </c>
      <c r="J90" s="15" t="inlineStr">
        <is>
          <t>C</t>
        </is>
      </c>
      <c r="K90" s="15" t="inlineStr">
        <is>
          <t>N</t>
        </is>
      </c>
      <c r="L90" s="15" t="n">
        <v>600</v>
      </c>
      <c r="M90" s="16" t="n">
        <v>0.3516</v>
      </c>
      <c r="N90" s="16" t="n">
        <v>0</v>
      </c>
      <c r="O90" s="16" t="n">
        <v>0</v>
      </c>
      <c r="P90" s="16" t="n">
        <v>0.3516</v>
      </c>
      <c r="Q90">
        <f>--($A90=IF('الداشبورد'!$B$5="الكل",$A90,'الداشبورد'!$B$5))</f>
        <v/>
      </c>
      <c r="R90">
        <f>--($E90=IF('الداشبورد'!$B$6="الكل",$E90,'الداشبورد'!$B$6))</f>
        <v/>
      </c>
      <c r="S90">
        <f>--($K90=IF('الداشبورد'!$B$7="الكل",$K90,IF('الداشبورد'!$B$7="تصدير","Y","N")))</f>
        <v/>
      </c>
      <c r="T90">
        <f>--($J90=IF('الداشبورد'!$B$8="الكل",$J90,IF('الداشبورد'!$B$8="AL","A","C")))</f>
        <v/>
      </c>
      <c r="U90">
        <f>--($I90=IF('الداشبورد'!$B$9="الكل",$I90,IF('الداشبورد'!$B$9="بدون حالة","P",'الداشبورد'!$B$9)))</f>
        <v/>
      </c>
      <c r="V90">
        <f>--($D90=IF('الداشبورد'!$B$10="الكل",$D90,'الداشبورد'!$B$10))</f>
        <v/>
      </c>
      <c r="W90">
        <f>--($G90=IF('الداشبورد'!$B$11="الكل",$G90,'الداشبورد'!$B$11))</f>
        <v/>
      </c>
      <c r="X90">
        <f>Q90*R90*S90*T90*U90*V90*W90*--($C90&lt;&gt;"")</f>
        <v/>
      </c>
    </row>
    <row r="91">
      <c r="A91" s="15" t="n">
        <v>2</v>
      </c>
      <c r="B91" s="15" t="inlineStr">
        <is>
          <t>F184287</t>
        </is>
      </c>
      <c r="C91" s="15" t="inlineStr">
        <is>
          <t>1478/26/25</t>
        </is>
      </c>
      <c r="D91" s="15" t="inlineStr">
        <is>
          <t>Energya Power &amp; Telecom Solutions</t>
        </is>
      </c>
      <c r="E91" s="15" t="inlineStr">
        <is>
          <t>LV</t>
        </is>
      </c>
      <c r="F91" s="15" t="inlineStr">
        <is>
          <t>0.6/1 KV 4X16</t>
        </is>
      </c>
      <c r="G91" s="15" t="inlineStr">
        <is>
          <t>EX13</t>
        </is>
      </c>
      <c r="H91" s="15" t="inlineStr">
        <is>
          <t>Wooden Drums</t>
        </is>
      </c>
      <c r="I91" s="15" t="inlineStr">
        <is>
          <t>OK</t>
        </is>
      </c>
      <c r="J91" s="15" t="inlineStr">
        <is>
          <t>C</t>
        </is>
      </c>
      <c r="K91" s="15" t="inlineStr">
        <is>
          <t>N</t>
        </is>
      </c>
      <c r="L91" s="15" t="n">
        <v>123</v>
      </c>
      <c r="M91" s="16" t="n">
        <v>0.06666600000000002</v>
      </c>
      <c r="N91" s="16" t="n">
        <v>0</v>
      </c>
      <c r="O91" s="16" t="n">
        <v>0</v>
      </c>
      <c r="P91" s="16" t="n">
        <v>0.06666600000000002</v>
      </c>
      <c r="Q91">
        <f>--($A91=IF('الداشبورد'!$B$5="الكل",$A91,'الداشبورد'!$B$5))</f>
        <v/>
      </c>
      <c r="R91">
        <f>--($E91=IF('الداشبورد'!$B$6="الكل",$E91,'الداشبورد'!$B$6))</f>
        <v/>
      </c>
      <c r="S91">
        <f>--($K91=IF('الداشبورد'!$B$7="الكل",$K91,IF('الداشبورد'!$B$7="تصدير","Y","N")))</f>
        <v/>
      </c>
      <c r="T91">
        <f>--($J91=IF('الداشبورد'!$B$8="الكل",$J91,IF('الداشبورد'!$B$8="AL","A","C")))</f>
        <v/>
      </c>
      <c r="U91">
        <f>--($I91=IF('الداشبورد'!$B$9="الكل",$I91,IF('الداشبورد'!$B$9="بدون حالة","P",'الداشبورد'!$B$9)))</f>
        <v/>
      </c>
      <c r="V91">
        <f>--($D91=IF('الداشبورد'!$B$10="الكل",$D91,'الداشبورد'!$B$10))</f>
        <v/>
      </c>
      <c r="W91">
        <f>--($G91=IF('الداشبورد'!$B$11="الكل",$G91,'الداشبورد'!$B$11))</f>
        <v/>
      </c>
      <c r="X91">
        <f>Q91*R91*S91*T91*U91*V91*W91*--($C91&lt;&gt;"")</f>
        <v/>
      </c>
    </row>
    <row r="92">
      <c r="A92" s="15" t="n">
        <v>2</v>
      </c>
      <c r="B92" s="15" t="inlineStr">
        <is>
          <t>F184288</t>
        </is>
      </c>
      <c r="C92" s="15" t="inlineStr">
        <is>
          <t>1478/26/17</t>
        </is>
      </c>
      <c r="D92" s="15" t="inlineStr">
        <is>
          <t>Energya Power &amp; Telecom Solutions</t>
        </is>
      </c>
      <c r="E92" s="15" t="inlineStr">
        <is>
          <t>LV</t>
        </is>
      </c>
      <c r="F92" s="15" t="inlineStr">
        <is>
          <t>0.6/1 KV 2X16</t>
        </is>
      </c>
      <c r="G92" s="15" t="inlineStr">
        <is>
          <t>EX13</t>
        </is>
      </c>
      <c r="H92" s="15" t="inlineStr">
        <is>
          <t>Wooden Drums</t>
        </is>
      </c>
      <c r="I92" s="15" t="inlineStr">
        <is>
          <t>OK</t>
        </is>
      </c>
      <c r="J92" s="15" t="inlineStr">
        <is>
          <t>C</t>
        </is>
      </c>
      <c r="K92" s="15" t="inlineStr">
        <is>
          <t>N</t>
        </is>
      </c>
      <c r="L92" s="15" t="n">
        <v>221</v>
      </c>
      <c r="M92" s="16" t="n">
        <v>0.060112</v>
      </c>
      <c r="N92" s="16" t="n">
        <v>0</v>
      </c>
      <c r="O92" s="16" t="n">
        <v>0</v>
      </c>
      <c r="P92" s="16" t="n">
        <v>0.060112</v>
      </c>
      <c r="Q92">
        <f>--($A92=IF('الداشبورد'!$B$5="الكل",$A92,'الداشبورد'!$B$5))</f>
        <v/>
      </c>
      <c r="R92">
        <f>--($E92=IF('الداشبورد'!$B$6="الكل",$E92,'الداشبورد'!$B$6))</f>
        <v/>
      </c>
      <c r="S92">
        <f>--($K92=IF('الداشبورد'!$B$7="الكل",$K92,IF('الداشبورد'!$B$7="تصدير","Y","N")))</f>
        <v/>
      </c>
      <c r="T92">
        <f>--($J92=IF('الداشبورد'!$B$8="الكل",$J92,IF('الداشبورد'!$B$8="AL","A","C")))</f>
        <v/>
      </c>
      <c r="U92">
        <f>--($I92=IF('الداشبورد'!$B$9="الكل",$I92,IF('الداشبورد'!$B$9="بدون حالة","P",'الداشبورد'!$B$9)))</f>
        <v/>
      </c>
      <c r="V92">
        <f>--($D92=IF('الداشبورد'!$B$10="الكل",$D92,'الداشبورد'!$B$10))</f>
        <v/>
      </c>
      <c r="W92">
        <f>--($G92=IF('الداشبورد'!$B$11="الكل",$G92,'الداشبورد'!$B$11))</f>
        <v/>
      </c>
      <c r="X92">
        <f>Q92*R92*S92*T92*U92*V92*W92*--($C92&lt;&gt;"")</f>
        <v/>
      </c>
    </row>
    <row r="93">
      <c r="A93" s="15" t="n">
        <v>2</v>
      </c>
      <c r="B93" s="15" t="inlineStr">
        <is>
          <t>P184316</t>
        </is>
      </c>
      <c r="C93" s="15" t="inlineStr">
        <is>
          <t>1385/26/08</t>
        </is>
      </c>
      <c r="D93" s="15" t="inlineStr">
        <is>
          <t>الشركة العربية للصناعة والتجارة الدولية</t>
        </is>
      </c>
      <c r="E93" s="15" t="inlineStr">
        <is>
          <t>LV</t>
        </is>
      </c>
      <c r="F93" s="15" t="inlineStr">
        <is>
          <t>0.6/1 KV 3*70+35</t>
        </is>
      </c>
      <c r="G93" s="15" t="inlineStr">
        <is>
          <t>EX04</t>
        </is>
      </c>
      <c r="H93" s="15" t="inlineStr">
        <is>
          <t>Wooden Drums</t>
        </is>
      </c>
      <c r="I93" s="15" t="inlineStr">
        <is>
          <t>OK</t>
        </is>
      </c>
      <c r="J93" s="15" t="inlineStr">
        <is>
          <t>A</t>
        </is>
      </c>
      <c r="K93" s="15" t="inlineStr">
        <is>
          <t>N</t>
        </is>
      </c>
      <c r="L93" s="15" t="n">
        <v>1021</v>
      </c>
      <c r="M93" s="16" t="n">
        <v>0.660587</v>
      </c>
      <c r="N93" s="16" t="n">
        <v>0</v>
      </c>
      <c r="O93" s="16" t="n">
        <v>0</v>
      </c>
      <c r="P93" s="16" t="n">
        <v>0.660587</v>
      </c>
      <c r="Q93">
        <f>--($A93=IF('الداشبورد'!$B$5="الكل",$A93,'الداشبورد'!$B$5))</f>
        <v/>
      </c>
      <c r="R93">
        <f>--($E93=IF('الداشبورد'!$B$6="الكل",$E93,'الداشبورد'!$B$6))</f>
        <v/>
      </c>
      <c r="S93">
        <f>--($K93=IF('الداشبورد'!$B$7="الكل",$K93,IF('الداشبورد'!$B$7="تصدير","Y","N")))</f>
        <v/>
      </c>
      <c r="T93">
        <f>--($J93=IF('الداشبورد'!$B$8="الكل",$J93,IF('الداشبورد'!$B$8="AL","A","C")))</f>
        <v/>
      </c>
      <c r="U93">
        <f>--($I93=IF('الداشبورد'!$B$9="الكل",$I93,IF('الداشبورد'!$B$9="بدون حالة","P",'الداشبورد'!$B$9)))</f>
        <v/>
      </c>
      <c r="V93">
        <f>--($D93=IF('الداشبورد'!$B$10="الكل",$D93,'الداشبورد'!$B$10))</f>
        <v/>
      </c>
      <c r="W93">
        <f>--($G93=IF('الداشبورد'!$B$11="الكل",$G93,'الداشبورد'!$B$11))</f>
        <v/>
      </c>
      <c r="X93">
        <f>Q93*R93*S93*T93*U93*V93*W93*--($C93&lt;&gt;"")</f>
        <v/>
      </c>
    </row>
    <row r="94">
      <c r="A94" s="15" t="n">
        <v>2</v>
      </c>
      <c r="B94" s="15" t="inlineStr">
        <is>
          <t>F184285</t>
        </is>
      </c>
      <c r="C94" s="15" t="inlineStr">
        <is>
          <t>1392/26/17</t>
        </is>
      </c>
      <c r="D94" s="15" t="inlineStr">
        <is>
          <t>أوتاك  للتجارة والهندسية</t>
        </is>
      </c>
      <c r="E94" s="15" t="inlineStr">
        <is>
          <t>LV</t>
        </is>
      </c>
      <c r="F94" s="15" t="inlineStr">
        <is>
          <t>0.6/1 KV 3*10</t>
        </is>
      </c>
      <c r="G94" s="15" t="inlineStr">
        <is>
          <t>EX13</t>
        </is>
      </c>
      <c r="H94" s="15" t="inlineStr">
        <is>
          <t>Wooden Drums</t>
        </is>
      </c>
      <c r="I94" s="15" t="inlineStr">
        <is>
          <t>OK</t>
        </is>
      </c>
      <c r="J94" s="15" t="inlineStr">
        <is>
          <t>C</t>
        </is>
      </c>
      <c r="K94" s="15" t="inlineStr">
        <is>
          <t>N</t>
        </is>
      </c>
      <c r="L94" s="15" t="n">
        <v>309</v>
      </c>
      <c r="M94" s="16" t="n">
        <v>0.08034000000000001</v>
      </c>
      <c r="N94" s="16" t="n">
        <v>0</v>
      </c>
      <c r="O94" s="16" t="n">
        <v>0</v>
      </c>
      <c r="P94" s="16" t="n">
        <v>0.08034000000000001</v>
      </c>
      <c r="Q94">
        <f>--($A94=IF('الداشبورد'!$B$5="الكل",$A94,'الداشبورد'!$B$5))</f>
        <v/>
      </c>
      <c r="R94">
        <f>--($E94=IF('الداشبورد'!$B$6="الكل",$E94,'الداشبورد'!$B$6))</f>
        <v/>
      </c>
      <c r="S94">
        <f>--($K94=IF('الداشبورد'!$B$7="الكل",$K94,IF('الداشبورد'!$B$7="تصدير","Y","N")))</f>
        <v/>
      </c>
      <c r="T94">
        <f>--($J94=IF('الداشبورد'!$B$8="الكل",$J94,IF('الداشبورد'!$B$8="AL","A","C")))</f>
        <v/>
      </c>
      <c r="U94">
        <f>--($I94=IF('الداشبورد'!$B$9="الكل",$I94,IF('الداشبورد'!$B$9="بدون حالة","P",'الداشبورد'!$B$9)))</f>
        <v/>
      </c>
      <c r="V94">
        <f>--($D94=IF('الداشبورد'!$B$10="الكل",$D94,'الداشبورد'!$B$10))</f>
        <v/>
      </c>
      <c r="W94">
        <f>--($G94=IF('الداشبورد'!$B$11="الكل",$G94,'الداشبورد'!$B$11))</f>
        <v/>
      </c>
      <c r="X94">
        <f>Q94*R94*S94*T94*U94*V94*W94*--($C94&lt;&gt;"")</f>
        <v/>
      </c>
    </row>
    <row r="95">
      <c r="A95" s="15" t="n">
        <v>2</v>
      </c>
      <c r="B95" s="15" t="inlineStr">
        <is>
          <t>E184198</t>
        </is>
      </c>
      <c r="C95" s="15" t="inlineStr">
        <is>
          <t>1125/26/05</t>
        </is>
      </c>
      <c r="D95" s="15" t="inlineStr">
        <is>
          <t>Energya For Engineering&amp;Distribution</t>
        </is>
      </c>
      <c r="E95" s="15" t="inlineStr">
        <is>
          <t>LV</t>
        </is>
      </c>
      <c r="F95" s="15" t="inlineStr">
        <is>
          <t>0.6/1 KV 4*10</t>
        </is>
      </c>
      <c r="G95" s="15" t="inlineStr">
        <is>
          <t>EX13</t>
        </is>
      </c>
      <c r="H95" s="15" t="inlineStr">
        <is>
          <t>Wooden Drums</t>
        </is>
      </c>
      <c r="I95" s="15" t="inlineStr">
        <is>
          <t>OK</t>
        </is>
      </c>
      <c r="J95" s="15" t="inlineStr">
        <is>
          <t>C</t>
        </is>
      </c>
      <c r="K95" s="15" t="inlineStr">
        <is>
          <t>N</t>
        </is>
      </c>
      <c r="L95" s="15" t="n">
        <v>502</v>
      </c>
      <c r="M95" s="16" t="n">
        <v>0.171182</v>
      </c>
      <c r="N95" s="16" t="n">
        <v>0</v>
      </c>
      <c r="O95" s="16" t="n">
        <v>0</v>
      </c>
      <c r="P95" s="16" t="n">
        <v>0.171182</v>
      </c>
      <c r="Q95">
        <f>--($A95=IF('الداشبورد'!$B$5="الكل",$A95,'الداشبورد'!$B$5))</f>
        <v/>
      </c>
      <c r="R95">
        <f>--($E95=IF('الداشبورد'!$B$6="الكل",$E95,'الداشبورد'!$B$6))</f>
        <v/>
      </c>
      <c r="S95">
        <f>--($K95=IF('الداشبورد'!$B$7="الكل",$K95,IF('الداشبورد'!$B$7="تصدير","Y","N")))</f>
        <v/>
      </c>
      <c r="T95">
        <f>--($J95=IF('الداشبورد'!$B$8="الكل",$J95,IF('الداشبورد'!$B$8="AL","A","C")))</f>
        <v/>
      </c>
      <c r="U95">
        <f>--($I95=IF('الداشبورد'!$B$9="الكل",$I95,IF('الداشبورد'!$B$9="بدون حالة","P",'الداشبورد'!$B$9)))</f>
        <v/>
      </c>
      <c r="V95">
        <f>--($D95=IF('الداشبورد'!$B$10="الكل",$D95,'الداشبورد'!$B$10))</f>
        <v/>
      </c>
      <c r="W95">
        <f>--($G95=IF('الداشبورد'!$B$11="الكل",$G95,'الداشبورد'!$B$11))</f>
        <v/>
      </c>
      <c r="X95">
        <f>Q95*R95*S95*T95*U95*V95*W95*--($C95&lt;&gt;"")</f>
        <v/>
      </c>
    </row>
    <row r="96">
      <c r="A96" s="15" t="n">
        <v>2</v>
      </c>
      <c r="B96" s="15" t="inlineStr">
        <is>
          <t>C184341</t>
        </is>
      </c>
      <c r="C96" s="15" t="inlineStr">
        <is>
          <t>1365/26/09</t>
        </is>
      </c>
      <c r="D96" s="15" t="inlineStr">
        <is>
          <t>Veolia water technologies Egypt LLC</t>
        </is>
      </c>
      <c r="E96" s="15" t="inlineStr">
        <is>
          <t>LV</t>
        </is>
      </c>
      <c r="F96" s="15" t="inlineStr">
        <is>
          <t>0.6/1 KV 4*10</t>
        </is>
      </c>
      <c r="G96" s="15" t="inlineStr">
        <is>
          <t>EX13</t>
        </is>
      </c>
      <c r="H96" s="15" t="inlineStr">
        <is>
          <t>Wooden Drums</t>
        </is>
      </c>
      <c r="I96" s="15" t="inlineStr">
        <is>
          <t>OK</t>
        </is>
      </c>
      <c r="J96" s="15" t="inlineStr">
        <is>
          <t>C</t>
        </is>
      </c>
      <c r="K96" s="15" t="inlineStr">
        <is>
          <t>N</t>
        </is>
      </c>
      <c r="L96" s="15" t="n">
        <v>154</v>
      </c>
      <c r="M96" s="16" t="n">
        <v>0.05251400000000001</v>
      </c>
      <c r="N96" s="16" t="n">
        <v>0</v>
      </c>
      <c r="O96" s="16" t="n">
        <v>0</v>
      </c>
      <c r="P96" s="16" t="n">
        <v>0.05251400000000001</v>
      </c>
      <c r="Q96">
        <f>--($A96=IF('الداشبورد'!$B$5="الكل",$A96,'الداشبورد'!$B$5))</f>
        <v/>
      </c>
      <c r="R96">
        <f>--($E96=IF('الداشبورد'!$B$6="الكل",$E96,'الداشبورد'!$B$6))</f>
        <v/>
      </c>
      <c r="S96">
        <f>--($K96=IF('الداشبورد'!$B$7="الكل",$K96,IF('الداشبورد'!$B$7="تصدير","Y","N")))</f>
        <v/>
      </c>
      <c r="T96">
        <f>--($J96=IF('الداشبورد'!$B$8="الكل",$J96,IF('الداشبورد'!$B$8="AL","A","C")))</f>
        <v/>
      </c>
      <c r="U96">
        <f>--($I96=IF('الداشبورد'!$B$9="الكل",$I96,IF('الداشبورد'!$B$9="بدون حالة","P",'الداشبورد'!$B$9)))</f>
        <v/>
      </c>
      <c r="V96">
        <f>--($D96=IF('الداشبورد'!$B$10="الكل",$D96,'الداشبورد'!$B$10))</f>
        <v/>
      </c>
      <c r="W96">
        <f>--($G96=IF('الداشبورد'!$B$11="الكل",$G96,'الداشبورد'!$B$11))</f>
        <v/>
      </c>
      <c r="X96">
        <f>Q96*R96*S96*T96*U96*V96*W96*--($C96&lt;&gt;"")</f>
        <v/>
      </c>
    </row>
    <row r="97">
      <c r="A97" s="15" t="n">
        <v>2</v>
      </c>
      <c r="B97" s="15" t="inlineStr">
        <is>
          <t>A184323</t>
        </is>
      </c>
      <c r="C97" s="15" t="inlineStr">
        <is>
          <t>1624/26/10</t>
        </is>
      </c>
      <c r="D97" s="15" t="inlineStr">
        <is>
          <t>شركة انوار المدينة لاستيراد المواد الكهربائية</t>
        </is>
      </c>
      <c r="E97" s="15" t="inlineStr">
        <is>
          <t>LV</t>
        </is>
      </c>
      <c r="F97" s="15" t="inlineStr">
        <is>
          <t>0.6/1 KV 1X16</t>
        </is>
      </c>
      <c r="G97" s="15" t="inlineStr">
        <is>
          <t>EX13</t>
        </is>
      </c>
      <c r="H97" s="15" t="inlineStr">
        <is>
          <t>Wooden Drums</t>
        </is>
      </c>
      <c r="I97" s="15" t="inlineStr">
        <is>
          <t>OK</t>
        </is>
      </c>
      <c r="J97" s="15" t="inlineStr">
        <is>
          <t>C</t>
        </is>
      </c>
      <c r="K97" s="15" t="inlineStr">
        <is>
          <t>Y</t>
        </is>
      </c>
      <c r="L97" s="15" t="n">
        <v>105</v>
      </c>
      <c r="M97" s="16" t="n">
        <v>0.013965</v>
      </c>
      <c r="N97" s="16" t="n">
        <v>0</v>
      </c>
      <c r="O97" s="16" t="n">
        <v>0</v>
      </c>
      <c r="P97" s="16" t="n">
        <v>0.013965</v>
      </c>
      <c r="Q97">
        <f>--($A97=IF('الداشبورد'!$B$5="الكل",$A97,'الداشبورد'!$B$5))</f>
        <v/>
      </c>
      <c r="R97">
        <f>--($E97=IF('الداشبورد'!$B$6="الكل",$E97,'الداشبورد'!$B$6))</f>
        <v/>
      </c>
      <c r="S97">
        <f>--($K97=IF('الداشبورد'!$B$7="الكل",$K97,IF('الداشبورد'!$B$7="تصدير","Y","N")))</f>
        <v/>
      </c>
      <c r="T97">
        <f>--($J97=IF('الداشبورد'!$B$8="الكل",$J97,IF('الداشبورد'!$B$8="AL","A","C")))</f>
        <v/>
      </c>
      <c r="U97">
        <f>--($I97=IF('الداشبورد'!$B$9="الكل",$I97,IF('الداشبورد'!$B$9="بدون حالة","P",'الداشبورد'!$B$9)))</f>
        <v/>
      </c>
      <c r="V97">
        <f>--($D97=IF('الداشبورد'!$B$10="الكل",$D97,'الداشبورد'!$B$10))</f>
        <v/>
      </c>
      <c r="W97">
        <f>--($G97=IF('الداشبورد'!$B$11="الكل",$G97,'الداشبورد'!$B$11))</f>
        <v/>
      </c>
      <c r="X97">
        <f>Q97*R97*S97*T97*U97*V97*W97*--($C97&lt;&gt;"")</f>
        <v/>
      </c>
    </row>
    <row r="98">
      <c r="A98" s="15" t="n">
        <v>2</v>
      </c>
      <c r="B98" s="15" t="inlineStr">
        <is>
          <t>J184180</t>
        </is>
      </c>
      <c r="C98" s="15" t="inlineStr">
        <is>
          <t>1385/26/17</t>
        </is>
      </c>
      <c r="D98" s="15" t="inlineStr">
        <is>
          <t>الشركة العربية للصناعة والتجارة الدولية</t>
        </is>
      </c>
      <c r="E98" s="15" t="inlineStr">
        <is>
          <t>LV</t>
        </is>
      </c>
      <c r="F98" s="15" t="inlineStr">
        <is>
          <t>0.6/1 KV 1X70</t>
        </is>
      </c>
      <c r="G98" s="15" t="inlineStr">
        <is>
          <t>EX03</t>
        </is>
      </c>
      <c r="H98" s="15" t="inlineStr">
        <is>
          <t>Wooden Drums</t>
        </is>
      </c>
      <c r="I98" s="15" t="inlineStr">
        <is>
          <t>OK</t>
        </is>
      </c>
      <c r="J98" s="15" t="inlineStr">
        <is>
          <t>A</t>
        </is>
      </c>
      <c r="K98" s="15" t="inlineStr">
        <is>
          <t>N</t>
        </is>
      </c>
      <c r="L98" s="15" t="n">
        <v>1020</v>
      </c>
      <c r="M98" s="16" t="n">
        <v>0.18054</v>
      </c>
      <c r="N98" s="16" t="n">
        <v>0</v>
      </c>
      <c r="O98" s="16" t="n">
        <v>0</v>
      </c>
      <c r="P98" s="16" t="n">
        <v>0.18054</v>
      </c>
      <c r="Q98">
        <f>--($A98=IF('الداشبورد'!$B$5="الكل",$A98,'الداشبورد'!$B$5))</f>
        <v/>
      </c>
      <c r="R98">
        <f>--($E98=IF('الداشبورد'!$B$6="الكل",$E98,'الداشبورد'!$B$6))</f>
        <v/>
      </c>
      <c r="S98">
        <f>--($K98=IF('الداشبورد'!$B$7="الكل",$K98,IF('الداشبورد'!$B$7="تصدير","Y","N")))</f>
        <v/>
      </c>
      <c r="T98">
        <f>--($J98=IF('الداشبورد'!$B$8="الكل",$J98,IF('الداشبورد'!$B$8="AL","A","C")))</f>
        <v/>
      </c>
      <c r="U98">
        <f>--($I98=IF('الداشبورد'!$B$9="الكل",$I98,IF('الداشبورد'!$B$9="بدون حالة","P",'الداشبورد'!$B$9)))</f>
        <v/>
      </c>
      <c r="V98">
        <f>--($D98=IF('الداشبورد'!$B$10="الكل",$D98,'الداشبورد'!$B$10))</f>
        <v/>
      </c>
      <c r="W98">
        <f>--($G98=IF('الداشبورد'!$B$11="الكل",$G98,'الداشبورد'!$B$11))</f>
        <v/>
      </c>
      <c r="X98">
        <f>Q98*R98*S98*T98*U98*V98*W98*--($C98&lt;&gt;"")</f>
        <v/>
      </c>
    </row>
    <row r="99">
      <c r="A99" s="15" t="n">
        <v>2</v>
      </c>
      <c r="B99" s="15" t="inlineStr">
        <is>
          <t>G184351</t>
        </is>
      </c>
      <c r="C99" s="15" t="inlineStr">
        <is>
          <t>1385/26/17</t>
        </is>
      </c>
      <c r="D99" s="15" t="inlineStr">
        <is>
          <t>الشركة العربية للصناعة والتجارة الدولية</t>
        </is>
      </c>
      <c r="E99" s="15" t="inlineStr">
        <is>
          <t>LV</t>
        </is>
      </c>
      <c r="F99" s="15" t="inlineStr">
        <is>
          <t>0.6/1 KV 1X70</t>
        </is>
      </c>
      <c r="G99" s="15" t="inlineStr">
        <is>
          <t>EX03</t>
        </is>
      </c>
      <c r="H99" s="15" t="inlineStr">
        <is>
          <t>Wooden Drums</t>
        </is>
      </c>
      <c r="I99" s="15" t="inlineStr">
        <is>
          <t>OK</t>
        </is>
      </c>
      <c r="J99" s="15" t="inlineStr">
        <is>
          <t>A</t>
        </is>
      </c>
      <c r="K99" s="15" t="inlineStr">
        <is>
          <t>N</t>
        </is>
      </c>
      <c r="L99" s="15" t="n">
        <v>610</v>
      </c>
      <c r="M99" s="16" t="n">
        <v>0.10797</v>
      </c>
      <c r="N99" s="16" t="n">
        <v>0</v>
      </c>
      <c r="O99" s="16" t="n">
        <v>0</v>
      </c>
      <c r="P99" s="16" t="n">
        <v>0.10797</v>
      </c>
      <c r="Q99">
        <f>--($A99=IF('الداشبورد'!$B$5="الكل",$A99,'الداشبورد'!$B$5))</f>
        <v/>
      </c>
      <c r="R99">
        <f>--($E99=IF('الداشبورد'!$B$6="الكل",$E99,'الداشبورد'!$B$6))</f>
        <v/>
      </c>
      <c r="S99">
        <f>--($K99=IF('الداشبورد'!$B$7="الكل",$K99,IF('الداشبورد'!$B$7="تصدير","Y","N")))</f>
        <v/>
      </c>
      <c r="T99">
        <f>--($J99=IF('الداشبورد'!$B$8="الكل",$J99,IF('الداشبورد'!$B$8="AL","A","C")))</f>
        <v/>
      </c>
      <c r="U99">
        <f>--($I99=IF('الداشبورد'!$B$9="الكل",$I99,IF('الداشبورد'!$B$9="بدون حالة","P",'الداشبورد'!$B$9)))</f>
        <v/>
      </c>
      <c r="V99">
        <f>--($D99=IF('الداشبورد'!$B$10="الكل",$D99,'الداشبورد'!$B$10))</f>
        <v/>
      </c>
      <c r="W99">
        <f>--($G99=IF('الداشبورد'!$B$11="الكل",$G99,'الداشبورد'!$B$11))</f>
        <v/>
      </c>
      <c r="X99">
        <f>Q99*R99*S99*T99*U99*V99*W99*--($C99&lt;&gt;"")</f>
        <v/>
      </c>
    </row>
    <row r="100">
      <c r="A100" s="15" t="n">
        <v>2</v>
      </c>
      <c r="B100" s="15" t="inlineStr">
        <is>
          <t>J184327</t>
        </is>
      </c>
      <c r="C100" s="15" t="inlineStr">
        <is>
          <t>1385/26/17</t>
        </is>
      </c>
      <c r="D100" s="15" t="inlineStr">
        <is>
          <t>الشركة العربية للصناعة والتجارة الدولية</t>
        </is>
      </c>
      <c r="E100" s="15" t="inlineStr">
        <is>
          <t>LV</t>
        </is>
      </c>
      <c r="F100" s="15" t="inlineStr">
        <is>
          <t>0.6/1 KV 1X70</t>
        </is>
      </c>
      <c r="G100" s="15" t="inlineStr">
        <is>
          <t>EX03</t>
        </is>
      </c>
      <c r="H100" s="15" t="inlineStr">
        <is>
          <t>Wooden Drums</t>
        </is>
      </c>
      <c r="I100" s="15" t="inlineStr">
        <is>
          <t>OK</t>
        </is>
      </c>
      <c r="J100" s="15" t="inlineStr">
        <is>
          <t>A</t>
        </is>
      </c>
      <c r="K100" s="15" t="inlineStr">
        <is>
          <t>N</t>
        </is>
      </c>
      <c r="L100" s="15" t="n">
        <v>1020</v>
      </c>
      <c r="M100" s="16" t="n">
        <v>0.18054</v>
      </c>
      <c r="N100" s="16" t="n">
        <v>0</v>
      </c>
      <c r="O100" s="16" t="n">
        <v>0</v>
      </c>
      <c r="P100" s="16" t="n">
        <v>0.18054</v>
      </c>
      <c r="Q100">
        <f>--($A100=IF('الداشبورد'!$B$5="الكل",$A100,'الداشبورد'!$B$5))</f>
        <v/>
      </c>
      <c r="R100">
        <f>--($E100=IF('الداشبورد'!$B$6="الكل",$E100,'الداشبورد'!$B$6))</f>
        <v/>
      </c>
      <c r="S100">
        <f>--($K100=IF('الداشبورد'!$B$7="الكل",$K100,IF('الداشبورد'!$B$7="تصدير","Y","N")))</f>
        <v/>
      </c>
      <c r="T100">
        <f>--($J100=IF('الداشبورد'!$B$8="الكل",$J100,IF('الداشبورد'!$B$8="AL","A","C")))</f>
        <v/>
      </c>
      <c r="U100">
        <f>--($I100=IF('الداشبورد'!$B$9="الكل",$I100,IF('الداشبورد'!$B$9="بدون حالة","P",'الداشبورد'!$B$9)))</f>
        <v/>
      </c>
      <c r="V100">
        <f>--($D100=IF('الداشبورد'!$B$10="الكل",$D100,'الداشبورد'!$B$10))</f>
        <v/>
      </c>
      <c r="W100">
        <f>--($G100=IF('الداشبورد'!$B$11="الكل",$G100,'الداشبورد'!$B$11))</f>
        <v/>
      </c>
      <c r="X100">
        <f>Q100*R100*S100*T100*U100*V100*W100*--($C100&lt;&gt;"")</f>
        <v/>
      </c>
    </row>
    <row r="101">
      <c r="A101" s="15" t="n">
        <v>2</v>
      </c>
      <c r="B101" s="15" t="inlineStr">
        <is>
          <t>J184179</t>
        </is>
      </c>
      <c r="C101" s="15" t="inlineStr">
        <is>
          <t>1385/26/17</t>
        </is>
      </c>
      <c r="D101" s="15" t="inlineStr">
        <is>
          <t>الشركة العربية للصناعة والتجارة الدولية</t>
        </is>
      </c>
      <c r="E101" s="15" t="inlineStr">
        <is>
          <t>LV</t>
        </is>
      </c>
      <c r="F101" s="15" t="inlineStr">
        <is>
          <t>0.6/1 KV 1X70</t>
        </is>
      </c>
      <c r="G101" s="15" t="inlineStr">
        <is>
          <t>EX03</t>
        </is>
      </c>
      <c r="H101" s="15" t="inlineStr">
        <is>
          <t>Wooden Drums</t>
        </is>
      </c>
      <c r="I101" s="15" t="inlineStr">
        <is>
          <t>OK</t>
        </is>
      </c>
      <c r="J101" s="15" t="inlineStr">
        <is>
          <t>A</t>
        </is>
      </c>
      <c r="K101" s="15" t="inlineStr">
        <is>
          <t>N</t>
        </is>
      </c>
      <c r="L101" s="15" t="n">
        <v>1020</v>
      </c>
      <c r="M101" s="16" t="n">
        <v>0.18054</v>
      </c>
      <c r="N101" s="16" t="n">
        <v>0</v>
      </c>
      <c r="O101" s="16" t="n">
        <v>0</v>
      </c>
      <c r="P101" s="16" t="n">
        <v>0.18054</v>
      </c>
      <c r="Q101">
        <f>--($A101=IF('الداشبورد'!$B$5="الكل",$A101,'الداشبورد'!$B$5))</f>
        <v/>
      </c>
      <c r="R101">
        <f>--($E101=IF('الداشبورد'!$B$6="الكل",$E101,'الداشبورد'!$B$6))</f>
        <v/>
      </c>
      <c r="S101">
        <f>--($K101=IF('الداشبورد'!$B$7="الكل",$K101,IF('الداشبورد'!$B$7="تصدير","Y","N")))</f>
        <v/>
      </c>
      <c r="T101">
        <f>--($J101=IF('الداشبورد'!$B$8="الكل",$J101,IF('الداشبورد'!$B$8="AL","A","C")))</f>
        <v/>
      </c>
      <c r="U101">
        <f>--($I101=IF('الداشبورد'!$B$9="الكل",$I101,IF('الداشبورد'!$B$9="بدون حالة","P",'الداشبورد'!$B$9)))</f>
        <v/>
      </c>
      <c r="V101">
        <f>--($D101=IF('الداشبورد'!$B$10="الكل",$D101,'الداشبورد'!$B$10))</f>
        <v/>
      </c>
      <c r="W101">
        <f>--($G101=IF('الداشبورد'!$B$11="الكل",$G101,'الداشبورد'!$B$11))</f>
        <v/>
      </c>
      <c r="X101">
        <f>Q101*R101*S101*T101*U101*V101*W101*--($C101&lt;&gt;"")</f>
        <v/>
      </c>
    </row>
    <row r="102">
      <c r="A102" s="15" t="n">
        <v>2</v>
      </c>
      <c r="B102" s="15" t="inlineStr">
        <is>
          <t>J184330</t>
        </is>
      </c>
      <c r="C102" s="15" t="inlineStr">
        <is>
          <t>1385/26/17</t>
        </is>
      </c>
      <c r="D102" s="15" t="inlineStr">
        <is>
          <t>الشركة العربية للصناعة والتجارة الدولية</t>
        </is>
      </c>
      <c r="E102" s="15" t="inlineStr">
        <is>
          <t>LV</t>
        </is>
      </c>
      <c r="F102" s="15" t="inlineStr">
        <is>
          <t>0.6/1 KV 1X70</t>
        </is>
      </c>
      <c r="G102" s="15" t="inlineStr">
        <is>
          <t>EX03</t>
        </is>
      </c>
      <c r="H102" s="15" t="inlineStr">
        <is>
          <t>Wooden Drums</t>
        </is>
      </c>
      <c r="I102" s="15" t="inlineStr">
        <is>
          <t>OK</t>
        </is>
      </c>
      <c r="J102" s="15" t="inlineStr">
        <is>
          <t>A</t>
        </is>
      </c>
      <c r="K102" s="15" t="inlineStr">
        <is>
          <t>N</t>
        </is>
      </c>
      <c r="L102" s="15" t="n">
        <v>1020</v>
      </c>
      <c r="M102" s="16" t="n">
        <v>0.18054</v>
      </c>
      <c r="N102" s="16" t="n">
        <v>0</v>
      </c>
      <c r="O102" s="16" t="n">
        <v>0</v>
      </c>
      <c r="P102" s="16" t="n">
        <v>0.18054</v>
      </c>
      <c r="Q102">
        <f>--($A102=IF('الداشبورد'!$B$5="الكل",$A102,'الداشبورد'!$B$5))</f>
        <v/>
      </c>
      <c r="R102">
        <f>--($E102=IF('الداشبورد'!$B$6="الكل",$E102,'الداشبورد'!$B$6))</f>
        <v/>
      </c>
      <c r="S102">
        <f>--($K102=IF('الداشبورد'!$B$7="الكل",$K102,IF('الداشبورد'!$B$7="تصدير","Y","N")))</f>
        <v/>
      </c>
      <c r="T102">
        <f>--($J102=IF('الداشبورد'!$B$8="الكل",$J102,IF('الداشبورد'!$B$8="AL","A","C")))</f>
        <v/>
      </c>
      <c r="U102">
        <f>--($I102=IF('الداشبورد'!$B$9="الكل",$I102,IF('الداشبورد'!$B$9="بدون حالة","P",'الداشبورد'!$B$9)))</f>
        <v/>
      </c>
      <c r="V102">
        <f>--($D102=IF('الداشبورد'!$B$10="الكل",$D102,'الداشبورد'!$B$10))</f>
        <v/>
      </c>
      <c r="W102">
        <f>--($G102=IF('الداشبورد'!$B$11="الكل",$G102,'الداشبورد'!$B$11))</f>
        <v/>
      </c>
      <c r="X102">
        <f>Q102*R102*S102*T102*U102*V102*W102*--($C102&lt;&gt;"")</f>
        <v/>
      </c>
    </row>
    <row r="103">
      <c r="A103" s="15" t="n">
        <v>2</v>
      </c>
      <c r="B103" s="15" t="inlineStr">
        <is>
          <t>J184325</t>
        </is>
      </c>
      <c r="C103" s="15" t="inlineStr">
        <is>
          <t>1385/26/17</t>
        </is>
      </c>
      <c r="D103" s="15" t="inlineStr">
        <is>
          <t>الشركة العربية للصناعة والتجارة الدولية</t>
        </is>
      </c>
      <c r="E103" s="15" t="inlineStr">
        <is>
          <t>LV</t>
        </is>
      </c>
      <c r="F103" s="15" t="inlineStr">
        <is>
          <t>0.6/1 KV 1X70</t>
        </is>
      </c>
      <c r="G103" s="15" t="inlineStr">
        <is>
          <t>EX03</t>
        </is>
      </c>
      <c r="H103" s="15" t="inlineStr">
        <is>
          <t>Wooden Drums</t>
        </is>
      </c>
      <c r="I103" s="15" t="inlineStr">
        <is>
          <t>OK</t>
        </is>
      </c>
      <c r="J103" s="15" t="inlineStr">
        <is>
          <t>A</t>
        </is>
      </c>
      <c r="K103" s="15" t="inlineStr">
        <is>
          <t>N</t>
        </is>
      </c>
      <c r="L103" s="15" t="n">
        <v>1037</v>
      </c>
      <c r="M103" s="16" t="n">
        <v>0.183549</v>
      </c>
      <c r="N103" s="16" t="n">
        <v>0</v>
      </c>
      <c r="O103" s="16" t="n">
        <v>0</v>
      </c>
      <c r="P103" s="16" t="n">
        <v>0.183549</v>
      </c>
      <c r="Q103">
        <f>--($A103=IF('الداشبورد'!$B$5="الكل",$A103,'الداشبورد'!$B$5))</f>
        <v/>
      </c>
      <c r="R103">
        <f>--($E103=IF('الداشبورد'!$B$6="الكل",$E103,'الداشبورد'!$B$6))</f>
        <v/>
      </c>
      <c r="S103">
        <f>--($K103=IF('الداشبورد'!$B$7="الكل",$K103,IF('الداشبورد'!$B$7="تصدير","Y","N")))</f>
        <v/>
      </c>
      <c r="T103">
        <f>--($J103=IF('الداشبورد'!$B$8="الكل",$J103,IF('الداشبورد'!$B$8="AL","A","C")))</f>
        <v/>
      </c>
      <c r="U103">
        <f>--($I103=IF('الداشبورد'!$B$9="الكل",$I103,IF('الداشبورد'!$B$9="بدون حالة","P",'الداشبورد'!$B$9)))</f>
        <v/>
      </c>
      <c r="V103">
        <f>--($D103=IF('الداشبورد'!$B$10="الكل",$D103,'الداشبورد'!$B$10))</f>
        <v/>
      </c>
      <c r="W103">
        <f>--($G103=IF('الداشبورد'!$B$11="الكل",$G103,'الداشبورد'!$B$11))</f>
        <v/>
      </c>
      <c r="X103">
        <f>Q103*R103*S103*T103*U103*V103*W103*--($C103&lt;&gt;"")</f>
        <v/>
      </c>
    </row>
    <row r="104">
      <c r="A104" s="15" t="n">
        <v>2</v>
      </c>
      <c r="B104" s="15" t="inlineStr">
        <is>
          <t>J184175</t>
        </is>
      </c>
      <c r="C104" s="15" t="inlineStr">
        <is>
          <t>1385/26/17</t>
        </is>
      </c>
      <c r="D104" s="15" t="inlineStr">
        <is>
          <t>الشركة العربية للصناعة والتجارة الدولية</t>
        </is>
      </c>
      <c r="E104" s="15" t="inlineStr">
        <is>
          <t>LV</t>
        </is>
      </c>
      <c r="F104" s="15" t="inlineStr">
        <is>
          <t>0.6/1 KV 1X70</t>
        </is>
      </c>
      <c r="G104" s="15" t="inlineStr">
        <is>
          <t>EX03</t>
        </is>
      </c>
      <c r="H104" s="15" t="inlineStr">
        <is>
          <t>Wooden Drums</t>
        </is>
      </c>
      <c r="I104" s="15" t="inlineStr">
        <is>
          <t>OK</t>
        </is>
      </c>
      <c r="J104" s="15" t="inlineStr">
        <is>
          <t>A</t>
        </is>
      </c>
      <c r="K104" s="15" t="inlineStr">
        <is>
          <t>N</t>
        </is>
      </c>
      <c r="L104" s="15" t="n">
        <v>1020</v>
      </c>
      <c r="M104" s="16" t="n">
        <v>0.18054</v>
      </c>
      <c r="N104" s="16" t="n">
        <v>0</v>
      </c>
      <c r="O104" s="16" t="n">
        <v>0</v>
      </c>
      <c r="P104" s="16" t="n">
        <v>0.18054</v>
      </c>
      <c r="Q104">
        <f>--($A104=IF('الداشبورد'!$B$5="الكل",$A104,'الداشبورد'!$B$5))</f>
        <v/>
      </c>
      <c r="R104">
        <f>--($E104=IF('الداشبورد'!$B$6="الكل",$E104,'الداشبورد'!$B$6))</f>
        <v/>
      </c>
      <c r="S104">
        <f>--($K104=IF('الداشبورد'!$B$7="الكل",$K104,IF('الداشبورد'!$B$7="تصدير","Y","N")))</f>
        <v/>
      </c>
      <c r="T104">
        <f>--($J104=IF('الداشبورد'!$B$8="الكل",$J104,IF('الداشبورد'!$B$8="AL","A","C")))</f>
        <v/>
      </c>
      <c r="U104">
        <f>--($I104=IF('الداشبورد'!$B$9="الكل",$I104,IF('الداشبورد'!$B$9="بدون حالة","P",'الداشبورد'!$B$9)))</f>
        <v/>
      </c>
      <c r="V104">
        <f>--($D104=IF('الداشبورد'!$B$10="الكل",$D104,'الداشبورد'!$B$10))</f>
        <v/>
      </c>
      <c r="W104">
        <f>--($G104=IF('الداشبورد'!$B$11="الكل",$G104,'الداشبورد'!$B$11))</f>
        <v/>
      </c>
      <c r="X104">
        <f>Q104*R104*S104*T104*U104*V104*W104*--($C104&lt;&gt;"")</f>
        <v/>
      </c>
    </row>
    <row r="105">
      <c r="A105" s="15" t="n">
        <v>2</v>
      </c>
      <c r="B105" s="15" t="inlineStr">
        <is>
          <t>O184262</t>
        </is>
      </c>
      <c r="C105" s="15" t="inlineStr">
        <is>
          <t>1200/26/02</t>
        </is>
      </c>
      <c r="D105" s="15" t="inlineStr">
        <is>
          <t>INSELL</t>
        </is>
      </c>
      <c r="E105" s="15" t="inlineStr">
        <is>
          <t>MV</t>
        </is>
      </c>
      <c r="F105" s="15" t="inlineStr">
        <is>
          <t>12/20 KV 1X120/50</t>
        </is>
      </c>
      <c r="G105" s="15" t="inlineStr">
        <is>
          <t>EX06</t>
        </is>
      </c>
      <c r="H105" s="15" t="inlineStr">
        <is>
          <t>Wooden Drums</t>
        </is>
      </c>
      <c r="I105" s="15" t="inlineStr">
        <is>
          <t>OK</t>
        </is>
      </c>
      <c r="J105" s="15" t="inlineStr">
        <is>
          <t>A</t>
        </is>
      </c>
      <c r="K105" s="15" t="inlineStr">
        <is>
          <t>Y</t>
        </is>
      </c>
      <c r="L105" s="15" t="n">
        <v>2030</v>
      </c>
      <c r="M105" s="16" t="n">
        <v>0.6394500000000001</v>
      </c>
      <c r="N105" s="16" t="n">
        <v>0.91959</v>
      </c>
      <c r="O105" s="16" t="n">
        <v>0</v>
      </c>
      <c r="P105" s="16" t="n">
        <v>1.55904</v>
      </c>
      <c r="Q105">
        <f>--($A105=IF('الداشبورد'!$B$5="الكل",$A105,'الداشبورد'!$B$5))</f>
        <v/>
      </c>
      <c r="R105">
        <f>--($E105=IF('الداشبورد'!$B$6="الكل",$E105,'الداشبورد'!$B$6))</f>
        <v/>
      </c>
      <c r="S105">
        <f>--($K105=IF('الداشبورد'!$B$7="الكل",$K105,IF('الداشبورد'!$B$7="تصدير","Y","N")))</f>
        <v/>
      </c>
      <c r="T105">
        <f>--($J105=IF('الداشبورد'!$B$8="الكل",$J105,IF('الداشبورد'!$B$8="AL","A","C")))</f>
        <v/>
      </c>
      <c r="U105">
        <f>--($I105=IF('الداشبورد'!$B$9="الكل",$I105,IF('الداشبورد'!$B$9="بدون حالة","P",'الداشبورد'!$B$9)))</f>
        <v/>
      </c>
      <c r="V105">
        <f>--($D105=IF('الداشبورد'!$B$10="الكل",$D105,'الداشبورد'!$B$10))</f>
        <v/>
      </c>
      <c r="W105">
        <f>--($G105=IF('الداشبورد'!$B$11="الكل",$G105,'الداشبورد'!$B$11))</f>
        <v/>
      </c>
      <c r="X105">
        <f>Q105*R105*S105*T105*U105*V105*W105*--($C105&lt;&gt;"")</f>
        <v/>
      </c>
    </row>
    <row r="106">
      <c r="A106" s="15" t="n">
        <v>2</v>
      </c>
      <c r="B106" s="15" t="inlineStr">
        <is>
          <t>O184261</t>
        </is>
      </c>
      <c r="C106" s="15" t="inlineStr">
        <is>
          <t>1200/26/02</t>
        </is>
      </c>
      <c r="D106" s="15" t="inlineStr">
        <is>
          <t>INSELL</t>
        </is>
      </c>
      <c r="E106" s="15" t="inlineStr">
        <is>
          <t>MV</t>
        </is>
      </c>
      <c r="F106" s="15" t="inlineStr">
        <is>
          <t>12/20 KV 1X120/50</t>
        </is>
      </c>
      <c r="G106" s="15" t="inlineStr">
        <is>
          <t>EX06</t>
        </is>
      </c>
      <c r="H106" s="15" t="inlineStr">
        <is>
          <t>Wooden Drums</t>
        </is>
      </c>
      <c r="I106" s="15" t="inlineStr">
        <is>
          <t>OK</t>
        </is>
      </c>
      <c r="J106" s="15" t="inlineStr">
        <is>
          <t>A</t>
        </is>
      </c>
      <c r="K106" s="15" t="inlineStr">
        <is>
          <t>Y</t>
        </is>
      </c>
      <c r="L106" s="15" t="n">
        <v>2033</v>
      </c>
      <c r="M106" s="16" t="n">
        <v>0.6403949999999999</v>
      </c>
      <c r="N106" s="16" t="n">
        <v>0.920949</v>
      </c>
      <c r="O106" s="16" t="n">
        <v>0</v>
      </c>
      <c r="P106" s="16" t="n">
        <v>1.561344</v>
      </c>
      <c r="Q106">
        <f>--($A106=IF('الداشبورد'!$B$5="الكل",$A106,'الداشبورد'!$B$5))</f>
        <v/>
      </c>
      <c r="R106">
        <f>--($E106=IF('الداشبورد'!$B$6="الكل",$E106,'الداشبورد'!$B$6))</f>
        <v/>
      </c>
      <c r="S106">
        <f>--($K106=IF('الداشبورد'!$B$7="الكل",$K106,IF('الداشبورد'!$B$7="تصدير","Y","N")))</f>
        <v/>
      </c>
      <c r="T106">
        <f>--($J106=IF('الداشبورد'!$B$8="الكل",$J106,IF('الداشبورد'!$B$8="AL","A","C")))</f>
        <v/>
      </c>
      <c r="U106">
        <f>--($I106=IF('الداشبورد'!$B$9="الكل",$I106,IF('الداشبورد'!$B$9="بدون حالة","P",'الداشبورد'!$B$9)))</f>
        <v/>
      </c>
      <c r="V106">
        <f>--($D106=IF('الداشبورد'!$B$10="الكل",$D106,'الداشبورد'!$B$10))</f>
        <v/>
      </c>
      <c r="W106">
        <f>--($G106=IF('الداشبورد'!$B$11="الكل",$G106,'الداشبورد'!$B$11))</f>
        <v/>
      </c>
      <c r="X106">
        <f>Q106*R106*S106*T106*U106*V106*W106*--($C106&lt;&gt;"")</f>
        <v/>
      </c>
    </row>
    <row r="107">
      <c r="A107" s="15" t="n">
        <v>2</v>
      </c>
      <c r="B107" s="15" t="inlineStr">
        <is>
          <t>O183943</t>
        </is>
      </c>
      <c r="C107" s="15" t="inlineStr">
        <is>
          <t>1200/26/02</t>
        </is>
      </c>
      <c r="D107" s="15" t="inlineStr">
        <is>
          <t>INSELL</t>
        </is>
      </c>
      <c r="E107" s="15" t="inlineStr">
        <is>
          <t>MV</t>
        </is>
      </c>
      <c r="F107" s="15" t="inlineStr">
        <is>
          <t>12/20 KV 1X120/50</t>
        </is>
      </c>
      <c r="G107" s="15" t="inlineStr">
        <is>
          <t>EX06</t>
        </is>
      </c>
      <c r="H107" s="15" t="inlineStr">
        <is>
          <t>Wooden Drums</t>
        </is>
      </c>
      <c r="I107" s="15" t="inlineStr">
        <is>
          <t>OK</t>
        </is>
      </c>
      <c r="J107" s="15" t="inlineStr">
        <is>
          <t>A</t>
        </is>
      </c>
      <c r="K107" s="15" t="inlineStr">
        <is>
          <t>Y</t>
        </is>
      </c>
      <c r="L107" s="15" t="n">
        <v>2085</v>
      </c>
      <c r="M107" s="16" t="n">
        <v>0.656775</v>
      </c>
      <c r="N107" s="16" t="n">
        <v>0.944505</v>
      </c>
      <c r="O107" s="16" t="n">
        <v>0</v>
      </c>
      <c r="P107" s="16" t="n">
        <v>1.60128</v>
      </c>
      <c r="Q107">
        <f>--($A107=IF('الداشبورد'!$B$5="الكل",$A107,'الداشبورد'!$B$5))</f>
        <v/>
      </c>
      <c r="R107">
        <f>--($E107=IF('الداشبورد'!$B$6="الكل",$E107,'الداشبورد'!$B$6))</f>
        <v/>
      </c>
      <c r="S107">
        <f>--($K107=IF('الداشبورد'!$B$7="الكل",$K107,IF('الداشبورد'!$B$7="تصدير","Y","N")))</f>
        <v/>
      </c>
      <c r="T107">
        <f>--($J107=IF('الداشبورد'!$B$8="الكل",$J107,IF('الداشبورد'!$B$8="AL","A","C")))</f>
        <v/>
      </c>
      <c r="U107">
        <f>--($I107=IF('الداشبورد'!$B$9="الكل",$I107,IF('الداشبورد'!$B$9="بدون حالة","P",'الداشبورد'!$B$9)))</f>
        <v/>
      </c>
      <c r="V107">
        <f>--($D107=IF('الداشبورد'!$B$10="الكل",$D107,'الداشبورد'!$B$10))</f>
        <v/>
      </c>
      <c r="W107">
        <f>--($G107=IF('الداشبورد'!$B$11="الكل",$G107,'الداشبورد'!$B$11))</f>
        <v/>
      </c>
      <c r="X107">
        <f>Q107*R107*S107*T107*U107*V107*W107*--($C107&lt;&gt;"")</f>
        <v/>
      </c>
    </row>
    <row r="108">
      <c r="A108" s="15" t="n">
        <v>2</v>
      </c>
      <c r="B108" s="15" t="inlineStr">
        <is>
          <t>P184314</t>
        </is>
      </c>
      <c r="C108" s="15" t="inlineStr">
        <is>
          <t>1385/26/11</t>
        </is>
      </c>
      <c r="D108" s="15" t="inlineStr">
        <is>
          <t>الشركة العربية للصناعة والتجارة الدولية</t>
        </is>
      </c>
      <c r="E108" s="15" t="inlineStr">
        <is>
          <t>LV</t>
        </is>
      </c>
      <c r="F108" s="15" t="inlineStr">
        <is>
          <t>0.6/1 KV 4*25</t>
        </is>
      </c>
      <c r="G108" s="15" t="inlineStr">
        <is>
          <t>EX04</t>
        </is>
      </c>
      <c r="H108" s="15" t="inlineStr">
        <is>
          <t>Wooden Drums</t>
        </is>
      </c>
      <c r="I108" s="15" t="inlineStr">
        <is>
          <t>OK</t>
        </is>
      </c>
      <c r="J108" s="15" t="inlineStr">
        <is>
          <t>A</t>
        </is>
      </c>
      <c r="K108" s="15" t="inlineStr">
        <is>
          <t>N</t>
        </is>
      </c>
      <c r="L108" s="15" t="n">
        <v>2000</v>
      </c>
      <c r="M108" s="16" t="n">
        <v>0.516</v>
      </c>
      <c r="N108" s="16" t="n">
        <v>0</v>
      </c>
      <c r="O108" s="16" t="n">
        <v>0</v>
      </c>
      <c r="P108" s="16" t="n">
        <v>0.516</v>
      </c>
      <c r="Q108">
        <f>--($A108=IF('الداشبورد'!$B$5="الكل",$A108,'الداشبورد'!$B$5))</f>
        <v/>
      </c>
      <c r="R108">
        <f>--($E108=IF('الداشبورد'!$B$6="الكل",$E108,'الداشبورد'!$B$6))</f>
        <v/>
      </c>
      <c r="S108">
        <f>--($K108=IF('الداشبورد'!$B$7="الكل",$K108,IF('الداشبورد'!$B$7="تصدير","Y","N")))</f>
        <v/>
      </c>
      <c r="T108">
        <f>--($J108=IF('الداشبورد'!$B$8="الكل",$J108,IF('الداشبورد'!$B$8="AL","A","C")))</f>
        <v/>
      </c>
      <c r="U108">
        <f>--($I108=IF('الداشبورد'!$B$9="الكل",$I108,IF('الداشبورد'!$B$9="بدون حالة","P",'الداشبورد'!$B$9)))</f>
        <v/>
      </c>
      <c r="V108">
        <f>--($D108=IF('الداشبورد'!$B$10="الكل",$D108,'الداشبورد'!$B$10))</f>
        <v/>
      </c>
      <c r="W108">
        <f>--($G108=IF('الداشبورد'!$B$11="الكل",$G108,'الداشبورد'!$B$11))</f>
        <v/>
      </c>
      <c r="X108">
        <f>Q108*R108*S108*T108*U108*V108*W108*--($C108&lt;&gt;"")</f>
        <v/>
      </c>
    </row>
    <row r="109">
      <c r="A109" s="15" t="n">
        <v>2</v>
      </c>
      <c r="B109" s="15" t="inlineStr">
        <is>
          <t>P184313</t>
        </is>
      </c>
      <c r="C109" s="15" t="inlineStr">
        <is>
          <t>1385/26/11</t>
        </is>
      </c>
      <c r="D109" s="15" t="inlineStr">
        <is>
          <t>الشركة العربية للصناعة والتجارة الدولية</t>
        </is>
      </c>
      <c r="E109" s="15" t="inlineStr">
        <is>
          <t>LV</t>
        </is>
      </c>
      <c r="F109" s="15" t="inlineStr">
        <is>
          <t>0.6/1 KV 4*25</t>
        </is>
      </c>
      <c r="G109" s="15" t="inlineStr">
        <is>
          <t>EX04</t>
        </is>
      </c>
      <c r="H109" s="15" t="inlineStr">
        <is>
          <t>Wooden Drums</t>
        </is>
      </c>
      <c r="I109" s="15" t="inlineStr">
        <is>
          <t>OK</t>
        </is>
      </c>
      <c r="J109" s="15" t="inlineStr">
        <is>
          <t>A</t>
        </is>
      </c>
      <c r="K109" s="15" t="inlineStr">
        <is>
          <t>N</t>
        </is>
      </c>
      <c r="L109" s="15" t="n">
        <v>2019</v>
      </c>
      <c r="M109" s="16" t="n">
        <v>0.5209020000000001</v>
      </c>
      <c r="N109" s="16" t="n">
        <v>0</v>
      </c>
      <c r="O109" s="16" t="n">
        <v>0</v>
      </c>
      <c r="P109" s="16" t="n">
        <v>0.5209020000000001</v>
      </c>
      <c r="Q109">
        <f>--($A109=IF('الداشبورد'!$B$5="الكل",$A109,'الداشبورد'!$B$5))</f>
        <v/>
      </c>
      <c r="R109">
        <f>--($E109=IF('الداشبورد'!$B$6="الكل",$E109,'الداشبورد'!$B$6))</f>
        <v/>
      </c>
      <c r="S109">
        <f>--($K109=IF('الداشبورد'!$B$7="الكل",$K109,IF('الداشبورد'!$B$7="تصدير","Y","N")))</f>
        <v/>
      </c>
      <c r="T109">
        <f>--($J109=IF('الداشبورد'!$B$8="الكل",$J109,IF('الداشبورد'!$B$8="AL","A","C")))</f>
        <v/>
      </c>
      <c r="U109">
        <f>--($I109=IF('الداشبورد'!$B$9="الكل",$I109,IF('الداشبورد'!$B$9="بدون حالة","P",'الداشبورد'!$B$9)))</f>
        <v/>
      </c>
      <c r="V109">
        <f>--($D109=IF('الداشبورد'!$B$10="الكل",$D109,'الداشبورد'!$B$10))</f>
        <v/>
      </c>
      <c r="W109">
        <f>--($G109=IF('الداشبورد'!$B$11="الكل",$G109,'الداشبورد'!$B$11))</f>
        <v/>
      </c>
      <c r="X109">
        <f>Q109*R109*S109*T109*U109*V109*W109*--($C109&lt;&gt;"")</f>
        <v/>
      </c>
    </row>
    <row r="110">
      <c r="A110" s="15" t="n">
        <v>2</v>
      </c>
      <c r="B110" s="15" t="inlineStr">
        <is>
          <t>G184197</t>
        </is>
      </c>
      <c r="C110" s="15" t="inlineStr">
        <is>
          <t>1478/26/30</t>
        </is>
      </c>
      <c r="D110" s="15" t="inlineStr">
        <is>
          <t>Energya Power &amp; Telecom Solutions</t>
        </is>
      </c>
      <c r="E110" s="15" t="inlineStr">
        <is>
          <t>LV</t>
        </is>
      </c>
      <c r="F110" s="15" t="inlineStr">
        <is>
          <t>0.6/1 KV 1X120</t>
        </is>
      </c>
      <c r="G110" s="15" t="inlineStr">
        <is>
          <t>EX03</t>
        </is>
      </c>
      <c r="H110" s="15" t="inlineStr">
        <is>
          <t>Wooden Drums</t>
        </is>
      </c>
      <c r="I110" s="15" t="inlineStr">
        <is>
          <t>OK</t>
        </is>
      </c>
      <c r="J110" s="15" t="inlineStr">
        <is>
          <t>C</t>
        </is>
      </c>
      <c r="K110" s="15" t="inlineStr">
        <is>
          <t>N</t>
        </is>
      </c>
      <c r="L110" s="15" t="n">
        <v>412</v>
      </c>
      <c r="M110" s="16" t="n">
        <v>0.40994</v>
      </c>
      <c r="N110" s="16" t="n">
        <v>0</v>
      </c>
      <c r="O110" s="16" t="n">
        <v>0</v>
      </c>
      <c r="P110" s="16" t="n">
        <v>0.40994</v>
      </c>
      <c r="Q110">
        <f>--($A110=IF('الداشبورد'!$B$5="الكل",$A110,'الداشبورد'!$B$5))</f>
        <v/>
      </c>
      <c r="R110">
        <f>--($E110=IF('الداشبورد'!$B$6="الكل",$E110,'الداشبورد'!$B$6))</f>
        <v/>
      </c>
      <c r="S110">
        <f>--($K110=IF('الداشبورد'!$B$7="الكل",$K110,IF('الداشبورد'!$B$7="تصدير","Y","N")))</f>
        <v/>
      </c>
      <c r="T110">
        <f>--($J110=IF('الداشبورد'!$B$8="الكل",$J110,IF('الداشبورد'!$B$8="AL","A","C")))</f>
        <v/>
      </c>
      <c r="U110">
        <f>--($I110=IF('الداشبورد'!$B$9="الكل",$I110,IF('الداشبورد'!$B$9="بدون حالة","P",'الداشبورد'!$B$9)))</f>
        <v/>
      </c>
      <c r="V110">
        <f>--($D110=IF('الداشبورد'!$B$10="الكل",$D110,'الداشبورد'!$B$10))</f>
        <v/>
      </c>
      <c r="W110">
        <f>--($G110=IF('الداشبورد'!$B$11="الكل",$G110,'الداشبورد'!$B$11))</f>
        <v/>
      </c>
      <c r="X110">
        <f>Q110*R110*S110*T110*U110*V110*W110*--($C110&lt;&gt;"")</f>
        <v/>
      </c>
    </row>
    <row r="111">
      <c r="A111" s="15" t="n">
        <v>2</v>
      </c>
      <c r="B111" s="15" t="inlineStr">
        <is>
          <t>P184183</t>
        </is>
      </c>
      <c r="C111" s="15" t="inlineStr">
        <is>
          <t>1640/26/01</t>
        </is>
      </c>
      <c r="D111" s="15" t="inlineStr">
        <is>
          <t>شركة جنوب الدلتا لتوزيع الكهرباء</t>
        </is>
      </c>
      <c r="E111" s="15" t="inlineStr">
        <is>
          <t>MV</t>
        </is>
      </c>
      <c r="F111" s="15" t="inlineStr">
        <is>
          <t>12/20 KV 1X70</t>
        </is>
      </c>
      <c r="G111" s="15" t="inlineStr">
        <is>
          <t>EX04</t>
        </is>
      </c>
      <c r="H111" s="15" t="inlineStr">
        <is>
          <t>Wooden Drums</t>
        </is>
      </c>
      <c r="I111" s="15" t="inlineStr">
        <is>
          <t>OK</t>
        </is>
      </c>
      <c r="J111" s="15" t="inlineStr">
        <is>
          <t>A</t>
        </is>
      </c>
      <c r="K111" s="15" t="inlineStr">
        <is>
          <t>N</t>
        </is>
      </c>
      <c r="L111" s="15" t="n">
        <v>990</v>
      </c>
      <c r="M111" s="16" t="n">
        <v>0.18315</v>
      </c>
      <c r="N111" s="16" t="n">
        <v>0.09504</v>
      </c>
      <c r="O111" s="16" t="n">
        <v>0</v>
      </c>
      <c r="P111" s="16" t="n">
        <v>0.27819</v>
      </c>
      <c r="Q111">
        <f>--($A111=IF('الداشبورد'!$B$5="الكل",$A111,'الداشبورد'!$B$5))</f>
        <v/>
      </c>
      <c r="R111">
        <f>--($E111=IF('الداشبورد'!$B$6="الكل",$E111,'الداشبورد'!$B$6))</f>
        <v/>
      </c>
      <c r="S111">
        <f>--($K111=IF('الداشبورد'!$B$7="الكل",$K111,IF('الداشبورد'!$B$7="تصدير","Y","N")))</f>
        <v/>
      </c>
      <c r="T111">
        <f>--($J111=IF('الداشبورد'!$B$8="الكل",$J111,IF('الداشبورد'!$B$8="AL","A","C")))</f>
        <v/>
      </c>
      <c r="U111">
        <f>--($I111=IF('الداشبورد'!$B$9="الكل",$I111,IF('الداشبورد'!$B$9="بدون حالة","P",'الداشبورد'!$B$9)))</f>
        <v/>
      </c>
      <c r="V111">
        <f>--($D111=IF('الداشبورد'!$B$10="الكل",$D111,'الداشبورد'!$B$10))</f>
        <v/>
      </c>
      <c r="W111">
        <f>--($G111=IF('الداشبورد'!$B$11="الكل",$G111,'الداشبورد'!$B$11))</f>
        <v/>
      </c>
      <c r="X111">
        <f>Q111*R111*S111*T111*U111*V111*W111*--($C111&lt;&gt;"")</f>
        <v/>
      </c>
    </row>
    <row r="112">
      <c r="A112" s="15" t="n">
        <v>2</v>
      </c>
      <c r="B112" s="15" t="inlineStr">
        <is>
          <t>P184257</t>
        </is>
      </c>
      <c r="C112" s="15" t="inlineStr">
        <is>
          <t>1639/26/01</t>
        </is>
      </c>
      <c r="D112" s="15" t="inlineStr">
        <is>
          <t>شركة جنوب الدلتا لتوزيع الكهرباء</t>
        </is>
      </c>
      <c r="E112" s="15" t="inlineStr">
        <is>
          <t>MV</t>
        </is>
      </c>
      <c r="F112" s="15" t="inlineStr">
        <is>
          <t>12/20 KV 1X70</t>
        </is>
      </c>
      <c r="G112" s="15" t="inlineStr">
        <is>
          <t>EX04</t>
        </is>
      </c>
      <c r="H112" s="15" t="inlineStr">
        <is>
          <t>Wooden Drums</t>
        </is>
      </c>
      <c r="I112" s="15" t="inlineStr">
        <is>
          <t>OK</t>
        </is>
      </c>
      <c r="J112" s="15" t="inlineStr">
        <is>
          <t>A</t>
        </is>
      </c>
      <c r="K112" s="15" t="inlineStr">
        <is>
          <t>N</t>
        </is>
      </c>
      <c r="L112" s="15" t="n">
        <v>970</v>
      </c>
      <c r="M112" s="16" t="n">
        <v>0.17945</v>
      </c>
      <c r="N112" s="16" t="n">
        <v>0.09312000000000001</v>
      </c>
      <c r="O112" s="16" t="n">
        <v>0</v>
      </c>
      <c r="P112" s="16" t="n">
        <v>0.27257</v>
      </c>
      <c r="Q112">
        <f>--($A112=IF('الداشبورد'!$B$5="الكل",$A112,'الداشبورد'!$B$5))</f>
        <v/>
      </c>
      <c r="R112">
        <f>--($E112=IF('الداشبورد'!$B$6="الكل",$E112,'الداشبورد'!$B$6))</f>
        <v/>
      </c>
      <c r="S112">
        <f>--($K112=IF('الداشبورد'!$B$7="الكل",$K112,IF('الداشبورد'!$B$7="تصدير","Y","N")))</f>
        <v/>
      </c>
      <c r="T112">
        <f>--($J112=IF('الداشبورد'!$B$8="الكل",$J112,IF('الداشبورد'!$B$8="AL","A","C")))</f>
        <v/>
      </c>
      <c r="U112">
        <f>--($I112=IF('الداشبورد'!$B$9="الكل",$I112,IF('الداشبورد'!$B$9="بدون حالة","P",'الداشبورد'!$B$9)))</f>
        <v/>
      </c>
      <c r="V112">
        <f>--($D112=IF('الداشبورد'!$B$10="الكل",$D112,'الداشبورد'!$B$10))</f>
        <v/>
      </c>
      <c r="W112">
        <f>--($G112=IF('الداشبورد'!$B$11="الكل",$G112,'الداشبورد'!$B$11))</f>
        <v/>
      </c>
      <c r="X112">
        <f>Q112*R112*S112*T112*U112*V112*W112*--($C112&lt;&gt;"")</f>
        <v/>
      </c>
    </row>
    <row r="113">
      <c r="A113" s="15" t="n">
        <v>1</v>
      </c>
      <c r="B113" s="15" t="inlineStr">
        <is>
          <t>S184253</t>
        </is>
      </c>
      <c r="C113" s="15" t="inlineStr">
        <is>
          <t>1279/26/01</t>
        </is>
      </c>
      <c r="D113" s="15" t="inlineStr">
        <is>
          <t>Eland Cables</t>
        </is>
      </c>
      <c r="E113" s="15" t="inlineStr">
        <is>
          <t>MV</t>
        </is>
      </c>
      <c r="F113" s="15" t="inlineStr">
        <is>
          <t>19/33 KV 3X1X185</t>
        </is>
      </c>
      <c r="G113" s="15" t="inlineStr">
        <is>
          <t>LX01</t>
        </is>
      </c>
      <c r="H113" s="15" t="inlineStr">
        <is>
          <t>Wooden Drums</t>
        </is>
      </c>
      <c r="I113" s="15" t="inlineStr">
        <is>
          <t>OK</t>
        </is>
      </c>
      <c r="J113" s="15" t="inlineStr">
        <is>
          <t>A</t>
        </is>
      </c>
      <c r="K113" s="15" t="inlineStr">
        <is>
          <t>Y</t>
        </is>
      </c>
      <c r="L113" s="15" t="n">
        <v>507</v>
      </c>
      <c r="M113" s="16" t="n">
        <v>0.7275450000000001</v>
      </c>
      <c r="N113" s="16" t="n">
        <v>0.485706</v>
      </c>
      <c r="O113" s="16" t="n">
        <v>0</v>
      </c>
      <c r="P113" s="16" t="n">
        <v>1.213251</v>
      </c>
      <c r="Q113">
        <f>--($A113=IF('الداشبورد'!$B$5="الكل",$A113,'الداشبورد'!$B$5))</f>
        <v/>
      </c>
      <c r="R113">
        <f>--($E113=IF('الداشبورد'!$B$6="الكل",$E113,'الداشبورد'!$B$6))</f>
        <v/>
      </c>
      <c r="S113">
        <f>--($K113=IF('الداشبورد'!$B$7="الكل",$K113,IF('الداشبورد'!$B$7="تصدير","Y","N")))</f>
        <v/>
      </c>
      <c r="T113">
        <f>--($J113=IF('الداشبورد'!$B$8="الكل",$J113,IF('الداشبورد'!$B$8="AL","A","C")))</f>
        <v/>
      </c>
      <c r="U113">
        <f>--($I113=IF('الداشبورد'!$B$9="الكل",$I113,IF('الداشبورد'!$B$9="بدون حالة","P",'الداشبورد'!$B$9)))</f>
        <v/>
      </c>
      <c r="V113">
        <f>--($D113=IF('الداشبورد'!$B$10="الكل",$D113,'الداشبورد'!$B$10))</f>
        <v/>
      </c>
      <c r="W113">
        <f>--($G113=IF('الداشبورد'!$B$11="الكل",$G113,'الداشبورد'!$B$11))</f>
        <v/>
      </c>
      <c r="X113">
        <f>Q113*R113*S113*T113*U113*V113*W113*--($C113&lt;&gt;"")</f>
        <v/>
      </c>
    </row>
    <row r="114">
      <c r="A114" s="15" t="n">
        <v>2</v>
      </c>
      <c r="B114" s="15" t="inlineStr">
        <is>
          <t>J183890</t>
        </is>
      </c>
      <c r="C114" s="15" t="inlineStr">
        <is>
          <t>1447/26/05</t>
        </is>
      </c>
      <c r="D114" s="15" t="inlineStr">
        <is>
          <t>Faber Kabel</t>
        </is>
      </c>
      <c r="E114" s="15" t="inlineStr">
        <is>
          <t>CC</t>
        </is>
      </c>
      <c r="F114" s="15" t="inlineStr">
        <is>
          <t>0.6/1KV 3*6/6</t>
        </is>
      </c>
      <c r="G114" s="15" t="inlineStr">
        <is>
          <t>EX14</t>
        </is>
      </c>
      <c r="H114" s="15" t="inlineStr">
        <is>
          <t>Wooden Drums</t>
        </is>
      </c>
      <c r="I114" s="15" t="inlineStr">
        <is>
          <t>OK</t>
        </is>
      </c>
      <c r="J114" s="15" t="inlineStr">
        <is>
          <t>C</t>
        </is>
      </c>
      <c r="K114" s="15" t="inlineStr">
        <is>
          <t>Y</t>
        </is>
      </c>
      <c r="L114" s="15" t="n">
        <v>3100</v>
      </c>
      <c r="M114" s="16" t="n">
        <v>0.4898</v>
      </c>
      <c r="N114" s="16" t="n">
        <v>0.186</v>
      </c>
      <c r="O114" s="16" t="n">
        <v>0</v>
      </c>
      <c r="P114" s="16" t="n">
        <v>0.6758</v>
      </c>
      <c r="Q114">
        <f>--($A114=IF('الداشبورد'!$B$5="الكل",$A114,'الداشبورد'!$B$5))</f>
        <v/>
      </c>
      <c r="R114">
        <f>--($E114=IF('الداشبورد'!$B$6="الكل",$E114,'الداشبورد'!$B$6))</f>
        <v/>
      </c>
      <c r="S114">
        <f>--($K114=IF('الداشبورد'!$B$7="الكل",$K114,IF('الداشبورد'!$B$7="تصدير","Y","N")))</f>
        <v/>
      </c>
      <c r="T114">
        <f>--($J114=IF('الداشبورد'!$B$8="الكل",$J114,IF('الداشبورد'!$B$8="AL","A","C")))</f>
        <v/>
      </c>
      <c r="U114">
        <f>--($I114=IF('الداشبورد'!$B$9="الكل",$I114,IF('الداشبورد'!$B$9="بدون حالة","P",'الداشبورد'!$B$9)))</f>
        <v/>
      </c>
      <c r="V114">
        <f>--($D114=IF('الداشبورد'!$B$10="الكل",$D114,'الداشبورد'!$B$10))</f>
        <v/>
      </c>
      <c r="W114">
        <f>--($G114=IF('الداشبورد'!$B$11="الكل",$G114,'الداشبورد'!$B$11))</f>
        <v/>
      </c>
      <c r="X114">
        <f>Q114*R114*S114*T114*U114*V114*W114*--($C114&lt;&gt;"")</f>
        <v/>
      </c>
    </row>
    <row r="115">
      <c r="A115" s="15" t="n">
        <v>2</v>
      </c>
      <c r="B115" s="15" t="inlineStr">
        <is>
          <t>S184311</t>
        </is>
      </c>
      <c r="C115" s="15" t="inlineStr">
        <is>
          <t>1279/26/01</t>
        </is>
      </c>
      <c r="D115" s="15" t="inlineStr">
        <is>
          <t>Eland Cables</t>
        </is>
      </c>
      <c r="E115" s="15" t="inlineStr">
        <is>
          <t>MV</t>
        </is>
      </c>
      <c r="F115" s="15" t="inlineStr">
        <is>
          <t>19/33 KV 3X1X185</t>
        </is>
      </c>
      <c r="G115" s="15" t="inlineStr">
        <is>
          <t>RW01</t>
        </is>
      </c>
      <c r="H115" s="15" t="inlineStr">
        <is>
          <t>Wooden Drums</t>
        </is>
      </c>
      <c r="I115" s="15" t="inlineStr">
        <is>
          <t>OK</t>
        </is>
      </c>
      <c r="J115" s="15" t="inlineStr">
        <is>
          <t>A</t>
        </is>
      </c>
      <c r="K115" s="15" t="inlineStr">
        <is>
          <t>Y</t>
        </is>
      </c>
      <c r="L115" s="15" t="n">
        <v>510</v>
      </c>
      <c r="M115" s="16" t="n">
        <v>0.73185</v>
      </c>
      <c r="N115" s="16" t="n">
        <v>0.48858</v>
      </c>
      <c r="O115" s="16" t="n">
        <v>0</v>
      </c>
      <c r="P115" s="16" t="n">
        <v>1.22043</v>
      </c>
      <c r="Q115">
        <f>--($A115=IF('الداشبورد'!$B$5="الكل",$A115,'الداشبورد'!$B$5))</f>
        <v/>
      </c>
      <c r="R115">
        <f>--($E115=IF('الداشبورد'!$B$6="الكل",$E115,'الداشبورد'!$B$6))</f>
        <v/>
      </c>
      <c r="S115">
        <f>--($K115=IF('الداشبورد'!$B$7="الكل",$K115,IF('الداشبورد'!$B$7="تصدير","Y","N")))</f>
        <v/>
      </c>
      <c r="T115">
        <f>--($J115=IF('الداشبورد'!$B$8="الكل",$J115,IF('الداشبورد'!$B$8="AL","A","C")))</f>
        <v/>
      </c>
      <c r="U115">
        <f>--($I115=IF('الداشبورد'!$B$9="الكل",$I115,IF('الداشبورد'!$B$9="بدون حالة","P",'الداشبورد'!$B$9)))</f>
        <v/>
      </c>
      <c r="V115">
        <f>--($D115=IF('الداشبورد'!$B$10="الكل",$D115,'الداشبورد'!$B$10))</f>
        <v/>
      </c>
      <c r="W115">
        <f>--($G115=IF('الداشبورد'!$B$11="الكل",$G115,'الداشبورد'!$B$11))</f>
        <v/>
      </c>
      <c r="X115">
        <f>Q115*R115*S115*T115*U115*V115*W115*--($C115&lt;&gt;"")</f>
        <v/>
      </c>
    </row>
    <row r="116">
      <c r="A116" s="15" t="n">
        <v>2</v>
      </c>
      <c r="B116" s="15" t="inlineStr">
        <is>
          <t>S184318</t>
        </is>
      </c>
      <c r="C116" s="15" t="inlineStr">
        <is>
          <t>1279/26/01</t>
        </is>
      </c>
      <c r="D116" s="15" t="inlineStr">
        <is>
          <t>Eland Cables</t>
        </is>
      </c>
      <c r="E116" s="15" t="inlineStr">
        <is>
          <t>MV</t>
        </is>
      </c>
      <c r="F116" s="15" t="inlineStr">
        <is>
          <t>19/33 KV 3X1X185</t>
        </is>
      </c>
      <c r="G116" s="15" t="inlineStr">
        <is>
          <t>RW01</t>
        </is>
      </c>
      <c r="H116" s="15" t="inlineStr">
        <is>
          <t>Wooden Drums</t>
        </is>
      </c>
      <c r="I116" s="15" t="inlineStr">
        <is>
          <t>OK</t>
        </is>
      </c>
      <c r="J116" s="15" t="inlineStr">
        <is>
          <t>A</t>
        </is>
      </c>
      <c r="K116" s="15" t="inlineStr">
        <is>
          <t>Y</t>
        </is>
      </c>
      <c r="L116" s="15" t="n">
        <v>510</v>
      </c>
      <c r="M116" s="16" t="n">
        <v>0.73185</v>
      </c>
      <c r="N116" s="16" t="n">
        <v>0.48858</v>
      </c>
      <c r="O116" s="16" t="n">
        <v>0</v>
      </c>
      <c r="P116" s="16" t="n">
        <v>1.22043</v>
      </c>
      <c r="Q116">
        <f>--($A116=IF('الداشبورد'!$B$5="الكل",$A116,'الداشبورد'!$B$5))</f>
        <v/>
      </c>
      <c r="R116">
        <f>--($E116=IF('الداشبورد'!$B$6="الكل",$E116,'الداشبورد'!$B$6))</f>
        <v/>
      </c>
      <c r="S116">
        <f>--($K116=IF('الداشبورد'!$B$7="الكل",$K116,IF('الداشبورد'!$B$7="تصدير","Y","N")))</f>
        <v/>
      </c>
      <c r="T116">
        <f>--($J116=IF('الداشبورد'!$B$8="الكل",$J116,IF('الداشبورد'!$B$8="AL","A","C")))</f>
        <v/>
      </c>
      <c r="U116">
        <f>--($I116=IF('الداشبورد'!$B$9="الكل",$I116,IF('الداشبورد'!$B$9="بدون حالة","P",'الداشبورد'!$B$9)))</f>
        <v/>
      </c>
      <c r="V116">
        <f>--($D116=IF('الداشبورد'!$B$10="الكل",$D116,'الداشبورد'!$B$10))</f>
        <v/>
      </c>
      <c r="W116">
        <f>--($G116=IF('الداشبورد'!$B$11="الكل",$G116,'الداشبورد'!$B$11))</f>
        <v/>
      </c>
      <c r="X116">
        <f>Q116*R116*S116*T116*U116*V116*W116*--($C116&lt;&gt;"")</f>
        <v/>
      </c>
    </row>
    <row r="117">
      <c r="A117" s="15" t="n">
        <v>2</v>
      </c>
      <c r="B117" s="15" t="inlineStr">
        <is>
          <t>R182873</t>
        </is>
      </c>
      <c r="C117" s="15" t="inlineStr">
        <is>
          <t>1205/26/01</t>
        </is>
      </c>
      <c r="D117" s="15" t="inlineStr">
        <is>
          <t>CASSIS Equipements</t>
        </is>
      </c>
      <c r="E117" s="15" t="inlineStr">
        <is>
          <t>MV</t>
        </is>
      </c>
      <c r="F117" s="15" t="inlineStr">
        <is>
          <t>18/30KV 3*1*240</t>
        </is>
      </c>
      <c r="G117" s="15" t="inlineStr">
        <is>
          <t>RW01</t>
        </is>
      </c>
      <c r="H117" s="15" t="inlineStr">
        <is>
          <t>Wooden Drums</t>
        </is>
      </c>
      <c r="I117" s="15" t="inlineStr">
        <is>
          <t>OK</t>
        </is>
      </c>
      <c r="J117" s="15" t="inlineStr">
        <is>
          <t>A</t>
        </is>
      </c>
      <c r="K117" s="15" t="inlineStr">
        <is>
          <t>Y</t>
        </is>
      </c>
      <c r="L117" s="15" t="n">
        <v>409</v>
      </c>
      <c r="M117" s="16" t="n">
        <v>0.765239</v>
      </c>
      <c r="N117" s="16" t="n">
        <v>0</v>
      </c>
      <c r="O117" s="16" t="n">
        <v>0</v>
      </c>
      <c r="P117" s="16" t="n">
        <v>0.765239</v>
      </c>
      <c r="Q117">
        <f>--($A117=IF('الداشبورد'!$B$5="الكل",$A117,'الداشبورد'!$B$5))</f>
        <v/>
      </c>
      <c r="R117">
        <f>--($E117=IF('الداشبورد'!$B$6="الكل",$E117,'الداشبورد'!$B$6))</f>
        <v/>
      </c>
      <c r="S117">
        <f>--($K117=IF('الداشبورد'!$B$7="الكل",$K117,IF('الداشبورد'!$B$7="تصدير","Y","N")))</f>
        <v/>
      </c>
      <c r="T117">
        <f>--($J117=IF('الداشبورد'!$B$8="الكل",$J117,IF('الداشبورد'!$B$8="AL","A","C")))</f>
        <v/>
      </c>
      <c r="U117">
        <f>--($I117=IF('الداشبورد'!$B$9="الكل",$I117,IF('الداشبورد'!$B$9="بدون حالة","P",'الداشبورد'!$B$9)))</f>
        <v/>
      </c>
      <c r="V117">
        <f>--($D117=IF('الداشبورد'!$B$10="الكل",$D117,'الداشبورد'!$B$10))</f>
        <v/>
      </c>
      <c r="W117">
        <f>--($G117=IF('الداشبورد'!$B$11="الكل",$G117,'الداشبورد'!$B$11))</f>
        <v/>
      </c>
      <c r="X117">
        <f>Q117*R117*S117*T117*U117*V117*W117*--($C117&lt;&gt;"")</f>
        <v/>
      </c>
    </row>
    <row r="118">
      <c r="A118" s="15" t="n">
        <v>2</v>
      </c>
      <c r="B118" s="15" t="inlineStr">
        <is>
          <t>R184270</t>
        </is>
      </c>
      <c r="C118" s="15" t="inlineStr">
        <is>
          <t>1205/26/01</t>
        </is>
      </c>
      <c r="D118" s="15" t="inlineStr">
        <is>
          <t>CASSIS Equipements</t>
        </is>
      </c>
      <c r="E118" s="15" t="inlineStr">
        <is>
          <t>MV</t>
        </is>
      </c>
      <c r="F118" s="15" t="inlineStr">
        <is>
          <t>18/30KV 3*1*240</t>
        </is>
      </c>
      <c r="G118" s="15" t="inlineStr">
        <is>
          <t>RW01</t>
        </is>
      </c>
      <c r="H118" s="15" t="inlineStr">
        <is>
          <t>Wooden Drums</t>
        </is>
      </c>
      <c r="I118" s="15" t="inlineStr">
        <is>
          <t>OK</t>
        </is>
      </c>
      <c r="J118" s="15" t="inlineStr">
        <is>
          <t>A</t>
        </is>
      </c>
      <c r="K118" s="15" t="inlineStr">
        <is>
          <t>Y</t>
        </is>
      </c>
      <c r="L118" s="15" t="n">
        <v>395</v>
      </c>
      <c r="M118" s="16" t="n">
        <v>0.739045</v>
      </c>
      <c r="N118" s="16" t="n">
        <v>0</v>
      </c>
      <c r="O118" s="16" t="n">
        <v>0</v>
      </c>
      <c r="P118" s="16" t="n">
        <v>0.739045</v>
      </c>
      <c r="Q118">
        <f>--($A118=IF('الداشبورد'!$B$5="الكل",$A118,'الداشبورد'!$B$5))</f>
        <v/>
      </c>
      <c r="R118">
        <f>--($E118=IF('الداشبورد'!$B$6="الكل",$E118,'الداشبورد'!$B$6))</f>
        <v/>
      </c>
      <c r="S118">
        <f>--($K118=IF('الداشبورد'!$B$7="الكل",$K118,IF('الداشبورد'!$B$7="تصدير","Y","N")))</f>
        <v/>
      </c>
      <c r="T118">
        <f>--($J118=IF('الداشبورد'!$B$8="الكل",$J118,IF('الداشبورد'!$B$8="AL","A","C")))</f>
        <v/>
      </c>
      <c r="U118">
        <f>--($I118=IF('الداشبورد'!$B$9="الكل",$I118,IF('الداشبورد'!$B$9="بدون حالة","P",'الداشبورد'!$B$9)))</f>
        <v/>
      </c>
      <c r="V118">
        <f>--($D118=IF('الداشبورد'!$B$10="الكل",$D118,'الداشبورد'!$B$10))</f>
        <v/>
      </c>
      <c r="W118">
        <f>--($G118=IF('الداشبورد'!$B$11="الكل",$G118,'الداشبورد'!$B$11))</f>
        <v/>
      </c>
      <c r="X118">
        <f>Q118*R118*S118*T118*U118*V118*W118*--($C118&lt;&gt;"")</f>
        <v/>
      </c>
    </row>
    <row r="119">
      <c r="A119" s="15" t="n">
        <v>3</v>
      </c>
      <c r="B119" s="15" t="inlineStr">
        <is>
          <t>Y182890</t>
        </is>
      </c>
      <c r="C119" s="15" t="inlineStr">
        <is>
          <t>1445/26/16</t>
        </is>
      </c>
      <c r="D119" s="15" t="inlineStr">
        <is>
          <t>Faber Kabel</t>
        </is>
      </c>
      <c r="E119" s="15" t="inlineStr">
        <is>
          <t>CC</t>
        </is>
      </c>
      <c r="F119" s="15" t="inlineStr">
        <is>
          <t>0.6/1KV 3*1.5/1.5</t>
        </is>
      </c>
      <c r="G119" s="15" t="inlineStr">
        <is>
          <t>EX14</t>
        </is>
      </c>
      <c r="H119" s="15" t="inlineStr">
        <is>
          <t>Iron Drums</t>
        </is>
      </c>
      <c r="I119" s="15" t="inlineStr">
        <is>
          <t>OK</t>
        </is>
      </c>
      <c r="J119" s="15" t="inlineStr">
        <is>
          <t>C</t>
        </is>
      </c>
      <c r="K119" s="15" t="inlineStr">
        <is>
          <t>Y</t>
        </is>
      </c>
      <c r="L119" s="15" t="n">
        <v>3150</v>
      </c>
      <c r="M119" s="16" t="n">
        <v>0.12285</v>
      </c>
      <c r="N119" s="16" t="n">
        <v>0.05355000000000001</v>
      </c>
      <c r="O119" s="16" t="n">
        <v>0</v>
      </c>
      <c r="P119" s="16" t="n">
        <v>0.1764</v>
      </c>
      <c r="Q119">
        <f>--($A119=IF('الداشبورد'!$B$5="الكل",$A119,'الداشبورد'!$B$5))</f>
        <v/>
      </c>
      <c r="R119">
        <f>--($E119=IF('الداشبورد'!$B$6="الكل",$E119,'الداشبورد'!$B$6))</f>
        <v/>
      </c>
      <c r="S119">
        <f>--($K119=IF('الداشبورد'!$B$7="الكل",$K119,IF('الداشبورد'!$B$7="تصدير","Y","N")))</f>
        <v/>
      </c>
      <c r="T119">
        <f>--($J119=IF('الداشبورد'!$B$8="الكل",$J119,IF('الداشبورد'!$B$8="AL","A","C")))</f>
        <v/>
      </c>
      <c r="U119">
        <f>--($I119=IF('الداشبورد'!$B$9="الكل",$I119,IF('الداشبورد'!$B$9="بدون حالة","P",'الداشبورد'!$B$9)))</f>
        <v/>
      </c>
      <c r="V119">
        <f>--($D119=IF('الداشبورد'!$B$10="الكل",$D119,'الداشبورد'!$B$10))</f>
        <v/>
      </c>
      <c r="W119">
        <f>--($G119=IF('الداشبورد'!$B$11="الكل",$G119,'الداشبورد'!$B$11))</f>
        <v/>
      </c>
      <c r="X119">
        <f>Q119*R119*S119*T119*U119*V119*W119*--($C119&lt;&gt;"")</f>
        <v/>
      </c>
    </row>
    <row r="120">
      <c r="A120" s="15" t="n">
        <v>3</v>
      </c>
      <c r="B120" s="15" t="inlineStr">
        <is>
          <t>I183521</t>
        </is>
      </c>
      <c r="C120" s="15" t="inlineStr">
        <is>
          <t>1447/26/01</t>
        </is>
      </c>
      <c r="D120" s="15" t="inlineStr">
        <is>
          <t>Faber Kabel</t>
        </is>
      </c>
      <c r="E120" s="15" t="inlineStr">
        <is>
          <t>CC</t>
        </is>
      </c>
      <c r="F120" s="15" t="inlineStr">
        <is>
          <t>0.6/1 KV 2X4/4</t>
        </is>
      </c>
      <c r="G120" s="15" t="inlineStr">
        <is>
          <t>RW01</t>
        </is>
      </c>
      <c r="H120" s="15" t="inlineStr">
        <is>
          <t>Wooden Drums</t>
        </is>
      </c>
      <c r="I120" s="15" t="inlineStr">
        <is>
          <t>OK</t>
        </is>
      </c>
      <c r="J120" s="15" t="inlineStr">
        <is>
          <t>C</t>
        </is>
      </c>
      <c r="K120" s="15" t="inlineStr">
        <is>
          <t>Y</t>
        </is>
      </c>
      <c r="L120" s="15" t="n">
        <v>2070</v>
      </c>
      <c r="M120" s="16" t="n">
        <v>0.1449</v>
      </c>
      <c r="N120" s="16" t="n">
        <v>0.0828</v>
      </c>
      <c r="O120" s="16" t="n">
        <v>0</v>
      </c>
      <c r="P120" s="16" t="n">
        <v>0.2277</v>
      </c>
      <c r="Q120">
        <f>--($A120=IF('الداشبورد'!$B$5="الكل",$A120,'الداشبورد'!$B$5))</f>
        <v/>
      </c>
      <c r="R120">
        <f>--($E120=IF('الداشبورد'!$B$6="الكل",$E120,'الداشبورد'!$B$6))</f>
        <v/>
      </c>
      <c r="S120">
        <f>--($K120=IF('الداشبورد'!$B$7="الكل",$K120,IF('الداشبورد'!$B$7="تصدير","Y","N")))</f>
        <v/>
      </c>
      <c r="T120">
        <f>--($J120=IF('الداشبورد'!$B$8="الكل",$J120,IF('الداشبورد'!$B$8="AL","A","C")))</f>
        <v/>
      </c>
      <c r="U120">
        <f>--($I120=IF('الداشبورد'!$B$9="الكل",$I120,IF('الداشبورد'!$B$9="بدون حالة","P",'الداشبورد'!$B$9)))</f>
        <v/>
      </c>
      <c r="V120">
        <f>--($D120=IF('الداشبورد'!$B$10="الكل",$D120,'الداشبورد'!$B$10))</f>
        <v/>
      </c>
      <c r="W120">
        <f>--($G120=IF('الداشبورد'!$B$11="الكل",$G120,'الداشبورد'!$B$11))</f>
        <v/>
      </c>
      <c r="X120">
        <f>Q120*R120*S120*T120*U120*V120*W120*--($C120&lt;&gt;"")</f>
        <v/>
      </c>
    </row>
    <row r="121">
      <c r="A121" s="15" t="n">
        <v>3</v>
      </c>
      <c r="B121" s="15" t="inlineStr">
        <is>
          <t>I183522</t>
        </is>
      </c>
      <c r="C121" s="15" t="inlineStr">
        <is>
          <t>1447/26/01</t>
        </is>
      </c>
      <c r="D121" s="15" t="inlineStr">
        <is>
          <t>Faber Kabel</t>
        </is>
      </c>
      <c r="E121" s="15" t="inlineStr">
        <is>
          <t>CC</t>
        </is>
      </c>
      <c r="F121" s="15" t="inlineStr">
        <is>
          <t>0.6/1 KV 2X4/4</t>
        </is>
      </c>
      <c r="G121" s="15" t="inlineStr">
        <is>
          <t>RW01</t>
        </is>
      </c>
      <c r="H121" s="15" t="inlineStr">
        <is>
          <t>Wooden Drums</t>
        </is>
      </c>
      <c r="I121" s="15" t="inlineStr">
        <is>
          <t>OK</t>
        </is>
      </c>
      <c r="J121" s="15" t="inlineStr">
        <is>
          <t>C</t>
        </is>
      </c>
      <c r="K121" s="15" t="inlineStr">
        <is>
          <t>Y</t>
        </is>
      </c>
      <c r="L121" s="15" t="n">
        <v>2100</v>
      </c>
      <c r="M121" s="16" t="n">
        <v>0.147</v>
      </c>
      <c r="N121" s="16" t="n">
        <v>0.08400000000000001</v>
      </c>
      <c r="O121" s="16" t="n">
        <v>0</v>
      </c>
      <c r="P121" s="16" t="n">
        <v>0.231</v>
      </c>
      <c r="Q121">
        <f>--($A121=IF('الداشبورد'!$B$5="الكل",$A121,'الداشبورد'!$B$5))</f>
        <v/>
      </c>
      <c r="R121">
        <f>--($E121=IF('الداشبورد'!$B$6="الكل",$E121,'الداشبورد'!$B$6))</f>
        <v/>
      </c>
      <c r="S121">
        <f>--($K121=IF('الداشبورد'!$B$7="الكل",$K121,IF('الداشبورد'!$B$7="تصدير","Y","N")))</f>
        <v/>
      </c>
      <c r="T121">
        <f>--($J121=IF('الداشبورد'!$B$8="الكل",$J121,IF('الداشبورد'!$B$8="AL","A","C")))</f>
        <v/>
      </c>
      <c r="U121">
        <f>--($I121=IF('الداشبورد'!$B$9="الكل",$I121,IF('الداشبورد'!$B$9="بدون حالة","P",'الداشبورد'!$B$9)))</f>
        <v/>
      </c>
      <c r="V121">
        <f>--($D121=IF('الداشبورد'!$B$10="الكل",$D121,'الداشبورد'!$B$10))</f>
        <v/>
      </c>
      <c r="W121">
        <f>--($G121=IF('الداشبورد'!$B$11="الكل",$G121,'الداشبورد'!$B$11))</f>
        <v/>
      </c>
      <c r="X121">
        <f>Q121*R121*S121*T121*U121*V121*W121*--($C121&lt;&gt;"")</f>
        <v/>
      </c>
    </row>
    <row r="122">
      <c r="A122" s="15" t="n">
        <v>3</v>
      </c>
      <c r="B122" s="15" t="inlineStr">
        <is>
          <t>Y183108</t>
        </is>
      </c>
      <c r="C122" s="15" t="inlineStr">
        <is>
          <t>1447/26/03</t>
        </is>
      </c>
      <c r="D122" s="15" t="inlineStr">
        <is>
          <t>Faber Kabel</t>
        </is>
      </c>
      <c r="E122" s="15" t="inlineStr">
        <is>
          <t>CC</t>
        </is>
      </c>
      <c r="F122" s="15" t="inlineStr">
        <is>
          <t>0.6/1KV 3*1.5/1.5</t>
        </is>
      </c>
      <c r="G122" s="15" t="inlineStr">
        <is>
          <t>EX14</t>
        </is>
      </c>
      <c r="H122" s="15" t="inlineStr">
        <is>
          <t>Wooden Drums</t>
        </is>
      </c>
      <c r="I122" s="15" t="inlineStr">
        <is>
          <t>OK</t>
        </is>
      </c>
      <c r="J122" s="15" t="inlineStr">
        <is>
          <t>C</t>
        </is>
      </c>
      <c r="K122" s="15" t="inlineStr">
        <is>
          <t>Y</t>
        </is>
      </c>
      <c r="L122" s="15" t="n">
        <v>3050</v>
      </c>
      <c r="M122" s="16" t="n">
        <v>0.11895</v>
      </c>
      <c r="N122" s="16" t="n">
        <v>0.05185</v>
      </c>
      <c r="O122" s="16" t="n">
        <v>0</v>
      </c>
      <c r="P122" s="16" t="n">
        <v>0.1708</v>
      </c>
      <c r="Q122">
        <f>--($A122=IF('الداشبورد'!$B$5="الكل",$A122,'الداشبورد'!$B$5))</f>
        <v/>
      </c>
      <c r="R122">
        <f>--($E122=IF('الداشبورد'!$B$6="الكل",$E122,'الداشبورد'!$B$6))</f>
        <v/>
      </c>
      <c r="S122">
        <f>--($K122=IF('الداشبورد'!$B$7="الكل",$K122,IF('الداشبورد'!$B$7="تصدير","Y","N")))</f>
        <v/>
      </c>
      <c r="T122">
        <f>--($J122=IF('الداشبورد'!$B$8="الكل",$J122,IF('الداشبورد'!$B$8="AL","A","C")))</f>
        <v/>
      </c>
      <c r="U122">
        <f>--($I122=IF('الداشبورد'!$B$9="الكل",$I122,IF('الداشبورد'!$B$9="بدون حالة","P",'الداشبورد'!$B$9)))</f>
        <v/>
      </c>
      <c r="V122">
        <f>--($D122=IF('الداشبورد'!$B$10="الكل",$D122,'الداشبورد'!$B$10))</f>
        <v/>
      </c>
      <c r="W122">
        <f>--($G122=IF('الداشبورد'!$B$11="الكل",$G122,'الداشبورد'!$B$11))</f>
        <v/>
      </c>
      <c r="X122">
        <f>Q122*R122*S122*T122*U122*V122*W122*--($C122&lt;&gt;"")</f>
        <v/>
      </c>
    </row>
    <row r="123">
      <c r="A123" s="15" t="n">
        <v>1</v>
      </c>
      <c r="B123" s="15" t="inlineStr">
        <is>
          <t>E182395</t>
        </is>
      </c>
      <c r="C123" s="15" t="inlineStr">
        <is>
          <t>1545/26/06</t>
        </is>
      </c>
      <c r="D123" s="15" t="inlineStr">
        <is>
          <t>VEOLIA</t>
        </is>
      </c>
      <c r="E123" s="15" t="inlineStr">
        <is>
          <t>LV</t>
        </is>
      </c>
      <c r="F123" s="15" t="inlineStr">
        <is>
          <t>0.6/1 KV 4*35</t>
        </is>
      </c>
      <c r="G123" s="15" t="inlineStr">
        <is>
          <t>EX14</t>
        </is>
      </c>
      <c r="H123" s="15" t="inlineStr">
        <is>
          <t>Wooden Drums</t>
        </is>
      </c>
      <c r="I123" s="15" t="inlineStr">
        <is>
          <t>OK</t>
        </is>
      </c>
      <c r="J123" s="15" t="inlineStr">
        <is>
          <t>C</t>
        </is>
      </c>
      <c r="K123" s="15" t="inlineStr">
        <is>
          <t>N</t>
        </is>
      </c>
      <c r="L123" s="15" t="n">
        <v>227</v>
      </c>
      <c r="M123" s="16" t="n">
        <v>0.270584</v>
      </c>
      <c r="N123" s="16" t="n">
        <v>0</v>
      </c>
      <c r="O123" s="16" t="n">
        <v>0</v>
      </c>
      <c r="P123" s="16" t="n">
        <v>0.270584</v>
      </c>
      <c r="Q123">
        <f>--($A123=IF('الداشبورد'!$B$5="الكل",$A123,'الداشبورد'!$B$5))</f>
        <v/>
      </c>
      <c r="R123">
        <f>--($E123=IF('الداشبورد'!$B$6="الكل",$E123,'الداشبورد'!$B$6))</f>
        <v/>
      </c>
      <c r="S123">
        <f>--($K123=IF('الداشبورد'!$B$7="الكل",$K123,IF('الداشبورد'!$B$7="تصدير","Y","N")))</f>
        <v/>
      </c>
      <c r="T123">
        <f>--($J123=IF('الداشبورد'!$B$8="الكل",$J123,IF('الداشبورد'!$B$8="AL","A","C")))</f>
        <v/>
      </c>
      <c r="U123">
        <f>--($I123=IF('الداشبورد'!$B$9="الكل",$I123,IF('الداشبورد'!$B$9="بدون حالة","P",'الداشبورد'!$B$9)))</f>
        <v/>
      </c>
      <c r="V123">
        <f>--($D123=IF('الداشبورد'!$B$10="الكل",$D123,'الداشبورد'!$B$10))</f>
        <v/>
      </c>
      <c r="W123">
        <f>--($G123=IF('الداشبورد'!$B$11="الكل",$G123,'الداشبورد'!$B$11))</f>
        <v/>
      </c>
      <c r="X123">
        <f>Q123*R123*S123*T123*U123*V123*W123*--($C123&lt;&gt;"")</f>
        <v/>
      </c>
    </row>
    <row r="124">
      <c r="A124" s="15" t="n">
        <v>1</v>
      </c>
      <c r="B124" s="15" t="inlineStr">
        <is>
          <t>J184242</t>
        </is>
      </c>
      <c r="C124" s="15" t="inlineStr">
        <is>
          <t>742/26/133</t>
        </is>
      </c>
      <c r="D124" s="15" t="inlineStr">
        <is>
          <t>Energya For Engineering&amp;Distribution</t>
        </is>
      </c>
      <c r="E124" s="15" t="inlineStr">
        <is>
          <t>LV</t>
        </is>
      </c>
      <c r="F124" s="15" t="inlineStr">
        <is>
          <t>0.6/1 KV 4*35</t>
        </is>
      </c>
      <c r="G124" s="15" t="inlineStr">
        <is>
          <t>EX14</t>
        </is>
      </c>
      <c r="H124" s="15" t="inlineStr">
        <is>
          <t>Wooden Drums</t>
        </is>
      </c>
      <c r="I124" s="15" t="inlineStr">
        <is>
          <t>OK</t>
        </is>
      </c>
      <c r="J124" s="15" t="inlineStr">
        <is>
          <t>C</t>
        </is>
      </c>
      <c r="K124" s="15" t="inlineStr">
        <is>
          <t>N</t>
        </is>
      </c>
      <c r="L124" s="15" t="n">
        <v>980</v>
      </c>
      <c r="M124" s="16" t="n">
        <v>1.16816</v>
      </c>
      <c r="N124" s="16" t="n">
        <v>0</v>
      </c>
      <c r="O124" s="16" t="n">
        <v>0</v>
      </c>
      <c r="P124" s="16" t="n">
        <v>1.16816</v>
      </c>
      <c r="Q124">
        <f>--($A124=IF('الداشبورد'!$B$5="الكل",$A124,'الداشبورد'!$B$5))</f>
        <v/>
      </c>
      <c r="R124">
        <f>--($E124=IF('الداشبورد'!$B$6="الكل",$E124,'الداشبورد'!$B$6))</f>
        <v/>
      </c>
      <c r="S124">
        <f>--($K124=IF('الداشبورد'!$B$7="الكل",$K124,IF('الداشبورد'!$B$7="تصدير","Y","N")))</f>
        <v/>
      </c>
      <c r="T124">
        <f>--($J124=IF('الداشبورد'!$B$8="الكل",$J124,IF('الداشبورد'!$B$8="AL","A","C")))</f>
        <v/>
      </c>
      <c r="U124">
        <f>--($I124=IF('الداشبورد'!$B$9="الكل",$I124,IF('الداشبورد'!$B$9="بدون حالة","P",'الداشبورد'!$B$9)))</f>
        <v/>
      </c>
      <c r="V124">
        <f>--($D124=IF('الداشبورد'!$B$10="الكل",$D124,'الداشبورد'!$B$10))</f>
        <v/>
      </c>
      <c r="W124">
        <f>--($G124=IF('الداشبورد'!$B$11="الكل",$G124,'الداشبورد'!$B$11))</f>
        <v/>
      </c>
      <c r="X124">
        <f>Q124*R124*S124*T124*U124*V124*W124*--($C124&lt;&gt;"")</f>
        <v/>
      </c>
    </row>
    <row r="125">
      <c r="A125" s="15" t="n">
        <v>3</v>
      </c>
      <c r="B125" s="15" t="inlineStr">
        <is>
          <t>T184204</t>
        </is>
      </c>
      <c r="C125" s="15" t="inlineStr">
        <is>
          <t>1385/26/03</t>
        </is>
      </c>
      <c r="D125" s="15" t="inlineStr">
        <is>
          <t>الشركة العربية للصناعة والتجارة الدولية</t>
        </is>
      </c>
      <c r="E125" s="15" t="inlineStr">
        <is>
          <t>LV</t>
        </is>
      </c>
      <c r="F125" s="15" t="inlineStr">
        <is>
          <t>0.6/1 KV 3*240+120</t>
        </is>
      </c>
      <c r="G125" s="15" t="inlineStr">
        <is>
          <t>EX07</t>
        </is>
      </c>
      <c r="H125" s="15" t="inlineStr">
        <is>
          <t>Wooden Drums</t>
        </is>
      </c>
      <c r="I125" s="15" t="inlineStr">
        <is>
          <t>OK</t>
        </is>
      </c>
      <c r="J125" s="15" t="inlineStr">
        <is>
          <t>A</t>
        </is>
      </c>
      <c r="K125" s="15" t="inlineStr">
        <is>
          <t>N</t>
        </is>
      </c>
      <c r="L125" s="15" t="n">
        <v>1005</v>
      </c>
      <c r="M125" s="16" t="n">
        <v>2.207985</v>
      </c>
      <c r="N125" s="16" t="n">
        <v>0</v>
      </c>
      <c r="O125" s="16" t="n">
        <v>0</v>
      </c>
      <c r="P125" s="16" t="n">
        <v>2.207985</v>
      </c>
      <c r="Q125">
        <f>--($A125=IF('الداشبورد'!$B$5="الكل",$A125,'الداشبورد'!$B$5))</f>
        <v/>
      </c>
      <c r="R125">
        <f>--($E125=IF('الداشبورد'!$B$6="الكل",$E125,'الداشبورد'!$B$6))</f>
        <v/>
      </c>
      <c r="S125">
        <f>--($K125=IF('الداشبورد'!$B$7="الكل",$K125,IF('الداشبورد'!$B$7="تصدير","Y","N")))</f>
        <v/>
      </c>
      <c r="T125">
        <f>--($J125=IF('الداشبورد'!$B$8="الكل",$J125,IF('الداشبورد'!$B$8="AL","A","C")))</f>
        <v/>
      </c>
      <c r="U125">
        <f>--($I125=IF('الداشبورد'!$B$9="الكل",$I125,IF('الداشبورد'!$B$9="بدون حالة","P",'الداشبورد'!$B$9)))</f>
        <v/>
      </c>
      <c r="V125">
        <f>--($D125=IF('الداشبورد'!$B$10="الكل",$D125,'الداشبورد'!$B$10))</f>
        <v/>
      </c>
      <c r="W125">
        <f>--($G125=IF('الداشبورد'!$B$11="الكل",$G125,'الداشبورد'!$B$11))</f>
        <v/>
      </c>
      <c r="X125">
        <f>Q125*R125*S125*T125*U125*V125*W125*--($C125&lt;&gt;"")</f>
        <v/>
      </c>
    </row>
    <row r="126">
      <c r="A126" s="15" t="n">
        <v>3</v>
      </c>
      <c r="B126" s="15" t="inlineStr">
        <is>
          <t>T184294</t>
        </is>
      </c>
      <c r="C126" s="15" t="inlineStr">
        <is>
          <t>1385/26/03</t>
        </is>
      </c>
      <c r="D126" s="15" t="inlineStr">
        <is>
          <t>الشركة العربية للصناعة والتجارة الدولية</t>
        </is>
      </c>
      <c r="E126" s="15" t="inlineStr">
        <is>
          <t>LV</t>
        </is>
      </c>
      <c r="F126" s="15" t="inlineStr">
        <is>
          <t>0.6/1 KV 3*240+120</t>
        </is>
      </c>
      <c r="G126" s="15" t="inlineStr">
        <is>
          <t>EX07</t>
        </is>
      </c>
      <c r="H126" s="15" t="inlineStr">
        <is>
          <t>Wooden Drums</t>
        </is>
      </c>
      <c r="I126" s="15" t="inlineStr">
        <is>
          <t>OK</t>
        </is>
      </c>
      <c r="J126" s="15" t="inlineStr">
        <is>
          <t>A</t>
        </is>
      </c>
      <c r="K126" s="15" t="inlineStr">
        <is>
          <t>N</t>
        </is>
      </c>
      <c r="L126" s="15" t="n">
        <v>1015</v>
      </c>
      <c r="M126" s="16" t="n">
        <v>2.229955</v>
      </c>
      <c r="N126" s="16" t="n">
        <v>0</v>
      </c>
      <c r="O126" s="16" t="n">
        <v>0</v>
      </c>
      <c r="P126" s="16" t="n">
        <v>2.229955</v>
      </c>
      <c r="Q126">
        <f>--($A126=IF('الداشبورد'!$B$5="الكل",$A126,'الداشبورد'!$B$5))</f>
        <v/>
      </c>
      <c r="R126">
        <f>--($E126=IF('الداشبورد'!$B$6="الكل",$E126,'الداشبورد'!$B$6))</f>
        <v/>
      </c>
      <c r="S126">
        <f>--($K126=IF('الداشبورد'!$B$7="الكل",$K126,IF('الداشبورد'!$B$7="تصدير","Y","N")))</f>
        <v/>
      </c>
      <c r="T126">
        <f>--($J126=IF('الداشبورد'!$B$8="الكل",$J126,IF('الداشبورد'!$B$8="AL","A","C")))</f>
        <v/>
      </c>
      <c r="U126">
        <f>--($I126=IF('الداشبورد'!$B$9="الكل",$I126,IF('الداشبورد'!$B$9="بدون حالة","P",'الداشبورد'!$B$9)))</f>
        <v/>
      </c>
      <c r="V126">
        <f>--($D126=IF('الداشبورد'!$B$10="الكل",$D126,'الداشبورد'!$B$10))</f>
        <v/>
      </c>
      <c r="W126">
        <f>--($G126=IF('الداشبورد'!$B$11="الكل",$G126,'الداشبورد'!$B$11))</f>
        <v/>
      </c>
      <c r="X126">
        <f>Q126*R126*S126*T126*U126*V126*W126*--($C126&lt;&gt;"")</f>
        <v/>
      </c>
    </row>
    <row r="127">
      <c r="A127" s="15" t="n">
        <v>3</v>
      </c>
      <c r="B127" s="15" t="inlineStr">
        <is>
          <t>S184295</t>
        </is>
      </c>
      <c r="C127" s="15" t="inlineStr">
        <is>
          <t>1385/26/03</t>
        </is>
      </c>
      <c r="D127" s="15" t="inlineStr">
        <is>
          <t>الشركة العربية للصناعة والتجارة الدولية</t>
        </is>
      </c>
      <c r="E127" s="15" t="inlineStr">
        <is>
          <t>LV</t>
        </is>
      </c>
      <c r="F127" s="15" t="inlineStr">
        <is>
          <t>0.6/1 KV 3*240+120</t>
        </is>
      </c>
      <c r="G127" s="15" t="inlineStr">
        <is>
          <t>EX07</t>
        </is>
      </c>
      <c r="H127" s="15" t="inlineStr">
        <is>
          <t>Wooden Drums</t>
        </is>
      </c>
      <c r="I127" s="15" t="inlineStr">
        <is>
          <t>OK</t>
        </is>
      </c>
      <c r="J127" s="15" t="inlineStr">
        <is>
          <t>A</t>
        </is>
      </c>
      <c r="K127" s="15" t="inlineStr">
        <is>
          <t>N</t>
        </is>
      </c>
      <c r="L127" s="15" t="n">
        <v>1005</v>
      </c>
      <c r="M127" s="16" t="n">
        <v>2.207985</v>
      </c>
      <c r="N127" s="16" t="n">
        <v>0</v>
      </c>
      <c r="O127" s="16" t="n">
        <v>0</v>
      </c>
      <c r="P127" s="16" t="n">
        <v>2.207985</v>
      </c>
      <c r="Q127">
        <f>--($A127=IF('الداشبورد'!$B$5="الكل",$A127,'الداشبورد'!$B$5))</f>
        <v/>
      </c>
      <c r="R127">
        <f>--($E127=IF('الداشبورد'!$B$6="الكل",$E127,'الداشبورد'!$B$6))</f>
        <v/>
      </c>
      <c r="S127">
        <f>--($K127=IF('الداشبورد'!$B$7="الكل",$K127,IF('الداشبورد'!$B$7="تصدير","Y","N")))</f>
        <v/>
      </c>
      <c r="T127">
        <f>--($J127=IF('الداشبورد'!$B$8="الكل",$J127,IF('الداشبورد'!$B$8="AL","A","C")))</f>
        <v/>
      </c>
      <c r="U127">
        <f>--($I127=IF('الداشبورد'!$B$9="الكل",$I127,IF('الداشبورد'!$B$9="بدون حالة","P",'الداشبورد'!$B$9)))</f>
        <v/>
      </c>
      <c r="V127">
        <f>--($D127=IF('الداشبورد'!$B$10="الكل",$D127,'الداشبورد'!$B$10))</f>
        <v/>
      </c>
      <c r="W127">
        <f>--($G127=IF('الداشبورد'!$B$11="الكل",$G127,'الداشبورد'!$B$11))</f>
        <v/>
      </c>
      <c r="X127">
        <f>Q127*R127*S127*T127*U127*V127*W127*--($C127&lt;&gt;"")</f>
        <v/>
      </c>
    </row>
    <row r="128">
      <c r="A128" s="15" t="n">
        <v>3</v>
      </c>
      <c r="B128" s="15" t="inlineStr">
        <is>
          <t>S184298</t>
        </is>
      </c>
      <c r="C128" s="15" t="inlineStr">
        <is>
          <t>1533/26/03</t>
        </is>
      </c>
      <c r="D128" s="15" t="inlineStr">
        <is>
          <t>المدكور  للمشروعات</t>
        </is>
      </c>
      <c r="E128" s="15" t="inlineStr">
        <is>
          <t>MV</t>
        </is>
      </c>
      <c r="F128" s="15" t="inlineStr">
        <is>
          <t>18 / 30 KV 3*70 MM2</t>
        </is>
      </c>
      <c r="G128" s="15" t="inlineStr">
        <is>
          <t>EX07</t>
        </is>
      </c>
      <c r="H128" s="15" t="inlineStr">
        <is>
          <t>Wooden Drums</t>
        </is>
      </c>
      <c r="I128" s="15" t="inlineStr">
        <is>
          <t>OK</t>
        </is>
      </c>
      <c r="J128" s="15" t="inlineStr">
        <is>
          <t>A</t>
        </is>
      </c>
      <c r="K128" s="15" t="inlineStr">
        <is>
          <t>N</t>
        </is>
      </c>
      <c r="L128" s="15" t="n">
        <v>595</v>
      </c>
      <c r="M128" s="16" t="n">
        <v>0.33201</v>
      </c>
      <c r="N128" s="16" t="n">
        <v>0</v>
      </c>
      <c r="O128" s="16" t="n">
        <v>0</v>
      </c>
      <c r="P128" s="16" t="n">
        <v>0.33201</v>
      </c>
      <c r="Q128">
        <f>--($A128=IF('الداشبورد'!$B$5="الكل",$A128,'الداشبورد'!$B$5))</f>
        <v/>
      </c>
      <c r="R128">
        <f>--($E128=IF('الداشبورد'!$B$6="الكل",$E128,'الداشبورد'!$B$6))</f>
        <v/>
      </c>
      <c r="S128">
        <f>--($K128=IF('الداشبورد'!$B$7="الكل",$K128,IF('الداشبورد'!$B$7="تصدير","Y","N")))</f>
        <v/>
      </c>
      <c r="T128">
        <f>--($J128=IF('الداشبورد'!$B$8="الكل",$J128,IF('الداشبورد'!$B$8="AL","A","C")))</f>
        <v/>
      </c>
      <c r="U128">
        <f>--($I128=IF('الداشبورد'!$B$9="الكل",$I128,IF('الداشبورد'!$B$9="بدون حالة","P",'الداشبورد'!$B$9)))</f>
        <v/>
      </c>
      <c r="V128">
        <f>--($D128=IF('الداشبورد'!$B$10="الكل",$D128,'الداشبورد'!$B$10))</f>
        <v/>
      </c>
      <c r="W128">
        <f>--($G128=IF('الداشبورد'!$B$11="الكل",$G128,'الداشبورد'!$B$11))</f>
        <v/>
      </c>
      <c r="X128">
        <f>Q128*R128*S128*T128*U128*V128*W128*--($C128&lt;&gt;"")</f>
        <v/>
      </c>
    </row>
    <row r="129">
      <c r="A129" s="15" t="n">
        <v>3</v>
      </c>
      <c r="B129" s="15" t="inlineStr">
        <is>
          <t>U184276</t>
        </is>
      </c>
      <c r="C129" s="15" t="inlineStr">
        <is>
          <t>1533/26/03</t>
        </is>
      </c>
      <c r="D129" s="15" t="inlineStr">
        <is>
          <t>المدكور  للمشروعات</t>
        </is>
      </c>
      <c r="E129" s="15" t="inlineStr">
        <is>
          <t>MV</t>
        </is>
      </c>
      <c r="F129" s="15" t="inlineStr">
        <is>
          <t>18 / 30 KV 3*70 MM2</t>
        </is>
      </c>
      <c r="G129" s="15" t="inlineStr">
        <is>
          <t>EX07</t>
        </is>
      </c>
      <c r="H129" s="15" t="inlineStr">
        <is>
          <t>Wooden Drums</t>
        </is>
      </c>
      <c r="I129" s="15" t="inlineStr">
        <is>
          <t>OK</t>
        </is>
      </c>
      <c r="J129" s="15" t="inlineStr">
        <is>
          <t>A</t>
        </is>
      </c>
      <c r="K129" s="15" t="inlineStr">
        <is>
          <t>N</t>
        </is>
      </c>
      <c r="L129" s="15" t="n">
        <v>606</v>
      </c>
      <c r="M129" s="16" t="n">
        <v>0.338148</v>
      </c>
      <c r="N129" s="16" t="n">
        <v>0</v>
      </c>
      <c r="O129" s="16" t="n">
        <v>0</v>
      </c>
      <c r="P129" s="16" t="n">
        <v>0.338148</v>
      </c>
      <c r="Q129">
        <f>--($A129=IF('الداشبورد'!$B$5="الكل",$A129,'الداشبورد'!$B$5))</f>
        <v/>
      </c>
      <c r="R129">
        <f>--($E129=IF('الداشبورد'!$B$6="الكل",$E129,'الداشبورد'!$B$6))</f>
        <v/>
      </c>
      <c r="S129">
        <f>--($K129=IF('الداشبورد'!$B$7="الكل",$K129,IF('الداشبورد'!$B$7="تصدير","Y","N")))</f>
        <v/>
      </c>
      <c r="T129">
        <f>--($J129=IF('الداشبورد'!$B$8="الكل",$J129,IF('الداشبورد'!$B$8="AL","A","C")))</f>
        <v/>
      </c>
      <c r="U129">
        <f>--($I129=IF('الداشبورد'!$B$9="الكل",$I129,IF('الداشبورد'!$B$9="بدون حالة","P",'الداشبورد'!$B$9)))</f>
        <v/>
      </c>
      <c r="V129">
        <f>--($D129=IF('الداشبورد'!$B$10="الكل",$D129,'الداشبورد'!$B$10))</f>
        <v/>
      </c>
      <c r="W129">
        <f>--($G129=IF('الداشبورد'!$B$11="الكل",$G129,'الداشبورد'!$B$11))</f>
        <v/>
      </c>
      <c r="X129">
        <f>Q129*R129*S129*T129*U129*V129*W129*--($C129&lt;&gt;"")</f>
        <v/>
      </c>
    </row>
    <row r="130">
      <c r="A130" s="15" t="n">
        <v>3</v>
      </c>
      <c r="B130" s="15" t="inlineStr">
        <is>
          <t>O184260</t>
        </is>
      </c>
      <c r="C130" s="15" t="inlineStr">
        <is>
          <t>1200/26/02</t>
        </is>
      </c>
      <c r="D130" s="15" t="inlineStr">
        <is>
          <t>INSELL</t>
        </is>
      </c>
      <c r="E130" s="15" t="inlineStr">
        <is>
          <t>MV</t>
        </is>
      </c>
      <c r="F130" s="15" t="inlineStr">
        <is>
          <t>12/20 KV 1X120/50</t>
        </is>
      </c>
      <c r="G130" s="15" t="inlineStr">
        <is>
          <t>EX06</t>
        </is>
      </c>
      <c r="H130" s="15" t="inlineStr">
        <is>
          <t>Wooden Drums</t>
        </is>
      </c>
      <c r="I130" s="15" t="inlineStr">
        <is>
          <t>OK</t>
        </is>
      </c>
      <c r="J130" s="15" t="inlineStr">
        <is>
          <t>A</t>
        </is>
      </c>
      <c r="K130" s="15" t="inlineStr">
        <is>
          <t>Y</t>
        </is>
      </c>
      <c r="L130" s="15" t="n">
        <v>1970</v>
      </c>
      <c r="M130" s="16" t="n">
        <v>0.6205499999999999</v>
      </c>
      <c r="N130" s="16" t="n">
        <v>0.89241</v>
      </c>
      <c r="O130" s="16" t="n">
        <v>0</v>
      </c>
      <c r="P130" s="16" t="n">
        <v>1.51296</v>
      </c>
      <c r="Q130">
        <f>--($A130=IF('الداشبورد'!$B$5="الكل",$A130,'الداشبورد'!$B$5))</f>
        <v/>
      </c>
      <c r="R130">
        <f>--($E130=IF('الداشبورد'!$B$6="الكل",$E130,'الداشبورد'!$B$6))</f>
        <v/>
      </c>
      <c r="S130">
        <f>--($K130=IF('الداشبورد'!$B$7="الكل",$K130,IF('الداشبورد'!$B$7="تصدير","Y","N")))</f>
        <v/>
      </c>
      <c r="T130">
        <f>--($J130=IF('الداشبورد'!$B$8="الكل",$J130,IF('الداشبورد'!$B$8="AL","A","C")))</f>
        <v/>
      </c>
      <c r="U130">
        <f>--($I130=IF('الداشبورد'!$B$9="الكل",$I130,IF('الداشبورد'!$B$9="بدون حالة","P",'الداشبورد'!$B$9)))</f>
        <v/>
      </c>
      <c r="V130">
        <f>--($D130=IF('الداشبورد'!$B$10="الكل",$D130,'الداشبورد'!$B$10))</f>
        <v/>
      </c>
      <c r="W130">
        <f>--($G130=IF('الداشبورد'!$B$11="الكل",$G130,'الداشبورد'!$B$11))</f>
        <v/>
      </c>
      <c r="X130">
        <f>Q130*R130*S130*T130*U130*V130*W130*--($C130&lt;&gt;"")</f>
        <v/>
      </c>
    </row>
    <row r="131">
      <c r="A131" s="15" t="n">
        <v>3</v>
      </c>
      <c r="B131" s="15" t="inlineStr">
        <is>
          <t>O184259</t>
        </is>
      </c>
      <c r="C131" s="15" t="inlineStr">
        <is>
          <t>1200/26/02</t>
        </is>
      </c>
      <c r="D131" s="15" t="inlineStr">
        <is>
          <t>INSELL</t>
        </is>
      </c>
      <c r="E131" s="15" t="inlineStr">
        <is>
          <t>MV</t>
        </is>
      </c>
      <c r="F131" s="15" t="inlineStr">
        <is>
          <t>12/20 KV 1X120/50</t>
        </is>
      </c>
      <c r="G131" s="15" t="inlineStr">
        <is>
          <t>EX06</t>
        </is>
      </c>
      <c r="H131" s="15" t="inlineStr">
        <is>
          <t>Wooden Drums</t>
        </is>
      </c>
      <c r="I131" s="15" t="inlineStr">
        <is>
          <t>OK</t>
        </is>
      </c>
      <c r="J131" s="15" t="inlineStr">
        <is>
          <t>A</t>
        </is>
      </c>
      <c r="K131" s="15" t="inlineStr">
        <is>
          <t>Y</t>
        </is>
      </c>
      <c r="L131" s="15" t="n">
        <v>1968</v>
      </c>
      <c r="M131" s="16" t="n">
        <v>0.6199199999999999</v>
      </c>
      <c r="N131" s="16" t="n">
        <v>0.8915040000000001</v>
      </c>
      <c r="O131" s="16" t="n">
        <v>0</v>
      </c>
      <c r="P131" s="16" t="n">
        <v>1.511424</v>
      </c>
      <c r="Q131">
        <f>--($A131=IF('الداشبورد'!$B$5="الكل",$A131,'الداشبورد'!$B$5))</f>
        <v/>
      </c>
      <c r="R131">
        <f>--($E131=IF('الداشبورد'!$B$6="الكل",$E131,'الداشبورد'!$B$6))</f>
        <v/>
      </c>
      <c r="S131">
        <f>--($K131=IF('الداشبورد'!$B$7="الكل",$K131,IF('الداشبورد'!$B$7="تصدير","Y","N")))</f>
        <v/>
      </c>
      <c r="T131">
        <f>--($J131=IF('الداشبورد'!$B$8="الكل",$J131,IF('الداشبورد'!$B$8="AL","A","C")))</f>
        <v/>
      </c>
      <c r="U131">
        <f>--($I131=IF('الداشبورد'!$B$9="الكل",$I131,IF('الداشبورد'!$B$9="بدون حالة","P",'الداشبورد'!$B$9)))</f>
        <v/>
      </c>
      <c r="V131">
        <f>--($D131=IF('الداشبورد'!$B$10="الكل",$D131,'الداشبورد'!$B$10))</f>
        <v/>
      </c>
      <c r="W131">
        <f>--($G131=IF('الداشبورد'!$B$11="الكل",$G131,'الداشبورد'!$B$11))</f>
        <v/>
      </c>
      <c r="X131">
        <f>Q131*R131*S131*T131*U131*V131*W131*--($C131&lt;&gt;"")</f>
        <v/>
      </c>
    </row>
    <row r="132">
      <c r="A132" s="15" t="n">
        <v>3</v>
      </c>
      <c r="B132" s="15" t="inlineStr">
        <is>
          <t>O184263</t>
        </is>
      </c>
      <c r="C132" s="15" t="inlineStr">
        <is>
          <t>1200/26/02</t>
        </is>
      </c>
      <c r="D132" s="15" t="inlineStr">
        <is>
          <t>INSELL</t>
        </is>
      </c>
      <c r="E132" s="15" t="inlineStr">
        <is>
          <t>MV</t>
        </is>
      </c>
      <c r="F132" s="15" t="inlineStr">
        <is>
          <t>12/20 KV 1X120/50</t>
        </is>
      </c>
      <c r="G132" s="15" t="inlineStr">
        <is>
          <t>EX06</t>
        </is>
      </c>
      <c r="H132" s="15" t="inlineStr">
        <is>
          <t>Wooden Drums</t>
        </is>
      </c>
      <c r="I132" s="15" t="inlineStr">
        <is>
          <t>OK</t>
        </is>
      </c>
      <c r="J132" s="15" t="inlineStr">
        <is>
          <t>A</t>
        </is>
      </c>
      <c r="K132" s="15" t="inlineStr">
        <is>
          <t>Y</t>
        </is>
      </c>
      <c r="L132" s="15" t="n">
        <v>2028</v>
      </c>
      <c r="M132" s="16" t="n">
        <v>0.6388200000000001</v>
      </c>
      <c r="N132" s="16" t="n">
        <v>0.9186840000000001</v>
      </c>
      <c r="O132" s="16" t="n">
        <v>0</v>
      </c>
      <c r="P132" s="16" t="n">
        <v>1.557504</v>
      </c>
      <c r="Q132">
        <f>--($A132=IF('الداشبورد'!$B$5="الكل",$A132,'الداشبورد'!$B$5))</f>
        <v/>
      </c>
      <c r="R132">
        <f>--($E132=IF('الداشبورد'!$B$6="الكل",$E132,'الداشبورد'!$B$6))</f>
        <v/>
      </c>
      <c r="S132">
        <f>--($K132=IF('الداشبورد'!$B$7="الكل",$K132,IF('الداشبورد'!$B$7="تصدير","Y","N")))</f>
        <v/>
      </c>
      <c r="T132">
        <f>--($J132=IF('الداشبورد'!$B$8="الكل",$J132,IF('الداشبورد'!$B$8="AL","A","C")))</f>
        <v/>
      </c>
      <c r="U132">
        <f>--($I132=IF('الداشبورد'!$B$9="الكل",$I132,IF('الداشبورد'!$B$9="بدون حالة","P",'الداشبورد'!$B$9)))</f>
        <v/>
      </c>
      <c r="V132">
        <f>--($D132=IF('الداشبورد'!$B$10="الكل",$D132,'الداشبورد'!$B$10))</f>
        <v/>
      </c>
      <c r="W132">
        <f>--($G132=IF('الداشبورد'!$B$11="الكل",$G132,'الداشبورد'!$B$11))</f>
        <v/>
      </c>
      <c r="X132">
        <f>Q132*R132*S132*T132*U132*V132*W132*--($C132&lt;&gt;"")</f>
        <v/>
      </c>
    </row>
    <row r="133">
      <c r="A133" s="15" t="n">
        <v>3</v>
      </c>
      <c r="B133" s="15" t="inlineStr">
        <is>
          <t>O184383</t>
        </is>
      </c>
      <c r="C133" s="15" t="inlineStr">
        <is>
          <t>1200/26/02</t>
        </is>
      </c>
      <c r="D133" s="15" t="inlineStr">
        <is>
          <t>INSELL</t>
        </is>
      </c>
      <c r="E133" s="15" t="inlineStr">
        <is>
          <t>MV</t>
        </is>
      </c>
      <c r="F133" s="15" t="inlineStr">
        <is>
          <t>12/20 KV 1X120/50</t>
        </is>
      </c>
      <c r="G133" s="15" t="inlineStr">
        <is>
          <t>EX06</t>
        </is>
      </c>
      <c r="H133" s="15" t="inlineStr">
        <is>
          <t>Wooden Drums</t>
        </is>
      </c>
      <c r="I133" s="15" t="inlineStr">
        <is>
          <t>OK</t>
        </is>
      </c>
      <c r="J133" s="15" t="inlineStr">
        <is>
          <t>A</t>
        </is>
      </c>
      <c r="K133" s="15" t="inlineStr">
        <is>
          <t>Y</t>
        </is>
      </c>
      <c r="L133" s="15" t="n">
        <v>1969</v>
      </c>
      <c r="M133" s="16" t="n">
        <v>0.620235</v>
      </c>
      <c r="N133" s="16" t="n">
        <v>0.891957</v>
      </c>
      <c r="O133" s="16" t="n">
        <v>0</v>
      </c>
      <c r="P133" s="16" t="n">
        <v>1.512192</v>
      </c>
      <c r="Q133">
        <f>--($A133=IF('الداشبورد'!$B$5="الكل",$A133,'الداشبورد'!$B$5))</f>
        <v/>
      </c>
      <c r="R133">
        <f>--($E133=IF('الداشبورد'!$B$6="الكل",$E133,'الداشبورد'!$B$6))</f>
        <v/>
      </c>
      <c r="S133">
        <f>--($K133=IF('الداشبورد'!$B$7="الكل",$K133,IF('الداشبورد'!$B$7="تصدير","Y","N")))</f>
        <v/>
      </c>
      <c r="T133">
        <f>--($J133=IF('الداشبورد'!$B$8="الكل",$J133,IF('الداشبورد'!$B$8="AL","A","C")))</f>
        <v/>
      </c>
      <c r="U133">
        <f>--($I133=IF('الداشبورد'!$B$9="الكل",$I133,IF('الداشبورد'!$B$9="بدون حالة","P",'الداشبورد'!$B$9)))</f>
        <v/>
      </c>
      <c r="V133">
        <f>--($D133=IF('الداشبورد'!$B$10="الكل",$D133,'الداشبورد'!$B$10))</f>
        <v/>
      </c>
      <c r="W133">
        <f>--($G133=IF('الداشبورد'!$B$11="الكل",$G133,'الداشبورد'!$B$11))</f>
        <v/>
      </c>
      <c r="X133">
        <f>Q133*R133*S133*T133*U133*V133*W133*--($C133&lt;&gt;"")</f>
        <v/>
      </c>
    </row>
    <row r="134">
      <c r="A134" s="15" t="n">
        <v>3</v>
      </c>
      <c r="B134" s="15" t="inlineStr">
        <is>
          <t>O183336</t>
        </is>
      </c>
      <c r="C134" s="15" t="inlineStr">
        <is>
          <t>1200/26/02</t>
        </is>
      </c>
      <c r="D134" s="15" t="inlineStr">
        <is>
          <t>INSELL</t>
        </is>
      </c>
      <c r="E134" s="15" t="inlineStr">
        <is>
          <t>MV</t>
        </is>
      </c>
      <c r="F134" s="15" t="inlineStr">
        <is>
          <t>12/20 KV 1X120/50</t>
        </is>
      </c>
      <c r="G134" s="15" t="inlineStr">
        <is>
          <t>EX06</t>
        </is>
      </c>
      <c r="H134" s="15" t="inlineStr">
        <is>
          <t>Wooden Drums</t>
        </is>
      </c>
      <c r="I134" s="15" t="inlineStr">
        <is>
          <t>OK</t>
        </is>
      </c>
      <c r="J134" s="15" t="inlineStr">
        <is>
          <t>A</t>
        </is>
      </c>
      <c r="K134" s="15" t="inlineStr">
        <is>
          <t>Y</t>
        </is>
      </c>
      <c r="L134" s="15" t="n">
        <v>1968</v>
      </c>
      <c r="M134" s="16" t="n">
        <v>0.6199199999999999</v>
      </c>
      <c r="N134" s="16" t="n">
        <v>0.8915040000000001</v>
      </c>
      <c r="O134" s="16" t="n">
        <v>0</v>
      </c>
      <c r="P134" s="16" t="n">
        <v>1.511424</v>
      </c>
      <c r="Q134">
        <f>--($A134=IF('الداشبورد'!$B$5="الكل",$A134,'الداشبورد'!$B$5))</f>
        <v/>
      </c>
      <c r="R134">
        <f>--($E134=IF('الداشبورد'!$B$6="الكل",$E134,'الداشبورد'!$B$6))</f>
        <v/>
      </c>
      <c r="S134">
        <f>--($K134=IF('الداشبورد'!$B$7="الكل",$K134,IF('الداشبورد'!$B$7="تصدير","Y","N")))</f>
        <v/>
      </c>
      <c r="T134">
        <f>--($J134=IF('الداشبورد'!$B$8="الكل",$J134,IF('الداشبورد'!$B$8="AL","A","C")))</f>
        <v/>
      </c>
      <c r="U134">
        <f>--($I134=IF('الداشبورد'!$B$9="الكل",$I134,IF('الداشبورد'!$B$9="بدون حالة","P",'الداشبورد'!$B$9)))</f>
        <v/>
      </c>
      <c r="V134">
        <f>--($D134=IF('الداشبورد'!$B$10="الكل",$D134,'الداشبورد'!$B$10))</f>
        <v/>
      </c>
      <c r="W134">
        <f>--($G134=IF('الداشبورد'!$B$11="الكل",$G134,'الداشبورد'!$B$11))</f>
        <v/>
      </c>
      <c r="X134">
        <f>Q134*R134*S134*T134*U134*V134*W134*--($C134&lt;&gt;"")</f>
        <v/>
      </c>
    </row>
    <row r="135">
      <c r="A135" s="15" t="n">
        <v>3</v>
      </c>
      <c r="B135" s="15" t="inlineStr">
        <is>
          <t>O184387</t>
        </is>
      </c>
      <c r="C135" s="15" t="inlineStr">
        <is>
          <t>1200/26/02</t>
        </is>
      </c>
      <c r="D135" s="15" t="inlineStr">
        <is>
          <t>INSELL</t>
        </is>
      </c>
      <c r="E135" s="15" t="inlineStr">
        <is>
          <t>MV</t>
        </is>
      </c>
      <c r="F135" s="15" t="inlineStr">
        <is>
          <t>12/20 KV 1X120/50</t>
        </is>
      </c>
      <c r="G135" s="15" t="inlineStr">
        <is>
          <t>EX06</t>
        </is>
      </c>
      <c r="H135" s="15" t="inlineStr">
        <is>
          <t>Wooden Drums</t>
        </is>
      </c>
      <c r="I135" s="15" t="inlineStr">
        <is>
          <t>OK</t>
        </is>
      </c>
      <c r="J135" s="15" t="inlineStr">
        <is>
          <t>A</t>
        </is>
      </c>
      <c r="K135" s="15" t="inlineStr">
        <is>
          <t>Y</t>
        </is>
      </c>
      <c r="L135" s="15" t="n">
        <v>2035</v>
      </c>
      <c r="M135" s="16" t="n">
        <v>0.641025</v>
      </c>
      <c r="N135" s="16" t="n">
        <v>0.921855</v>
      </c>
      <c r="O135" s="16" t="n">
        <v>0</v>
      </c>
      <c r="P135" s="16" t="n">
        <v>1.56288</v>
      </c>
      <c r="Q135">
        <f>--($A135=IF('الداشبورد'!$B$5="الكل",$A135,'الداشبورد'!$B$5))</f>
        <v/>
      </c>
      <c r="R135">
        <f>--($E135=IF('الداشبورد'!$B$6="الكل",$E135,'الداشبورد'!$B$6))</f>
        <v/>
      </c>
      <c r="S135">
        <f>--($K135=IF('الداشبورد'!$B$7="الكل",$K135,IF('الداشبورد'!$B$7="تصدير","Y","N")))</f>
        <v/>
      </c>
      <c r="T135">
        <f>--($J135=IF('الداشبورد'!$B$8="الكل",$J135,IF('الداشبورد'!$B$8="AL","A","C")))</f>
        <v/>
      </c>
      <c r="U135">
        <f>--($I135=IF('الداشبورد'!$B$9="الكل",$I135,IF('الداشبورد'!$B$9="بدون حالة","P",'الداشبورد'!$B$9)))</f>
        <v/>
      </c>
      <c r="V135">
        <f>--($D135=IF('الداشبورد'!$B$10="الكل",$D135,'الداشبورد'!$B$10))</f>
        <v/>
      </c>
      <c r="W135">
        <f>--($G135=IF('الداشبورد'!$B$11="الكل",$G135,'الداشبورد'!$B$11))</f>
        <v/>
      </c>
      <c r="X135">
        <f>Q135*R135*S135*T135*U135*V135*W135*--($C135&lt;&gt;"")</f>
        <v/>
      </c>
    </row>
    <row r="136">
      <c r="A136" s="15" t="n">
        <v>3</v>
      </c>
      <c r="B136" s="15" t="inlineStr">
        <is>
          <t>O184384</t>
        </is>
      </c>
      <c r="C136" s="15" t="inlineStr">
        <is>
          <t>1200/26/02</t>
        </is>
      </c>
      <c r="D136" s="15" t="inlineStr">
        <is>
          <t>INSELL</t>
        </is>
      </c>
      <c r="E136" s="15" t="inlineStr">
        <is>
          <t>MV</t>
        </is>
      </c>
      <c r="F136" s="15" t="inlineStr">
        <is>
          <t>12/20 KV 1X120/50</t>
        </is>
      </c>
      <c r="G136" s="15" t="inlineStr">
        <is>
          <t>EX06</t>
        </is>
      </c>
      <c r="H136" s="15" t="inlineStr">
        <is>
          <t>Wooden Drums</t>
        </is>
      </c>
      <c r="I136" s="15" t="inlineStr">
        <is>
          <t>OK</t>
        </is>
      </c>
      <c r="J136" s="15" t="inlineStr">
        <is>
          <t>A</t>
        </is>
      </c>
      <c r="K136" s="15" t="inlineStr">
        <is>
          <t>Y</t>
        </is>
      </c>
      <c r="L136" s="15" t="n">
        <v>2047</v>
      </c>
      <c r="M136" s="16" t="n">
        <v>0.644805</v>
      </c>
      <c r="N136" s="16" t="n">
        <v>0.9272910000000001</v>
      </c>
      <c r="O136" s="16" t="n">
        <v>0</v>
      </c>
      <c r="P136" s="16" t="n">
        <v>1.572096</v>
      </c>
      <c r="Q136">
        <f>--($A136=IF('الداشبورد'!$B$5="الكل",$A136,'الداشبورد'!$B$5))</f>
        <v/>
      </c>
      <c r="R136">
        <f>--($E136=IF('الداشبورد'!$B$6="الكل",$E136,'الداشبورد'!$B$6))</f>
        <v/>
      </c>
      <c r="S136">
        <f>--($K136=IF('الداشبورد'!$B$7="الكل",$K136,IF('الداشبورد'!$B$7="تصدير","Y","N")))</f>
        <v/>
      </c>
      <c r="T136">
        <f>--($J136=IF('الداشبورد'!$B$8="الكل",$J136,IF('الداشبورد'!$B$8="AL","A","C")))</f>
        <v/>
      </c>
      <c r="U136">
        <f>--($I136=IF('الداشبورد'!$B$9="الكل",$I136,IF('الداشبورد'!$B$9="بدون حالة","P",'الداشبورد'!$B$9)))</f>
        <v/>
      </c>
      <c r="V136">
        <f>--($D136=IF('الداشبورد'!$B$10="الكل",$D136,'الداشبورد'!$B$10))</f>
        <v/>
      </c>
      <c r="W136">
        <f>--($G136=IF('الداشبورد'!$B$11="الكل",$G136,'الداشبورد'!$B$11))</f>
        <v/>
      </c>
      <c r="X136">
        <f>Q136*R136*S136*T136*U136*V136*W136*--($C136&lt;&gt;"")</f>
        <v/>
      </c>
    </row>
    <row r="137">
      <c r="A137" s="15" t="n">
        <v>3</v>
      </c>
      <c r="B137" s="15" t="inlineStr">
        <is>
          <t>N184370</t>
        </is>
      </c>
      <c r="C137" s="15" t="inlineStr">
        <is>
          <t>1385/26/11</t>
        </is>
      </c>
      <c r="D137" s="15" t="inlineStr">
        <is>
          <t>الشركة العربية للصناعة والتجارة الدولية</t>
        </is>
      </c>
      <c r="E137" s="15" t="inlineStr">
        <is>
          <t>LV</t>
        </is>
      </c>
      <c r="F137" s="15" t="inlineStr">
        <is>
          <t>0.6/1 KV 4*25</t>
        </is>
      </c>
      <c r="G137" s="15" t="inlineStr">
        <is>
          <t>EX04</t>
        </is>
      </c>
      <c r="H137" s="15" t="inlineStr">
        <is>
          <t>Wooden Drums</t>
        </is>
      </c>
      <c r="I137" s="15" t="inlineStr">
        <is>
          <t>OK</t>
        </is>
      </c>
      <c r="J137" s="15" t="inlineStr">
        <is>
          <t>A</t>
        </is>
      </c>
      <c r="K137" s="15" t="inlineStr">
        <is>
          <t>N</t>
        </is>
      </c>
      <c r="L137" s="15" t="n">
        <v>2050</v>
      </c>
      <c r="M137" s="16" t="n">
        <v>0.5288999999999999</v>
      </c>
      <c r="N137" s="16" t="n">
        <v>0</v>
      </c>
      <c r="O137" s="16" t="n">
        <v>0</v>
      </c>
      <c r="P137" s="16" t="n">
        <v>0.5288999999999999</v>
      </c>
      <c r="Q137">
        <f>--($A137=IF('الداشبورد'!$B$5="الكل",$A137,'الداشبورد'!$B$5))</f>
        <v/>
      </c>
      <c r="R137">
        <f>--($E137=IF('الداشبورد'!$B$6="الكل",$E137,'الداشبورد'!$B$6))</f>
        <v/>
      </c>
      <c r="S137">
        <f>--($K137=IF('الداشبورد'!$B$7="الكل",$K137,IF('الداشبورد'!$B$7="تصدير","Y","N")))</f>
        <v/>
      </c>
      <c r="T137">
        <f>--($J137=IF('الداشبورد'!$B$8="الكل",$J137,IF('الداشبورد'!$B$8="AL","A","C")))</f>
        <v/>
      </c>
      <c r="U137">
        <f>--($I137=IF('الداشبورد'!$B$9="الكل",$I137,IF('الداشبورد'!$B$9="بدون حالة","P",'الداشبورد'!$B$9)))</f>
        <v/>
      </c>
      <c r="V137">
        <f>--($D137=IF('الداشبورد'!$B$10="الكل",$D137,'الداشبورد'!$B$10))</f>
        <v/>
      </c>
      <c r="W137">
        <f>--($G137=IF('الداشبورد'!$B$11="الكل",$G137,'الداشبورد'!$B$11))</f>
        <v/>
      </c>
      <c r="X137">
        <f>Q137*R137*S137*T137*U137*V137*W137*--($C137&lt;&gt;"")</f>
        <v/>
      </c>
    </row>
    <row r="138">
      <c r="A138" s="15" t="n">
        <v>3</v>
      </c>
      <c r="B138" s="15" t="inlineStr">
        <is>
          <t>N184371</t>
        </is>
      </c>
      <c r="C138" s="15" t="inlineStr">
        <is>
          <t>1385/26/11</t>
        </is>
      </c>
      <c r="D138" s="15" t="inlineStr">
        <is>
          <t>الشركة العربية للصناعة والتجارة الدولية</t>
        </is>
      </c>
      <c r="E138" s="15" t="inlineStr">
        <is>
          <t>LV</t>
        </is>
      </c>
      <c r="F138" s="15" t="inlineStr">
        <is>
          <t>0.6/1 KV 4*25</t>
        </is>
      </c>
      <c r="G138" s="15" t="inlineStr">
        <is>
          <t>EX04</t>
        </is>
      </c>
      <c r="H138" s="15" t="inlineStr">
        <is>
          <t>Wooden Drums</t>
        </is>
      </c>
      <c r="I138" s="15" t="inlineStr">
        <is>
          <t>OK</t>
        </is>
      </c>
      <c r="J138" s="15" t="inlineStr">
        <is>
          <t>A</t>
        </is>
      </c>
      <c r="K138" s="15" t="inlineStr">
        <is>
          <t>N</t>
        </is>
      </c>
      <c r="L138" s="15" t="n">
        <v>1998</v>
      </c>
      <c r="M138" s="16" t="n">
        <v>0.5154840000000001</v>
      </c>
      <c r="N138" s="16" t="n">
        <v>0</v>
      </c>
      <c r="O138" s="16" t="n">
        <v>0</v>
      </c>
      <c r="P138" s="16" t="n">
        <v>0.5154840000000001</v>
      </c>
      <c r="Q138">
        <f>--($A138=IF('الداشبورد'!$B$5="الكل",$A138,'الداشبورد'!$B$5))</f>
        <v/>
      </c>
      <c r="R138">
        <f>--($E138=IF('الداشبورد'!$B$6="الكل",$E138,'الداشبورد'!$B$6))</f>
        <v/>
      </c>
      <c r="S138">
        <f>--($K138=IF('الداشبورد'!$B$7="الكل",$K138,IF('الداشبورد'!$B$7="تصدير","Y","N")))</f>
        <v/>
      </c>
      <c r="T138">
        <f>--($J138=IF('الداشبورد'!$B$8="الكل",$J138,IF('الداشبورد'!$B$8="AL","A","C")))</f>
        <v/>
      </c>
      <c r="U138">
        <f>--($I138=IF('الداشبورد'!$B$9="الكل",$I138,IF('الداشبورد'!$B$9="بدون حالة","P",'الداشبورد'!$B$9)))</f>
        <v/>
      </c>
      <c r="V138">
        <f>--($D138=IF('الداشبورد'!$B$10="الكل",$D138,'الداشبورد'!$B$10))</f>
        <v/>
      </c>
      <c r="W138">
        <f>--($G138=IF('الداشبورد'!$B$11="الكل",$G138,'الداشبورد'!$B$11))</f>
        <v/>
      </c>
      <c r="X138">
        <f>Q138*R138*S138*T138*U138*V138*W138*--($C138&lt;&gt;"")</f>
        <v/>
      </c>
    </row>
    <row r="139">
      <c r="A139" s="15" t="n">
        <v>3</v>
      </c>
      <c r="B139" s="15" t="inlineStr">
        <is>
          <t>P184376</t>
        </is>
      </c>
      <c r="C139" s="15" t="inlineStr">
        <is>
          <t>1385/26/11</t>
        </is>
      </c>
      <c r="D139" s="15" t="inlineStr">
        <is>
          <t>الشركة العربية للصناعة والتجارة الدولية</t>
        </is>
      </c>
      <c r="E139" s="15" t="inlineStr">
        <is>
          <t>LV</t>
        </is>
      </c>
      <c r="F139" s="15" t="inlineStr">
        <is>
          <t>0.6/1 KV 4*25</t>
        </is>
      </c>
      <c r="G139" s="15" t="inlineStr">
        <is>
          <t>EX04</t>
        </is>
      </c>
      <c r="H139" s="15" t="inlineStr">
        <is>
          <t>Wooden Drums</t>
        </is>
      </c>
      <c r="I139" s="15" t="inlineStr">
        <is>
          <t>OK</t>
        </is>
      </c>
      <c r="J139" s="15" t="inlineStr">
        <is>
          <t>A</t>
        </is>
      </c>
      <c r="K139" s="15" t="inlineStr">
        <is>
          <t>N</t>
        </is>
      </c>
      <c r="L139" s="15" t="n">
        <v>2020</v>
      </c>
      <c r="M139" s="16" t="n">
        <v>0.52116</v>
      </c>
      <c r="N139" s="16" t="n">
        <v>0</v>
      </c>
      <c r="O139" s="16" t="n">
        <v>0</v>
      </c>
      <c r="P139" s="16" t="n">
        <v>0.52116</v>
      </c>
      <c r="Q139">
        <f>--($A139=IF('الداشبورد'!$B$5="الكل",$A139,'الداشبورد'!$B$5))</f>
        <v/>
      </c>
      <c r="R139">
        <f>--($E139=IF('الداشبورد'!$B$6="الكل",$E139,'الداشبورد'!$B$6))</f>
        <v/>
      </c>
      <c r="S139">
        <f>--($K139=IF('الداشبورد'!$B$7="الكل",$K139,IF('الداشبورد'!$B$7="تصدير","Y","N")))</f>
        <v/>
      </c>
      <c r="T139">
        <f>--($J139=IF('الداشبورد'!$B$8="الكل",$J139,IF('الداشبورد'!$B$8="AL","A","C")))</f>
        <v/>
      </c>
      <c r="U139">
        <f>--($I139=IF('الداشبورد'!$B$9="الكل",$I139,IF('الداشبورد'!$B$9="بدون حالة","P",'الداشبورد'!$B$9)))</f>
        <v/>
      </c>
      <c r="V139">
        <f>--($D139=IF('الداشبورد'!$B$10="الكل",$D139,'الداشبورد'!$B$10))</f>
        <v/>
      </c>
      <c r="W139">
        <f>--($G139=IF('الداشبورد'!$B$11="الكل",$G139,'الداشبورد'!$B$11))</f>
        <v/>
      </c>
      <c r="X139">
        <f>Q139*R139*S139*T139*U139*V139*W139*--($C139&lt;&gt;"")</f>
        <v/>
      </c>
    </row>
    <row r="140">
      <c r="A140" s="15" t="n">
        <v>3</v>
      </c>
      <c r="B140" s="15" t="inlineStr">
        <is>
          <t>N184407</t>
        </is>
      </c>
      <c r="C140" s="15" t="inlineStr">
        <is>
          <t>1403/26/01</t>
        </is>
      </c>
      <c r="D140" s="15" t="inlineStr">
        <is>
          <t>Eland Cables</t>
        </is>
      </c>
      <c r="E140" s="15" t="inlineStr">
        <is>
          <t>MV</t>
        </is>
      </c>
      <c r="F140" s="15" t="inlineStr">
        <is>
          <t>19/33 KV 1X300</t>
        </is>
      </c>
      <c r="G140" s="15" t="inlineStr">
        <is>
          <t>EX09</t>
        </is>
      </c>
      <c r="H140" s="15" t="inlineStr">
        <is>
          <t>Wooden Drums</t>
        </is>
      </c>
      <c r="I140" s="15" t="inlineStr">
        <is>
          <t>OK</t>
        </is>
      </c>
      <c r="J140" s="15" t="inlineStr">
        <is>
          <t>C</t>
        </is>
      </c>
      <c r="K140" s="15" t="inlineStr">
        <is>
          <t>Y</t>
        </is>
      </c>
      <c r="L140" s="15" t="n">
        <v>764</v>
      </c>
      <c r="M140" s="16" t="n">
        <v>1.98258</v>
      </c>
      <c r="N140" s="16" t="n">
        <v>0</v>
      </c>
      <c r="O140" s="16" t="n">
        <v>0.448468</v>
      </c>
      <c r="P140" s="16" t="n">
        <v>2.431048</v>
      </c>
      <c r="Q140">
        <f>--($A140=IF('الداشبورد'!$B$5="الكل",$A140,'الداشبورد'!$B$5))</f>
        <v/>
      </c>
      <c r="R140">
        <f>--($E140=IF('الداشبورد'!$B$6="الكل",$E140,'الداشبورد'!$B$6))</f>
        <v/>
      </c>
      <c r="S140">
        <f>--($K140=IF('الداشبورد'!$B$7="الكل",$K140,IF('الداشبورد'!$B$7="تصدير","Y","N")))</f>
        <v/>
      </c>
      <c r="T140">
        <f>--($J140=IF('الداشبورد'!$B$8="الكل",$J140,IF('الداشبورد'!$B$8="AL","A","C")))</f>
        <v/>
      </c>
      <c r="U140">
        <f>--($I140=IF('الداشبورد'!$B$9="الكل",$I140,IF('الداشبورد'!$B$9="بدون حالة","P",'الداشبورد'!$B$9)))</f>
        <v/>
      </c>
      <c r="V140">
        <f>--($D140=IF('الداشبورد'!$B$10="الكل",$D140,'الداشبورد'!$B$10))</f>
        <v/>
      </c>
      <c r="W140">
        <f>--($G140=IF('الداشبورد'!$B$11="الكل",$G140,'الداشبورد'!$B$11))</f>
        <v/>
      </c>
      <c r="X140">
        <f>Q140*R140*S140*T140*U140*V140*W140*--($C140&lt;&gt;"")</f>
        <v/>
      </c>
    </row>
    <row r="141">
      <c r="A141" s="15" t="n">
        <v>3</v>
      </c>
      <c r="B141" s="15" t="inlineStr">
        <is>
          <t>A183804</t>
        </is>
      </c>
      <c r="C141" s="15" t="inlineStr">
        <is>
          <t>1550/26/22</t>
        </is>
      </c>
      <c r="D141" s="15" t="inlineStr">
        <is>
          <t>Master Power Systems  Ltd</t>
        </is>
      </c>
      <c r="E141" s="15" t="inlineStr">
        <is>
          <t>LV</t>
        </is>
      </c>
      <c r="F141" s="15" t="inlineStr">
        <is>
          <t>450/750 V 1X70</t>
        </is>
      </c>
      <c r="G141" s="15" t="inlineStr">
        <is>
          <t>EX01</t>
        </is>
      </c>
      <c r="H141" s="15" t="inlineStr">
        <is>
          <t>Wooden Drums</t>
        </is>
      </c>
      <c r="I141" s="15" t="inlineStr">
        <is>
          <t>OK</t>
        </is>
      </c>
      <c r="J141" s="15" t="inlineStr">
        <is>
          <t>A</t>
        </is>
      </c>
      <c r="K141" s="15" t="inlineStr">
        <is>
          <t>Y</t>
        </is>
      </c>
      <c r="L141" s="15" t="n">
        <v>147</v>
      </c>
      <c r="M141" s="16" t="n">
        <v>0.025578</v>
      </c>
      <c r="N141" s="16" t="n">
        <v>0</v>
      </c>
      <c r="O141" s="16" t="n">
        <v>0</v>
      </c>
      <c r="P141" s="16" t="n">
        <v>0.025578</v>
      </c>
      <c r="Q141">
        <f>--($A141=IF('الداشبورد'!$B$5="الكل",$A141,'الداشبورد'!$B$5))</f>
        <v/>
      </c>
      <c r="R141">
        <f>--($E141=IF('الداشبورد'!$B$6="الكل",$E141,'الداشبورد'!$B$6))</f>
        <v/>
      </c>
      <c r="S141">
        <f>--($K141=IF('الداشبورد'!$B$7="الكل",$K141,IF('الداشبورد'!$B$7="تصدير","Y","N")))</f>
        <v/>
      </c>
      <c r="T141">
        <f>--($J141=IF('الداشبورد'!$B$8="الكل",$J141,IF('الداشبورد'!$B$8="AL","A","C")))</f>
        <v/>
      </c>
      <c r="U141">
        <f>--($I141=IF('الداشبورد'!$B$9="الكل",$I141,IF('الداشبورد'!$B$9="بدون حالة","P",'الداشبورد'!$B$9)))</f>
        <v/>
      </c>
      <c r="V141">
        <f>--($D141=IF('الداشبورد'!$B$10="الكل",$D141,'الداشبورد'!$B$10))</f>
        <v/>
      </c>
      <c r="W141">
        <f>--($G141=IF('الداشبورد'!$B$11="الكل",$G141,'الداشبورد'!$B$11))</f>
        <v/>
      </c>
      <c r="X141">
        <f>Q141*R141*S141*T141*U141*V141*W141*--($C141&lt;&gt;"")</f>
        <v/>
      </c>
    </row>
    <row r="142">
      <c r="A142" s="15" t="n">
        <v>3</v>
      </c>
      <c r="B142" s="15" t="inlineStr">
        <is>
          <t>F184348</t>
        </is>
      </c>
      <c r="C142" s="15" t="inlineStr">
        <is>
          <t>1478/26/28</t>
        </is>
      </c>
      <c r="D142" s="15" t="inlineStr">
        <is>
          <t>Energya Power &amp; Telecom Solutions</t>
        </is>
      </c>
      <c r="E142" s="15" t="inlineStr">
        <is>
          <t>LV</t>
        </is>
      </c>
      <c r="F142" s="15" t="inlineStr">
        <is>
          <t>0.6/1 KV 1X50</t>
        </is>
      </c>
      <c r="G142" s="15" t="inlineStr">
        <is>
          <t>EX01</t>
        </is>
      </c>
      <c r="H142" s="15" t="inlineStr">
        <is>
          <t>Wooden Drums</t>
        </is>
      </c>
      <c r="I142" s="15" t="inlineStr">
        <is>
          <t>OK</t>
        </is>
      </c>
      <c r="J142" s="15" t="inlineStr">
        <is>
          <t>C</t>
        </is>
      </c>
      <c r="K142" s="15" t="inlineStr">
        <is>
          <t>N</t>
        </is>
      </c>
      <c r="L142" s="15" t="n">
        <v>72</v>
      </c>
      <c r="M142" s="16" t="n">
        <v>0.02916000000000001</v>
      </c>
      <c r="N142" s="16" t="n">
        <v>0</v>
      </c>
      <c r="O142" s="16" t="n">
        <v>0</v>
      </c>
      <c r="P142" s="16" t="n">
        <v>0.02916000000000001</v>
      </c>
      <c r="Q142">
        <f>--($A142=IF('الداشبورد'!$B$5="الكل",$A142,'الداشبورد'!$B$5))</f>
        <v/>
      </c>
      <c r="R142">
        <f>--($E142=IF('الداشبورد'!$B$6="الكل",$E142,'الداشبورد'!$B$6))</f>
        <v/>
      </c>
      <c r="S142">
        <f>--($K142=IF('الداشبورد'!$B$7="الكل",$K142,IF('الداشبورد'!$B$7="تصدير","Y","N")))</f>
        <v/>
      </c>
      <c r="T142">
        <f>--($J142=IF('الداشبورد'!$B$8="الكل",$J142,IF('الداشبورد'!$B$8="AL","A","C")))</f>
        <v/>
      </c>
      <c r="U142">
        <f>--($I142=IF('الداشبورد'!$B$9="الكل",$I142,IF('الداشبورد'!$B$9="بدون حالة","P",'الداشبورد'!$B$9)))</f>
        <v/>
      </c>
      <c r="V142">
        <f>--($D142=IF('الداشبورد'!$B$10="الكل",$D142,'الداشبورد'!$B$10))</f>
        <v/>
      </c>
      <c r="W142">
        <f>--($G142=IF('الداشبورد'!$B$11="الكل",$G142,'الداشبورد'!$B$11))</f>
        <v/>
      </c>
      <c r="X142">
        <f>Q142*R142*S142*T142*U142*V142*W142*--($C142&lt;&gt;"")</f>
        <v/>
      </c>
    </row>
    <row r="143">
      <c r="A143" s="15" t="n">
        <v>3</v>
      </c>
      <c r="B143" s="15" t="inlineStr">
        <is>
          <t>A184354</t>
        </is>
      </c>
      <c r="C143" s="15" t="inlineStr">
        <is>
          <t>1624/26/11</t>
        </is>
      </c>
      <c r="D143" s="15" t="inlineStr">
        <is>
          <t>شركة انوار المدينة لاستيراد المواد الكهربائية</t>
        </is>
      </c>
      <c r="E143" s="15" t="inlineStr">
        <is>
          <t>LV</t>
        </is>
      </c>
      <c r="F143" s="15" t="inlineStr">
        <is>
          <t>0.6/1 KV 1X50</t>
        </is>
      </c>
      <c r="G143" s="15" t="inlineStr">
        <is>
          <t>EX01</t>
        </is>
      </c>
      <c r="H143" s="15" t="inlineStr">
        <is>
          <t>Wooden Drums</t>
        </is>
      </c>
      <c r="I143" s="15" t="inlineStr">
        <is>
          <t>OK</t>
        </is>
      </c>
      <c r="J143" s="15" t="inlineStr">
        <is>
          <t>C</t>
        </is>
      </c>
      <c r="K143" s="15" t="inlineStr">
        <is>
          <t>Y</t>
        </is>
      </c>
      <c r="L143" s="15" t="n">
        <v>210</v>
      </c>
      <c r="M143" s="16" t="n">
        <v>0.08505000000000001</v>
      </c>
      <c r="N143" s="16" t="n">
        <v>0</v>
      </c>
      <c r="O143" s="16" t="n">
        <v>0</v>
      </c>
      <c r="P143" s="16" t="n">
        <v>0.08505000000000001</v>
      </c>
      <c r="Q143">
        <f>--($A143=IF('الداشبورد'!$B$5="الكل",$A143,'الداشبورد'!$B$5))</f>
        <v/>
      </c>
      <c r="R143">
        <f>--($E143=IF('الداشبورد'!$B$6="الكل",$E143,'الداشبورد'!$B$6))</f>
        <v/>
      </c>
      <c r="S143">
        <f>--($K143=IF('الداشبورد'!$B$7="الكل",$K143,IF('الداشبورد'!$B$7="تصدير","Y","N")))</f>
        <v/>
      </c>
      <c r="T143">
        <f>--($J143=IF('الداشبورد'!$B$8="الكل",$J143,IF('الداشبورد'!$B$8="AL","A","C")))</f>
        <v/>
      </c>
      <c r="U143">
        <f>--($I143=IF('الداشبورد'!$B$9="الكل",$I143,IF('الداشبورد'!$B$9="بدون حالة","P",'الداشبورد'!$B$9)))</f>
        <v/>
      </c>
      <c r="V143">
        <f>--($D143=IF('الداشبورد'!$B$10="الكل",$D143,'الداشبورد'!$B$10))</f>
        <v/>
      </c>
      <c r="W143">
        <f>--($G143=IF('الداشبورد'!$B$11="الكل",$G143,'الداشبورد'!$B$11))</f>
        <v/>
      </c>
      <c r="X143">
        <f>Q143*R143*S143*T143*U143*V143*W143*--($C143&lt;&gt;"")</f>
        <v/>
      </c>
    </row>
    <row r="144">
      <c r="A144" s="15" t="n">
        <v>3</v>
      </c>
      <c r="B144" s="15" t="inlineStr">
        <is>
          <t>A183805</t>
        </is>
      </c>
      <c r="C144" s="15" t="inlineStr">
        <is>
          <t>1550/26/20</t>
        </is>
      </c>
      <c r="D144" s="15" t="inlineStr">
        <is>
          <t>Master Power Systems  Ltd</t>
        </is>
      </c>
      <c r="E144" s="15" t="inlineStr">
        <is>
          <t>LV</t>
        </is>
      </c>
      <c r="F144" s="15" t="inlineStr">
        <is>
          <t>450/750 V 1X70</t>
        </is>
      </c>
      <c r="G144" s="15" t="inlineStr">
        <is>
          <t>EX01</t>
        </is>
      </c>
      <c r="H144" s="15" t="inlineStr">
        <is>
          <t>Wooden Drums</t>
        </is>
      </c>
      <c r="I144" s="15" t="inlineStr">
        <is>
          <t>OK</t>
        </is>
      </c>
      <c r="J144" s="15" t="inlineStr">
        <is>
          <t>A</t>
        </is>
      </c>
      <c r="K144" s="15" t="inlineStr">
        <is>
          <t>Y</t>
        </is>
      </c>
      <c r="L144" s="15" t="n">
        <v>147</v>
      </c>
      <c r="M144" s="16" t="n">
        <v>0.025578</v>
      </c>
      <c r="N144" s="16" t="n">
        <v>0</v>
      </c>
      <c r="O144" s="16" t="n">
        <v>0</v>
      </c>
      <c r="P144" s="16" t="n">
        <v>0.025578</v>
      </c>
      <c r="Q144">
        <f>--($A144=IF('الداشبورد'!$B$5="الكل",$A144,'الداشبورد'!$B$5))</f>
        <v/>
      </c>
      <c r="R144">
        <f>--($E144=IF('الداشبورد'!$B$6="الكل",$E144,'الداشبورد'!$B$6))</f>
        <v/>
      </c>
      <c r="S144">
        <f>--($K144=IF('الداشبورد'!$B$7="الكل",$K144,IF('الداشبورد'!$B$7="تصدير","Y","N")))</f>
        <v/>
      </c>
      <c r="T144">
        <f>--($J144=IF('الداشبورد'!$B$8="الكل",$J144,IF('الداشبورد'!$B$8="AL","A","C")))</f>
        <v/>
      </c>
      <c r="U144">
        <f>--($I144=IF('الداشبورد'!$B$9="الكل",$I144,IF('الداشبورد'!$B$9="بدون حالة","P",'الداشبورد'!$B$9)))</f>
        <v/>
      </c>
      <c r="V144">
        <f>--($D144=IF('الداشبورد'!$B$10="الكل",$D144,'الداشبورد'!$B$10))</f>
        <v/>
      </c>
      <c r="W144">
        <f>--($G144=IF('الداشبورد'!$B$11="الكل",$G144,'الداشبورد'!$B$11))</f>
        <v/>
      </c>
      <c r="X144">
        <f>Q144*R144*S144*T144*U144*V144*W144*--($C144&lt;&gt;"")</f>
        <v/>
      </c>
    </row>
    <row r="145">
      <c r="A145" s="15" t="n">
        <v>3</v>
      </c>
      <c r="B145" s="15" t="inlineStr">
        <is>
          <t>Y183109</t>
        </is>
      </c>
      <c r="C145" s="15" t="inlineStr">
        <is>
          <t>1447/26/03</t>
        </is>
      </c>
      <c r="D145" s="15" t="inlineStr">
        <is>
          <t>Faber Kabel</t>
        </is>
      </c>
      <c r="E145" s="15" t="inlineStr">
        <is>
          <t>CC</t>
        </is>
      </c>
      <c r="F145" s="15" t="inlineStr">
        <is>
          <t>0.6/1KV 3*1.5/1.5</t>
        </is>
      </c>
      <c r="G145" s="15" t="inlineStr">
        <is>
          <t>EX13</t>
        </is>
      </c>
      <c r="H145" s="15" t="inlineStr">
        <is>
          <t>Wooden Drums</t>
        </is>
      </c>
      <c r="I145" s="15" t="inlineStr">
        <is>
          <t>P</t>
        </is>
      </c>
      <c r="J145" s="15" t="inlineStr">
        <is>
          <t>C</t>
        </is>
      </c>
      <c r="K145" s="15" t="inlineStr">
        <is>
          <t>Y</t>
        </is>
      </c>
      <c r="L145" s="15" t="n">
        <v>400</v>
      </c>
      <c r="M145" s="16" t="n">
        <v>0.0156</v>
      </c>
      <c r="N145" s="16" t="n">
        <v>0.0068</v>
      </c>
      <c r="O145" s="16" t="n">
        <v>0</v>
      </c>
      <c r="P145" s="16" t="n">
        <v>0.0224</v>
      </c>
      <c r="Q145">
        <f>--($A145=IF('الداشبورد'!$B$5="الكل",$A145,'الداشبورد'!$B$5))</f>
        <v/>
      </c>
      <c r="R145">
        <f>--($E145=IF('الداشبورد'!$B$6="الكل",$E145,'الداشبورد'!$B$6))</f>
        <v/>
      </c>
      <c r="S145">
        <f>--($K145=IF('الداشبورد'!$B$7="الكل",$K145,IF('الداشبورد'!$B$7="تصدير","Y","N")))</f>
        <v/>
      </c>
      <c r="T145">
        <f>--($J145=IF('الداشبورد'!$B$8="الكل",$J145,IF('الداشبورد'!$B$8="AL","A","C")))</f>
        <v/>
      </c>
      <c r="U145">
        <f>--($I145=IF('الداشبورد'!$B$9="الكل",$I145,IF('الداشبورد'!$B$9="بدون حالة","P",'الداشبورد'!$B$9)))</f>
        <v/>
      </c>
      <c r="V145">
        <f>--($D145=IF('الداشبورد'!$B$10="الكل",$D145,'الداشبورد'!$B$10))</f>
        <v/>
      </c>
      <c r="W145">
        <f>--($G145=IF('الداشبورد'!$B$11="الكل",$G145,'الداشبورد'!$B$11))</f>
        <v/>
      </c>
      <c r="X145">
        <f>Q145*R145*S145*T145*U145*V145*W145*--($C145&lt;&gt;"")</f>
        <v/>
      </c>
    </row>
    <row r="146">
      <c r="A146" s="15" t="n">
        <v>3</v>
      </c>
      <c r="B146" s="15" t="inlineStr">
        <is>
          <t>E184414</t>
        </is>
      </c>
      <c r="C146" s="15" t="inlineStr">
        <is>
          <t>1549/26/01</t>
        </is>
      </c>
      <c r="D146" s="15" t="inlineStr">
        <is>
          <t>Next Technologies Limited</t>
        </is>
      </c>
      <c r="E146" s="15" t="inlineStr">
        <is>
          <t>LV</t>
        </is>
      </c>
      <c r="F146" s="15" t="inlineStr">
        <is>
          <t>0.6/1 KV 4X16</t>
        </is>
      </c>
      <c r="G146" s="15" t="inlineStr">
        <is>
          <t>EX14</t>
        </is>
      </c>
      <c r="H146" s="15" t="inlineStr">
        <is>
          <t>Wooden Drums</t>
        </is>
      </c>
      <c r="I146" s="15" t="inlineStr">
        <is>
          <t>OK</t>
        </is>
      </c>
      <c r="J146" s="15" t="inlineStr">
        <is>
          <t>C</t>
        </is>
      </c>
      <c r="K146" s="15" t="inlineStr">
        <is>
          <t>Y</t>
        </is>
      </c>
      <c r="L146" s="15" t="n">
        <v>141</v>
      </c>
      <c r="M146" s="16" t="n">
        <v>0.076845</v>
      </c>
      <c r="N146" s="16" t="n">
        <v>0</v>
      </c>
      <c r="O146" s="16" t="n">
        <v>0</v>
      </c>
      <c r="P146" s="16" t="n">
        <v>0.076845</v>
      </c>
      <c r="Q146">
        <f>--($A146=IF('الداشبورد'!$B$5="الكل",$A146,'الداشبورد'!$B$5))</f>
        <v/>
      </c>
      <c r="R146">
        <f>--($E146=IF('الداشبورد'!$B$6="الكل",$E146,'الداشبورد'!$B$6))</f>
        <v/>
      </c>
      <c r="S146">
        <f>--($K146=IF('الداشبورد'!$B$7="الكل",$K146,IF('الداشبورد'!$B$7="تصدير","Y","N")))</f>
        <v/>
      </c>
      <c r="T146">
        <f>--($J146=IF('الداشبورد'!$B$8="الكل",$J146,IF('الداشبورد'!$B$8="AL","A","C")))</f>
        <v/>
      </c>
      <c r="U146">
        <f>--($I146=IF('الداشبورد'!$B$9="الكل",$I146,IF('الداشبورد'!$B$9="بدون حالة","P",'الداشبورد'!$B$9)))</f>
        <v/>
      </c>
      <c r="V146">
        <f>--($D146=IF('الداشبورد'!$B$10="الكل",$D146,'الداشبورد'!$B$10))</f>
        <v/>
      </c>
      <c r="W146">
        <f>--($G146=IF('الداشبورد'!$B$11="الكل",$G146,'الداشبورد'!$B$11))</f>
        <v/>
      </c>
      <c r="X146">
        <f>Q146*R146*S146*T146*U146*V146*W146*--($C146&lt;&gt;"")</f>
        <v/>
      </c>
    </row>
    <row r="147">
      <c r="A147" s="15" t="n">
        <v>3</v>
      </c>
      <c r="B147" s="15" t="inlineStr">
        <is>
          <t>V184401</t>
        </is>
      </c>
      <c r="C147" s="15" t="inlineStr">
        <is>
          <t>1397/26/01</t>
        </is>
      </c>
      <c r="D147" s="15" t="inlineStr">
        <is>
          <t>اتحاد المقاولين للاعمال الكهروميكانيكا</t>
        </is>
      </c>
      <c r="E147" s="15" t="inlineStr">
        <is>
          <t>MV</t>
        </is>
      </c>
      <c r="F147" s="15" t="inlineStr">
        <is>
          <t>18/30 KV 3X240</t>
        </is>
      </c>
      <c r="G147" s="15" t="inlineStr">
        <is>
          <t>EX07</t>
        </is>
      </c>
      <c r="H147" s="15" t="inlineStr">
        <is>
          <t>Wooden Drums</t>
        </is>
      </c>
      <c r="I147" s="15" t="inlineStr">
        <is>
          <t>OK</t>
        </is>
      </c>
      <c r="J147" s="15" t="inlineStr">
        <is>
          <t>A</t>
        </is>
      </c>
      <c r="K147" s="15" t="inlineStr">
        <is>
          <t>N</t>
        </is>
      </c>
      <c r="L147" s="15" t="n">
        <v>489</v>
      </c>
      <c r="M147" s="16" t="n">
        <v>0.9193199999999999</v>
      </c>
      <c r="N147" s="16" t="n">
        <v>0</v>
      </c>
      <c r="O147" s="16" t="n">
        <v>0</v>
      </c>
      <c r="P147" s="16" t="n">
        <v>0.9193199999999999</v>
      </c>
      <c r="Q147">
        <f>--($A147=IF('الداشبورد'!$B$5="الكل",$A147,'الداشبورد'!$B$5))</f>
        <v/>
      </c>
      <c r="R147">
        <f>--($E147=IF('الداشبورد'!$B$6="الكل",$E147,'الداشبورد'!$B$6))</f>
        <v/>
      </c>
      <c r="S147">
        <f>--($K147=IF('الداشبورد'!$B$7="الكل",$K147,IF('الداشبورد'!$B$7="تصدير","Y","N")))</f>
        <v/>
      </c>
      <c r="T147">
        <f>--($J147=IF('الداشبورد'!$B$8="الكل",$J147,IF('الداشبورد'!$B$8="AL","A","C")))</f>
        <v/>
      </c>
      <c r="U147">
        <f>--($I147=IF('الداشبورد'!$B$9="الكل",$I147,IF('الداشبورد'!$B$9="بدون حالة","P",'الداشبورد'!$B$9)))</f>
        <v/>
      </c>
      <c r="V147">
        <f>--($D147=IF('الداشبورد'!$B$10="الكل",$D147,'الداشبورد'!$B$10))</f>
        <v/>
      </c>
      <c r="W147">
        <f>--($G147=IF('الداشبورد'!$B$11="الكل",$G147,'الداشبورد'!$B$11))</f>
        <v/>
      </c>
      <c r="X147">
        <f>Q147*R147*S147*T147*U147*V147*W147*--($C147&lt;&gt;"")</f>
        <v/>
      </c>
    </row>
    <row r="148">
      <c r="A148" s="15" t="n">
        <v>3</v>
      </c>
      <c r="B148" s="15" t="inlineStr">
        <is>
          <t>O184385</t>
        </is>
      </c>
      <c r="C148" s="15" t="inlineStr">
        <is>
          <t>1200/26/06</t>
        </is>
      </c>
      <c r="D148" s="15" t="inlineStr">
        <is>
          <t>INSELL</t>
        </is>
      </c>
      <c r="E148" s="15" t="inlineStr">
        <is>
          <t>MV</t>
        </is>
      </c>
      <c r="F148" s="15" t="inlineStr">
        <is>
          <t>12/20 KV 1X120/25</t>
        </is>
      </c>
      <c r="G148" s="15" t="inlineStr">
        <is>
          <t>EX06</t>
        </is>
      </c>
      <c r="H148" s="15" t="inlineStr">
        <is>
          <t>Wooden Drums</t>
        </is>
      </c>
      <c r="I148" s="15" t="inlineStr">
        <is>
          <t>OK</t>
        </is>
      </c>
      <c r="J148" s="15" t="inlineStr">
        <is>
          <t>A</t>
        </is>
      </c>
      <c r="K148" s="15" t="inlineStr">
        <is>
          <t>Y</t>
        </is>
      </c>
      <c r="L148" s="15" t="n">
        <v>1966</v>
      </c>
      <c r="M148" s="16" t="n">
        <v>0.61929</v>
      </c>
      <c r="N148" s="16" t="n">
        <v>0.45218</v>
      </c>
      <c r="O148" s="16" t="n">
        <v>0</v>
      </c>
      <c r="P148" s="16" t="n">
        <v>1.07147</v>
      </c>
      <c r="Q148">
        <f>--($A148=IF('الداشبورد'!$B$5="الكل",$A148,'الداشبورد'!$B$5))</f>
        <v/>
      </c>
      <c r="R148">
        <f>--($E148=IF('الداشبورد'!$B$6="الكل",$E148,'الداشبورد'!$B$6))</f>
        <v/>
      </c>
      <c r="S148">
        <f>--($K148=IF('الداشبورد'!$B$7="الكل",$K148,IF('الداشبورد'!$B$7="تصدير","Y","N")))</f>
        <v/>
      </c>
      <c r="T148">
        <f>--($J148=IF('الداشبورد'!$B$8="الكل",$J148,IF('الداشبورد'!$B$8="AL","A","C")))</f>
        <v/>
      </c>
      <c r="U148">
        <f>--($I148=IF('الداشبورد'!$B$9="الكل",$I148,IF('الداشبورد'!$B$9="بدون حالة","P",'الداشبورد'!$B$9)))</f>
        <v/>
      </c>
      <c r="V148">
        <f>--($D148=IF('الداشبورد'!$B$10="الكل",$D148,'الداشبورد'!$B$10))</f>
        <v/>
      </c>
      <c r="W148">
        <f>--($G148=IF('الداشبورد'!$B$11="الكل",$G148,'الداشبورد'!$B$11))</f>
        <v/>
      </c>
      <c r="X148">
        <f>Q148*R148*S148*T148*U148*V148*W148*--($C148&lt;&gt;"")</f>
        <v/>
      </c>
    </row>
    <row r="149">
      <c r="A149" s="15" t="n">
        <v>3</v>
      </c>
      <c r="B149" s="15" t="inlineStr">
        <is>
          <t>O184382</t>
        </is>
      </c>
      <c r="C149" s="15" t="inlineStr">
        <is>
          <t>1200/26/06</t>
        </is>
      </c>
      <c r="D149" s="15" t="inlineStr">
        <is>
          <t>INSELL</t>
        </is>
      </c>
      <c r="E149" s="15" t="inlineStr">
        <is>
          <t>MV</t>
        </is>
      </c>
      <c r="F149" s="15" t="inlineStr">
        <is>
          <t>12/20 KV 1X120/25</t>
        </is>
      </c>
      <c r="G149" s="15" t="inlineStr">
        <is>
          <t>EX06</t>
        </is>
      </c>
      <c r="H149" s="15" t="inlineStr">
        <is>
          <t>Wooden Drums</t>
        </is>
      </c>
      <c r="I149" s="15" t="inlineStr">
        <is>
          <t>OK</t>
        </is>
      </c>
      <c r="J149" s="15" t="inlineStr">
        <is>
          <t>A</t>
        </is>
      </c>
      <c r="K149" s="15" t="inlineStr">
        <is>
          <t>Y</t>
        </is>
      </c>
      <c r="L149" s="15" t="n">
        <v>2038</v>
      </c>
      <c r="M149" s="16" t="n">
        <v>0.64197</v>
      </c>
      <c r="N149" s="16" t="n">
        <v>0.46874</v>
      </c>
      <c r="O149" s="16" t="n">
        <v>0</v>
      </c>
      <c r="P149" s="16" t="n">
        <v>1.11071</v>
      </c>
      <c r="Q149">
        <f>--($A149=IF('الداشبورد'!$B$5="الكل",$A149,'الداشبورد'!$B$5))</f>
        <v/>
      </c>
      <c r="R149">
        <f>--($E149=IF('الداشبورد'!$B$6="الكل",$E149,'الداشبورد'!$B$6))</f>
        <v/>
      </c>
      <c r="S149">
        <f>--($K149=IF('الداشبورد'!$B$7="الكل",$K149,IF('الداشبورد'!$B$7="تصدير","Y","N")))</f>
        <v/>
      </c>
      <c r="T149">
        <f>--($J149=IF('الداشبورد'!$B$8="الكل",$J149,IF('الداشبورد'!$B$8="AL","A","C")))</f>
        <v/>
      </c>
      <c r="U149">
        <f>--($I149=IF('الداشبورد'!$B$9="الكل",$I149,IF('الداشبورد'!$B$9="بدون حالة","P",'الداشبورد'!$B$9)))</f>
        <v/>
      </c>
      <c r="V149">
        <f>--($D149=IF('الداشبورد'!$B$10="الكل",$D149,'الداشبورد'!$B$10))</f>
        <v/>
      </c>
      <c r="W149">
        <f>--($G149=IF('الداشبورد'!$B$11="الكل",$G149,'الداشبورد'!$B$11))</f>
        <v/>
      </c>
      <c r="X149">
        <f>Q149*R149*S149*T149*U149*V149*W149*--($C149&lt;&gt;"")</f>
        <v/>
      </c>
    </row>
    <row r="150">
      <c r="A150" s="15" t="n">
        <v>3</v>
      </c>
      <c r="B150" s="15" t="inlineStr">
        <is>
          <t>O184429</t>
        </is>
      </c>
      <c r="C150" s="15" t="inlineStr">
        <is>
          <t>1200/26/06</t>
        </is>
      </c>
      <c r="D150" s="15" t="inlineStr">
        <is>
          <t>INSELL</t>
        </is>
      </c>
      <c r="E150" s="15" t="inlineStr">
        <is>
          <t>MV</t>
        </is>
      </c>
      <c r="F150" s="15" t="inlineStr">
        <is>
          <t>12/20 KV 1X120/25</t>
        </is>
      </c>
      <c r="G150" s="15" t="inlineStr">
        <is>
          <t>EX06</t>
        </is>
      </c>
      <c r="H150" s="15" t="inlineStr">
        <is>
          <t>Wooden Drums</t>
        </is>
      </c>
      <c r="I150" s="15" t="inlineStr">
        <is>
          <t>OK</t>
        </is>
      </c>
      <c r="J150" s="15" t="inlineStr">
        <is>
          <t>A</t>
        </is>
      </c>
      <c r="K150" s="15" t="inlineStr">
        <is>
          <t>Y</t>
        </is>
      </c>
      <c r="L150" s="15" t="n">
        <v>2017</v>
      </c>
      <c r="M150" s="16" t="n">
        <v>0.635355</v>
      </c>
      <c r="N150" s="16" t="n">
        <v>0.46391</v>
      </c>
      <c r="O150" s="16" t="n">
        <v>0</v>
      </c>
      <c r="P150" s="16" t="n">
        <v>1.099265</v>
      </c>
      <c r="Q150">
        <f>--($A150=IF('الداشبورد'!$B$5="الكل",$A150,'الداشبورد'!$B$5))</f>
        <v/>
      </c>
      <c r="R150">
        <f>--($E150=IF('الداشبورد'!$B$6="الكل",$E150,'الداشبورد'!$B$6))</f>
        <v/>
      </c>
      <c r="S150">
        <f>--($K150=IF('الداشبورد'!$B$7="الكل",$K150,IF('الداشبورد'!$B$7="تصدير","Y","N")))</f>
        <v/>
      </c>
      <c r="T150">
        <f>--($J150=IF('الداشبورد'!$B$8="الكل",$J150,IF('الداشبورد'!$B$8="AL","A","C")))</f>
        <v/>
      </c>
      <c r="U150">
        <f>--($I150=IF('الداشبورد'!$B$9="الكل",$I150,IF('الداشبورد'!$B$9="بدون حالة","P",'الداشبورد'!$B$9)))</f>
        <v/>
      </c>
      <c r="V150">
        <f>--($D150=IF('الداشبورد'!$B$10="الكل",$D150,'الداشبورد'!$B$10))</f>
        <v/>
      </c>
      <c r="W150">
        <f>--($G150=IF('الداشبورد'!$B$11="الكل",$G150,'الداشبورد'!$B$11))</f>
        <v/>
      </c>
      <c r="X150">
        <f>Q150*R150*S150*T150*U150*V150*W150*--($C150&lt;&gt;"")</f>
        <v/>
      </c>
    </row>
    <row r="151">
      <c r="A151" s="15" t="n">
        <v>3</v>
      </c>
      <c r="B151" s="15" t="inlineStr">
        <is>
          <t>O184427</t>
        </is>
      </c>
      <c r="C151" s="15" t="inlineStr">
        <is>
          <t>1200/26/06</t>
        </is>
      </c>
      <c r="D151" s="15" t="inlineStr">
        <is>
          <t>INSELL</t>
        </is>
      </c>
      <c r="E151" s="15" t="inlineStr">
        <is>
          <t>MV</t>
        </is>
      </c>
      <c r="F151" s="15" t="inlineStr">
        <is>
          <t>12/20 KV 1X120/25</t>
        </is>
      </c>
      <c r="G151" s="15" t="inlineStr">
        <is>
          <t>EX06</t>
        </is>
      </c>
      <c r="H151" s="15" t="inlineStr">
        <is>
          <t>Wooden Drums</t>
        </is>
      </c>
      <c r="I151" s="15" t="inlineStr">
        <is>
          <t>OK</t>
        </is>
      </c>
      <c r="J151" s="15" t="inlineStr">
        <is>
          <t>A</t>
        </is>
      </c>
      <c r="K151" s="15" t="inlineStr">
        <is>
          <t>Y</t>
        </is>
      </c>
      <c r="L151" s="15" t="n">
        <v>2022</v>
      </c>
      <c r="M151" s="16" t="n">
        <v>0.63693</v>
      </c>
      <c r="N151" s="16" t="n">
        <v>0.46506</v>
      </c>
      <c r="O151" s="16" t="n">
        <v>0</v>
      </c>
      <c r="P151" s="16" t="n">
        <v>1.10199</v>
      </c>
      <c r="Q151">
        <f>--($A151=IF('الداشبورد'!$B$5="الكل",$A151,'الداشبورد'!$B$5))</f>
        <v/>
      </c>
      <c r="R151">
        <f>--($E151=IF('الداشبورد'!$B$6="الكل",$E151,'الداشبورد'!$B$6))</f>
        <v/>
      </c>
      <c r="S151">
        <f>--($K151=IF('الداشبورد'!$B$7="الكل",$K151,IF('الداشبورد'!$B$7="تصدير","Y","N")))</f>
        <v/>
      </c>
      <c r="T151">
        <f>--($J151=IF('الداشبورد'!$B$8="الكل",$J151,IF('الداشبورد'!$B$8="AL","A","C")))</f>
        <v/>
      </c>
      <c r="U151">
        <f>--($I151=IF('الداشبورد'!$B$9="الكل",$I151,IF('الداشبورد'!$B$9="بدون حالة","P",'الداشبورد'!$B$9)))</f>
        <v/>
      </c>
      <c r="V151">
        <f>--($D151=IF('الداشبورد'!$B$10="الكل",$D151,'الداشبورد'!$B$10))</f>
        <v/>
      </c>
      <c r="W151">
        <f>--($G151=IF('الداشبورد'!$B$11="الكل",$G151,'الداشبورد'!$B$11))</f>
        <v/>
      </c>
      <c r="X151">
        <f>Q151*R151*S151*T151*U151*V151*W151*--($C151&lt;&gt;"")</f>
        <v/>
      </c>
    </row>
    <row r="152">
      <c r="A152" s="15" t="n">
        <v>3</v>
      </c>
      <c r="B152" s="15" t="inlineStr">
        <is>
          <t>P184420</t>
        </is>
      </c>
      <c r="C152" s="15" t="inlineStr">
        <is>
          <t>1385/26/08</t>
        </is>
      </c>
      <c r="D152" s="15" t="inlineStr">
        <is>
          <t>الشركة العربية للصناعة والتجارة الدولية</t>
        </is>
      </c>
      <c r="E152" s="15" t="inlineStr">
        <is>
          <t>LV</t>
        </is>
      </c>
      <c r="F152" s="15" t="inlineStr">
        <is>
          <t>0.6/1 KV 3*70+35</t>
        </is>
      </c>
      <c r="G152" s="15" t="inlineStr">
        <is>
          <t>EX03</t>
        </is>
      </c>
      <c r="H152" s="15" t="inlineStr">
        <is>
          <t>Wooden Drums</t>
        </is>
      </c>
      <c r="I152" s="15" t="inlineStr">
        <is>
          <t>OK</t>
        </is>
      </c>
      <c r="J152" s="15" t="inlineStr">
        <is>
          <t>A</t>
        </is>
      </c>
      <c r="K152" s="15" t="inlineStr">
        <is>
          <t>N</t>
        </is>
      </c>
      <c r="L152" s="15" t="n">
        <v>975</v>
      </c>
      <c r="M152" s="16" t="n">
        <v>0.6308250000000001</v>
      </c>
      <c r="N152" s="16" t="n">
        <v>0</v>
      </c>
      <c r="O152" s="16" t="n">
        <v>0</v>
      </c>
      <c r="P152" s="16" t="n">
        <v>0.6308250000000001</v>
      </c>
      <c r="Q152">
        <f>--($A152=IF('الداشبورد'!$B$5="الكل",$A152,'الداشبورد'!$B$5))</f>
        <v/>
      </c>
      <c r="R152">
        <f>--($E152=IF('الداشبورد'!$B$6="الكل",$E152,'الداشبورد'!$B$6))</f>
        <v/>
      </c>
      <c r="S152">
        <f>--($K152=IF('الداشبورد'!$B$7="الكل",$K152,IF('الداشبورد'!$B$7="تصدير","Y","N")))</f>
        <v/>
      </c>
      <c r="T152">
        <f>--($J152=IF('الداشبورد'!$B$8="الكل",$J152,IF('الداشبورد'!$B$8="AL","A","C")))</f>
        <v/>
      </c>
      <c r="U152">
        <f>--($I152=IF('الداشبورد'!$B$9="الكل",$I152,IF('الداشبورد'!$B$9="بدون حالة","P",'الداشبورد'!$B$9)))</f>
        <v/>
      </c>
      <c r="V152">
        <f>--($D152=IF('الداشبورد'!$B$10="الكل",$D152,'الداشبورد'!$B$10))</f>
        <v/>
      </c>
      <c r="W152">
        <f>--($G152=IF('الداشبورد'!$B$11="الكل",$G152,'الداشبورد'!$B$11))</f>
        <v/>
      </c>
      <c r="X152">
        <f>Q152*R152*S152*T152*U152*V152*W152*--($C152&lt;&gt;"")</f>
        <v/>
      </c>
    </row>
    <row r="153">
      <c r="A153" s="15" t="n">
        <v>3</v>
      </c>
      <c r="B153" s="15" t="inlineStr">
        <is>
          <t>P184421</t>
        </is>
      </c>
      <c r="C153" s="15" t="inlineStr">
        <is>
          <t>1385/26/08</t>
        </is>
      </c>
      <c r="D153" s="15" t="inlineStr">
        <is>
          <t>الشركة العربية للصناعة والتجارة الدولية</t>
        </is>
      </c>
      <c r="E153" s="15" t="inlineStr">
        <is>
          <t>LV</t>
        </is>
      </c>
      <c r="F153" s="15" t="inlineStr">
        <is>
          <t>0.6/1 KV 3*70+35</t>
        </is>
      </c>
      <c r="G153" s="15" t="inlineStr">
        <is>
          <t>EX03</t>
        </is>
      </c>
      <c r="H153" s="15" t="inlineStr">
        <is>
          <t>Wooden Drums</t>
        </is>
      </c>
      <c r="I153" s="15" t="inlineStr">
        <is>
          <t>OK</t>
        </is>
      </c>
      <c r="J153" s="15" t="inlineStr">
        <is>
          <t>A</t>
        </is>
      </c>
      <c r="K153" s="15" t="inlineStr">
        <is>
          <t>N</t>
        </is>
      </c>
      <c r="L153" s="15" t="n">
        <v>975</v>
      </c>
      <c r="M153" s="16" t="n">
        <v>0.6308250000000001</v>
      </c>
      <c r="N153" s="16" t="n">
        <v>0</v>
      </c>
      <c r="O153" s="16" t="n">
        <v>0</v>
      </c>
      <c r="P153" s="16" t="n">
        <v>0.6308250000000001</v>
      </c>
      <c r="Q153">
        <f>--($A153=IF('الداشبورد'!$B$5="الكل",$A153,'الداشبورد'!$B$5))</f>
        <v/>
      </c>
      <c r="R153">
        <f>--($E153=IF('الداشبورد'!$B$6="الكل",$E153,'الداشبورد'!$B$6))</f>
        <v/>
      </c>
      <c r="S153">
        <f>--($K153=IF('الداشبورد'!$B$7="الكل",$K153,IF('الداشبورد'!$B$7="تصدير","Y","N")))</f>
        <v/>
      </c>
      <c r="T153">
        <f>--($J153=IF('الداشبورد'!$B$8="الكل",$J153,IF('الداشبورد'!$B$8="AL","A","C")))</f>
        <v/>
      </c>
      <c r="U153">
        <f>--($I153=IF('الداشبورد'!$B$9="الكل",$I153,IF('الداشبورد'!$B$9="بدون حالة","P",'الداشبورد'!$B$9)))</f>
        <v/>
      </c>
      <c r="V153">
        <f>--($D153=IF('الداشبورد'!$B$10="الكل",$D153,'الداشبورد'!$B$10))</f>
        <v/>
      </c>
      <c r="W153">
        <f>--($G153=IF('الداشبورد'!$B$11="الكل",$G153,'الداشبورد'!$B$11))</f>
        <v/>
      </c>
      <c r="X153">
        <f>Q153*R153*S153*T153*U153*V153*W153*--($C153&lt;&gt;"")</f>
        <v/>
      </c>
    </row>
    <row r="154">
      <c r="A154" s="15" t="n">
        <v>3</v>
      </c>
      <c r="B154" s="15" t="inlineStr">
        <is>
          <t>O184404</t>
        </is>
      </c>
      <c r="C154" s="15" t="inlineStr">
        <is>
          <t>1425/26/10</t>
        </is>
      </c>
      <c r="D154" s="15" t="inlineStr">
        <is>
          <t>Faber Kabel</t>
        </is>
      </c>
      <c r="E154" s="15" t="inlineStr">
        <is>
          <t>LV</t>
        </is>
      </c>
      <c r="F154" s="15" t="inlineStr">
        <is>
          <t>0.6/1 KV 1X300</t>
        </is>
      </c>
      <c r="G154" s="15" t="inlineStr">
        <is>
          <t>EX03</t>
        </is>
      </c>
      <c r="H154" s="15" t="inlineStr">
        <is>
          <t>Wooden Drums</t>
        </is>
      </c>
      <c r="I154" s="15" t="inlineStr">
        <is>
          <t>P</t>
        </is>
      </c>
      <c r="J154" s="15" t="inlineStr">
        <is>
          <t>A</t>
        </is>
      </c>
      <c r="K154" s="15" t="inlineStr">
        <is>
          <t>Y</t>
        </is>
      </c>
      <c r="L154" s="15" t="n">
        <v>3058</v>
      </c>
      <c r="M154" s="16" t="n">
        <v>2.412762</v>
      </c>
      <c r="N154" s="16" t="n">
        <v>0</v>
      </c>
      <c r="O154" s="16" t="n">
        <v>0</v>
      </c>
      <c r="P154" s="16" t="n">
        <v>2.412762</v>
      </c>
      <c r="Q154">
        <f>--($A154=IF('الداشبورد'!$B$5="الكل",$A154,'الداشبورد'!$B$5))</f>
        <v/>
      </c>
      <c r="R154">
        <f>--($E154=IF('الداشبورد'!$B$6="الكل",$E154,'الداشبورد'!$B$6))</f>
        <v/>
      </c>
      <c r="S154">
        <f>--($K154=IF('الداشبورد'!$B$7="الكل",$K154,IF('الداشبورد'!$B$7="تصدير","Y","N")))</f>
        <v/>
      </c>
      <c r="T154">
        <f>--($J154=IF('الداشبورد'!$B$8="الكل",$J154,IF('الداشبورد'!$B$8="AL","A","C")))</f>
        <v/>
      </c>
      <c r="U154">
        <f>--($I154=IF('الداشبورد'!$B$9="الكل",$I154,IF('الداشبورد'!$B$9="بدون حالة","P",'الداشبورد'!$B$9)))</f>
        <v/>
      </c>
      <c r="V154">
        <f>--($D154=IF('الداشبورد'!$B$10="الكل",$D154,'الداشبورد'!$B$10))</f>
        <v/>
      </c>
      <c r="W154">
        <f>--($G154=IF('الداشبورد'!$B$11="الكل",$G154,'الداشبورد'!$B$11))</f>
        <v/>
      </c>
      <c r="X154">
        <f>Q154*R154*S154*T154*U154*V154*W154*--($C154&lt;&gt;"")</f>
        <v/>
      </c>
    </row>
    <row r="155">
      <c r="A155" s="15" t="n">
        <v>3</v>
      </c>
      <c r="B155" s="15" t="inlineStr">
        <is>
          <t>G182906</t>
        </is>
      </c>
      <c r="C155" s="15" t="inlineStr">
        <is>
          <t>828/26/01</t>
        </is>
      </c>
      <c r="D155" s="15" t="inlineStr">
        <is>
          <t>REMATEC CABLE SERVICE</t>
        </is>
      </c>
      <c r="E155" s="15" t="inlineStr">
        <is>
          <t>LV</t>
        </is>
      </c>
      <c r="F155" s="15" t="inlineStr">
        <is>
          <t>0.6/1 KV 1*150</t>
        </is>
      </c>
      <c r="G155" s="15" t="inlineStr">
        <is>
          <t>EX03</t>
        </is>
      </c>
      <c r="H155" s="15" t="inlineStr">
        <is>
          <t>Wooden Drums</t>
        </is>
      </c>
      <c r="I155" s="15" t="inlineStr">
        <is>
          <t>P</t>
        </is>
      </c>
      <c r="J155" s="15" t="inlineStr">
        <is>
          <t>A</t>
        </is>
      </c>
      <c r="K155" s="15" t="inlineStr">
        <is>
          <t>Y</t>
        </is>
      </c>
      <c r="L155" s="15" t="n">
        <v>1009</v>
      </c>
      <c r="M155" s="16" t="n">
        <v>0.39351</v>
      </c>
      <c r="N155" s="16" t="n">
        <v>0</v>
      </c>
      <c r="O155" s="16" t="n">
        <v>0</v>
      </c>
      <c r="P155" s="16" t="n">
        <v>0.39351</v>
      </c>
      <c r="Q155">
        <f>--($A155=IF('الداشبورد'!$B$5="الكل",$A155,'الداشبورد'!$B$5))</f>
        <v/>
      </c>
      <c r="R155">
        <f>--($E155=IF('الداشبورد'!$B$6="الكل",$E155,'الداشبورد'!$B$6))</f>
        <v/>
      </c>
      <c r="S155">
        <f>--($K155=IF('الداشبورد'!$B$7="الكل",$K155,IF('الداشبورد'!$B$7="تصدير","Y","N")))</f>
        <v/>
      </c>
      <c r="T155">
        <f>--($J155=IF('الداشبورد'!$B$8="الكل",$J155,IF('الداشبورد'!$B$8="AL","A","C")))</f>
        <v/>
      </c>
      <c r="U155">
        <f>--($I155=IF('الداشبورد'!$B$9="الكل",$I155,IF('الداشبورد'!$B$9="بدون حالة","P",'الداشبورد'!$B$9)))</f>
        <v/>
      </c>
      <c r="V155">
        <f>--($D155=IF('الداشبورد'!$B$10="الكل",$D155,'الداشبورد'!$B$10))</f>
        <v/>
      </c>
      <c r="W155">
        <f>--($G155=IF('الداشبورد'!$B$11="الكل",$G155,'الداشبورد'!$B$11))</f>
        <v/>
      </c>
      <c r="X155">
        <f>Q155*R155*S155*T155*U155*V155*W155*--($C155&lt;&gt;"")</f>
        <v/>
      </c>
    </row>
    <row r="156">
      <c r="A156" s="15" t="n">
        <v>3</v>
      </c>
      <c r="B156" s="15" t="inlineStr">
        <is>
          <t>K183951</t>
        </is>
      </c>
      <c r="C156" s="15" t="inlineStr">
        <is>
          <t>1502/26/03</t>
        </is>
      </c>
      <c r="D156" s="15" t="inlineStr">
        <is>
          <t>Helukabel Germany</t>
        </is>
      </c>
      <c r="E156" s="15" t="inlineStr">
        <is>
          <t>LV</t>
        </is>
      </c>
      <c r="F156" s="15" t="inlineStr">
        <is>
          <t>0.6/1 KV 1X185</t>
        </is>
      </c>
      <c r="G156" s="15" t="inlineStr">
        <is>
          <t>EX03</t>
        </is>
      </c>
      <c r="H156" s="15" t="inlineStr">
        <is>
          <t>Wooden Drums</t>
        </is>
      </c>
      <c r="I156" s="15" t="inlineStr">
        <is>
          <t>P</t>
        </is>
      </c>
      <c r="J156" s="15" t="inlineStr">
        <is>
          <t>A</t>
        </is>
      </c>
      <c r="K156" s="15" t="inlineStr">
        <is>
          <t>Y</t>
        </is>
      </c>
      <c r="L156" s="15" t="n">
        <v>2007</v>
      </c>
      <c r="M156" s="16" t="n">
        <v>0.9673740000000001</v>
      </c>
      <c r="N156" s="16" t="n">
        <v>0</v>
      </c>
      <c r="O156" s="16" t="n">
        <v>0</v>
      </c>
      <c r="P156" s="16" t="n">
        <v>0.9673740000000001</v>
      </c>
      <c r="Q156">
        <f>--($A156=IF('الداشبورد'!$B$5="الكل",$A156,'الداشبورد'!$B$5))</f>
        <v/>
      </c>
      <c r="R156">
        <f>--($E156=IF('الداشبورد'!$B$6="الكل",$E156,'الداشبورد'!$B$6))</f>
        <v/>
      </c>
      <c r="S156">
        <f>--($K156=IF('الداشبورد'!$B$7="الكل",$K156,IF('الداشبورد'!$B$7="تصدير","Y","N")))</f>
        <v/>
      </c>
      <c r="T156">
        <f>--($J156=IF('الداشبورد'!$B$8="الكل",$J156,IF('الداشبورد'!$B$8="AL","A","C")))</f>
        <v/>
      </c>
      <c r="U156">
        <f>--($I156=IF('الداشبورد'!$B$9="الكل",$I156,IF('الداشبورد'!$B$9="بدون حالة","P",'الداشبورد'!$B$9)))</f>
        <v/>
      </c>
      <c r="V156">
        <f>--($D156=IF('الداشبورد'!$B$10="الكل",$D156,'الداشبورد'!$B$10))</f>
        <v/>
      </c>
      <c r="W156">
        <f>--($G156=IF('الداشبورد'!$B$11="الكل",$G156,'الداشبورد'!$B$11))</f>
        <v/>
      </c>
      <c r="X156">
        <f>Q156*R156*S156*T156*U156*V156*W156*--($C156&lt;&gt;"")</f>
        <v/>
      </c>
    </row>
    <row r="157">
      <c r="A157" s="15" t="n">
        <v>3</v>
      </c>
      <c r="B157" s="15" t="inlineStr">
        <is>
          <t>F184356</t>
        </is>
      </c>
      <c r="C157" s="15" t="inlineStr">
        <is>
          <t>1549/26/02</t>
        </is>
      </c>
      <c r="D157" s="15" t="inlineStr">
        <is>
          <t>Next Technologies Limited</t>
        </is>
      </c>
      <c r="E157" s="15" t="inlineStr">
        <is>
          <t>LV</t>
        </is>
      </c>
      <c r="F157" s="15" t="inlineStr">
        <is>
          <t>0.6/1 KV 4X25</t>
        </is>
      </c>
      <c r="G157" s="15" t="inlineStr">
        <is>
          <t>EX14</t>
        </is>
      </c>
      <c r="H157" s="15" t="inlineStr">
        <is>
          <t>Wooden Drums</t>
        </is>
      </c>
      <c r="I157" s="15" t="inlineStr">
        <is>
          <t>OK</t>
        </is>
      </c>
      <c r="J157" s="15" t="inlineStr">
        <is>
          <t>C</t>
        </is>
      </c>
      <c r="K157" s="15" t="inlineStr">
        <is>
          <t>Y</t>
        </is>
      </c>
      <c r="L157" s="15" t="n">
        <v>535</v>
      </c>
      <c r="M157" s="16" t="n">
        <v>0.4601</v>
      </c>
      <c r="N157" s="16" t="n">
        <v>0</v>
      </c>
      <c r="O157" s="16" t="n">
        <v>0</v>
      </c>
      <c r="P157" s="16" t="n">
        <v>0.4601</v>
      </c>
      <c r="Q157">
        <f>--($A157=IF('الداشبورد'!$B$5="الكل",$A157,'الداشبورد'!$B$5))</f>
        <v/>
      </c>
      <c r="R157">
        <f>--($E157=IF('الداشبورد'!$B$6="الكل",$E157,'الداشبورد'!$B$6))</f>
        <v/>
      </c>
      <c r="S157">
        <f>--($K157=IF('الداشبورد'!$B$7="الكل",$K157,IF('الداشبورد'!$B$7="تصدير","Y","N")))</f>
        <v/>
      </c>
      <c r="T157">
        <f>--($J157=IF('الداشبورد'!$B$8="الكل",$J157,IF('الداشبورد'!$B$8="AL","A","C")))</f>
        <v/>
      </c>
      <c r="U157">
        <f>--($I157=IF('الداشبورد'!$B$9="الكل",$I157,IF('الداشبورد'!$B$9="بدون حالة","P",'الداشبورد'!$B$9)))</f>
        <v/>
      </c>
      <c r="V157">
        <f>--($D157=IF('الداشبورد'!$B$10="الكل",$D157,'الداشبورد'!$B$10))</f>
        <v/>
      </c>
      <c r="W157">
        <f>--($G157=IF('الداشبورد'!$B$11="الكل",$G157,'الداشبورد'!$B$11))</f>
        <v/>
      </c>
      <c r="X157">
        <f>Q157*R157*S157*T157*U157*V157*W157*--($C157&lt;&gt;"")</f>
        <v/>
      </c>
    </row>
    <row r="158">
      <c r="A158" s="15" t="n">
        <v>3</v>
      </c>
      <c r="B158" s="15" t="inlineStr">
        <is>
          <t>T181198</t>
        </is>
      </c>
      <c r="C158" s="15" t="inlineStr">
        <is>
          <t>1440/26/02</t>
        </is>
      </c>
      <c r="D158" s="15" t="inlineStr">
        <is>
          <t>المشاركة التضامنية المقاولون العرب - مدكور - محاصة</t>
        </is>
      </c>
      <c r="E158" s="15" t="inlineStr">
        <is>
          <t>MV</t>
        </is>
      </c>
      <c r="F158" s="15" t="inlineStr">
        <is>
          <t>18/30 KV 3X240</t>
        </is>
      </c>
      <c r="G158" s="15" t="inlineStr">
        <is>
          <t>EX07</t>
        </is>
      </c>
      <c r="H158" s="15" t="inlineStr">
        <is>
          <t>Wooden Drums</t>
        </is>
      </c>
      <c r="I158" s="15" t="inlineStr">
        <is>
          <t>OK</t>
        </is>
      </c>
      <c r="J158" s="15" t="inlineStr">
        <is>
          <t>C</t>
        </is>
      </c>
      <c r="K158" s="15" t="inlineStr">
        <is>
          <t>N</t>
        </is>
      </c>
      <c r="L158" s="15" t="n">
        <v>136</v>
      </c>
      <c r="M158" s="16" t="n">
        <v>0.860744</v>
      </c>
      <c r="N158" s="16" t="n">
        <v>0</v>
      </c>
      <c r="O158" s="16" t="n">
        <v>0</v>
      </c>
      <c r="P158" s="16" t="n">
        <v>0.860744</v>
      </c>
      <c r="Q158">
        <f>--($A158=IF('الداشبورد'!$B$5="الكل",$A158,'الداشبورد'!$B$5))</f>
        <v/>
      </c>
      <c r="R158">
        <f>--($E158=IF('الداشبورد'!$B$6="الكل",$E158,'الداشبورد'!$B$6))</f>
        <v/>
      </c>
      <c r="S158">
        <f>--($K158=IF('الداشبورد'!$B$7="الكل",$K158,IF('الداشبورد'!$B$7="تصدير","Y","N")))</f>
        <v/>
      </c>
      <c r="T158">
        <f>--($J158=IF('الداشبورد'!$B$8="الكل",$J158,IF('الداشبورد'!$B$8="AL","A","C")))</f>
        <v/>
      </c>
      <c r="U158">
        <f>--($I158=IF('الداشبورد'!$B$9="الكل",$I158,IF('الداشبورد'!$B$9="بدون حالة","P",'الداشبورد'!$B$9)))</f>
        <v/>
      </c>
      <c r="V158">
        <f>--($D158=IF('الداشبورد'!$B$10="الكل",$D158,'الداشبورد'!$B$10))</f>
        <v/>
      </c>
      <c r="W158">
        <f>--($G158=IF('الداشبورد'!$B$11="الكل",$G158,'الداشبورد'!$B$11))</f>
        <v/>
      </c>
      <c r="X158">
        <f>Q158*R158*S158*T158*U158*V158*W158*--($C158&lt;&gt;"")</f>
        <v/>
      </c>
    </row>
    <row r="159">
      <c r="A159" s="15" t="n">
        <v>3</v>
      </c>
      <c r="B159" s="15" t="inlineStr">
        <is>
          <t>T181193</t>
        </is>
      </c>
      <c r="C159" s="15" t="inlineStr">
        <is>
          <t>1440/26/02</t>
        </is>
      </c>
      <c r="D159" s="15" t="inlineStr">
        <is>
          <t>المشاركة التضامنية المقاولون العرب - مدكور - محاصة</t>
        </is>
      </c>
      <c r="E159" s="15" t="inlineStr">
        <is>
          <t>MV</t>
        </is>
      </c>
      <c r="F159" s="15" t="inlineStr">
        <is>
          <t>18/30 KV 3X240</t>
        </is>
      </c>
      <c r="G159" s="15" t="inlineStr">
        <is>
          <t>EX07</t>
        </is>
      </c>
      <c r="H159" s="15" t="inlineStr">
        <is>
          <t>Wooden Drums</t>
        </is>
      </c>
      <c r="I159" s="15" t="inlineStr">
        <is>
          <t>OK</t>
        </is>
      </c>
      <c r="J159" s="15" t="inlineStr">
        <is>
          <t>C</t>
        </is>
      </c>
      <c r="K159" s="15" t="inlineStr">
        <is>
          <t>N</t>
        </is>
      </c>
      <c r="L159" s="15" t="n">
        <v>255</v>
      </c>
      <c r="M159" s="16" t="n">
        <v>1.613895</v>
      </c>
      <c r="N159" s="16" t="n">
        <v>0</v>
      </c>
      <c r="O159" s="16" t="n">
        <v>0</v>
      </c>
      <c r="P159" s="16" t="n">
        <v>1.613895</v>
      </c>
      <c r="Q159">
        <f>--($A159=IF('الداشبورد'!$B$5="الكل",$A159,'الداشبورد'!$B$5))</f>
        <v/>
      </c>
      <c r="R159">
        <f>--($E159=IF('الداشبورد'!$B$6="الكل",$E159,'الداشبورد'!$B$6))</f>
        <v/>
      </c>
      <c r="S159">
        <f>--($K159=IF('الداشبورد'!$B$7="الكل",$K159,IF('الداشبورد'!$B$7="تصدير","Y","N")))</f>
        <v/>
      </c>
      <c r="T159">
        <f>--($J159=IF('الداشبورد'!$B$8="الكل",$J159,IF('الداشبورد'!$B$8="AL","A","C")))</f>
        <v/>
      </c>
      <c r="U159">
        <f>--($I159=IF('الداشبورد'!$B$9="الكل",$I159,IF('الداشبورد'!$B$9="بدون حالة","P",'الداشبورد'!$B$9)))</f>
        <v/>
      </c>
      <c r="V159">
        <f>--($D159=IF('الداشبورد'!$B$10="الكل",$D159,'الداشبورد'!$B$10))</f>
        <v/>
      </c>
      <c r="W159">
        <f>--($G159=IF('الداشبورد'!$B$11="الكل",$G159,'الداشبورد'!$B$11))</f>
        <v/>
      </c>
      <c r="X159">
        <f>Q159*R159*S159*T159*U159*V159*W159*--($C159&lt;&gt;"")</f>
        <v/>
      </c>
    </row>
    <row r="160">
      <c r="A160" s="15" t="n">
        <v>3</v>
      </c>
      <c r="B160" s="15" t="inlineStr">
        <is>
          <t>F184416</t>
        </is>
      </c>
      <c r="C160" s="15" t="inlineStr">
        <is>
          <t>1550/26/18</t>
        </is>
      </c>
      <c r="D160" s="15" t="inlineStr">
        <is>
          <t>Master Power Systems  Ltd</t>
        </is>
      </c>
      <c r="E160" s="15" t="inlineStr">
        <is>
          <t>OH</t>
        </is>
      </c>
      <c r="F160" s="15" t="inlineStr">
        <is>
          <t>---- 75</t>
        </is>
      </c>
      <c r="G160" s="15" t="inlineStr">
        <is>
          <t>RS05</t>
        </is>
      </c>
      <c r="H160" s="15" t="inlineStr">
        <is>
          <t>Wooden Drums</t>
        </is>
      </c>
      <c r="I160" s="15" t="inlineStr">
        <is>
          <t>OK</t>
        </is>
      </c>
      <c r="J160" s="15" t="inlineStr">
        <is>
          <t>A</t>
        </is>
      </c>
      <c r="K160" s="15" t="inlineStr">
        <is>
          <t>Y</t>
        </is>
      </c>
      <c r="L160" s="15" t="n">
        <v>2550</v>
      </c>
      <c r="M160" s="16" t="n">
        <v>0.8109</v>
      </c>
      <c r="N160" s="16" t="n">
        <v>0</v>
      </c>
      <c r="O160" s="16" t="n">
        <v>0</v>
      </c>
      <c r="P160" s="16" t="n">
        <v>0.8109</v>
      </c>
      <c r="Q160">
        <f>--($A160=IF('الداشبورد'!$B$5="الكل",$A160,'الداشبورد'!$B$5))</f>
        <v/>
      </c>
      <c r="R160">
        <f>--($E160=IF('الداشبورد'!$B$6="الكل",$E160,'الداشبورد'!$B$6))</f>
        <v/>
      </c>
      <c r="S160">
        <f>--($K160=IF('الداشبورد'!$B$7="الكل",$K160,IF('الداشبورد'!$B$7="تصدير","Y","N")))</f>
        <v/>
      </c>
      <c r="T160">
        <f>--($J160=IF('الداشبورد'!$B$8="الكل",$J160,IF('الداشبورد'!$B$8="AL","A","C")))</f>
        <v/>
      </c>
      <c r="U160">
        <f>--($I160=IF('الداشبورد'!$B$9="الكل",$I160,IF('الداشبورد'!$B$9="بدون حالة","P",'الداشبورد'!$B$9)))</f>
        <v/>
      </c>
      <c r="V160">
        <f>--($D160=IF('الداشبورد'!$B$10="الكل",$D160,'الداشبورد'!$B$10))</f>
        <v/>
      </c>
      <c r="W160">
        <f>--($G160=IF('الداشبورد'!$B$11="الكل",$G160,'الداشبورد'!$B$11))</f>
        <v/>
      </c>
      <c r="X160">
        <f>Q160*R160*S160*T160*U160*V160*W160*--($C160&lt;&gt;"")</f>
        <v/>
      </c>
    </row>
    <row r="161">
      <c r="A161" s="15" t="n">
        <v>3</v>
      </c>
      <c r="B161" s="15" t="inlineStr">
        <is>
          <t>G184350</t>
        </is>
      </c>
      <c r="C161" s="15" t="inlineStr">
        <is>
          <t>1478/26/31</t>
        </is>
      </c>
      <c r="D161" s="15" t="inlineStr">
        <is>
          <t>Energya Power &amp; Telecom Solutions</t>
        </is>
      </c>
      <c r="E161" s="15" t="inlineStr">
        <is>
          <t>LV</t>
        </is>
      </c>
      <c r="F161" s="15" t="inlineStr">
        <is>
          <t>0.6/1 KV 1X50</t>
        </is>
      </c>
      <c r="G161" s="15" t="inlineStr">
        <is>
          <t>EX01</t>
        </is>
      </c>
      <c r="H161" s="15" t="inlineStr">
        <is>
          <t>Wooden Drums</t>
        </is>
      </c>
      <c r="I161" s="15" t="inlineStr">
        <is>
          <t>OK</t>
        </is>
      </c>
      <c r="J161" s="15" t="inlineStr">
        <is>
          <t>C</t>
        </is>
      </c>
      <c r="K161" s="15" t="inlineStr">
        <is>
          <t>N</t>
        </is>
      </c>
      <c r="L161" s="15" t="n">
        <v>216</v>
      </c>
      <c r="M161" s="16" t="n">
        <v>0.08985599999999999</v>
      </c>
      <c r="N161" s="16" t="n">
        <v>0</v>
      </c>
      <c r="O161" s="16" t="n">
        <v>0</v>
      </c>
      <c r="P161" s="16" t="n">
        <v>0.08985599999999999</v>
      </c>
      <c r="Q161">
        <f>--($A161=IF('الداشبورد'!$B$5="الكل",$A161,'الداشبورد'!$B$5))</f>
        <v/>
      </c>
      <c r="R161">
        <f>--($E161=IF('الداشبورد'!$B$6="الكل",$E161,'الداشبورد'!$B$6))</f>
        <v/>
      </c>
      <c r="S161">
        <f>--($K161=IF('الداشبورد'!$B$7="الكل",$K161,IF('الداشبورد'!$B$7="تصدير","Y","N")))</f>
        <v/>
      </c>
      <c r="T161">
        <f>--($J161=IF('الداشبورد'!$B$8="الكل",$J161,IF('الداشبورد'!$B$8="AL","A","C")))</f>
        <v/>
      </c>
      <c r="U161">
        <f>--($I161=IF('الداشبورد'!$B$9="الكل",$I161,IF('الداشبورد'!$B$9="بدون حالة","P",'الداشبورد'!$B$9)))</f>
        <v/>
      </c>
      <c r="V161">
        <f>--($D161=IF('الداشبورد'!$B$10="الكل",$D161,'الداشبورد'!$B$10))</f>
        <v/>
      </c>
      <c r="W161">
        <f>--($G161=IF('الداشبورد'!$B$11="الكل",$G161,'الداشبورد'!$B$11))</f>
        <v/>
      </c>
      <c r="X161">
        <f>Q161*R161*S161*T161*U161*V161*W161*--($C161&lt;&gt;"")</f>
        <v/>
      </c>
    </row>
    <row r="162">
      <c r="A162" s="15" t="n">
        <v>3</v>
      </c>
      <c r="B162" s="15" t="inlineStr">
        <is>
          <t>R184203</t>
        </is>
      </c>
      <c r="C162" s="15" t="inlineStr">
        <is>
          <t>1478/26/04</t>
        </is>
      </c>
      <c r="D162" s="15" t="inlineStr">
        <is>
          <t>Energya Power &amp; Telecom Solutions</t>
        </is>
      </c>
      <c r="E162" s="15" t="inlineStr">
        <is>
          <t>MV</t>
        </is>
      </c>
      <c r="F162" s="15" t="inlineStr">
        <is>
          <t>12/20 KV 3X150</t>
        </is>
      </c>
      <c r="G162" s="15" t="inlineStr">
        <is>
          <t>EX07</t>
        </is>
      </c>
      <c r="H162" s="15" t="inlineStr">
        <is>
          <t>Wooden Drums</t>
        </is>
      </c>
      <c r="I162" s="15" t="inlineStr">
        <is>
          <t>Hold</t>
        </is>
      </c>
      <c r="J162" s="15" t="inlineStr">
        <is>
          <t>C</t>
        </is>
      </c>
      <c r="K162" s="15" t="inlineStr">
        <is>
          <t>N</t>
        </is>
      </c>
      <c r="L162" s="15" t="n">
        <v>144</v>
      </c>
      <c r="M162" s="16" t="n">
        <v>0.5536800000000001</v>
      </c>
      <c r="N162" s="16" t="n">
        <v>0</v>
      </c>
      <c r="O162" s="16" t="n">
        <v>0</v>
      </c>
      <c r="P162" s="16" t="n">
        <v>0.5536800000000001</v>
      </c>
      <c r="Q162">
        <f>--($A162=IF('الداشبورد'!$B$5="الكل",$A162,'الداشبورد'!$B$5))</f>
        <v/>
      </c>
      <c r="R162">
        <f>--($E162=IF('الداشبورد'!$B$6="الكل",$E162,'الداشبورد'!$B$6))</f>
        <v/>
      </c>
      <c r="S162">
        <f>--($K162=IF('الداشبورد'!$B$7="الكل",$K162,IF('الداشبورد'!$B$7="تصدير","Y","N")))</f>
        <v/>
      </c>
      <c r="T162">
        <f>--($J162=IF('الداشبورد'!$B$8="الكل",$J162,IF('الداشبورد'!$B$8="AL","A","C")))</f>
        <v/>
      </c>
      <c r="U162">
        <f>--($I162=IF('الداشبورد'!$B$9="الكل",$I162,IF('الداشبورد'!$B$9="بدون حالة","P",'الداشبورد'!$B$9)))</f>
        <v/>
      </c>
      <c r="V162">
        <f>--($D162=IF('الداشبورد'!$B$10="الكل",$D162,'الداشبورد'!$B$10))</f>
        <v/>
      </c>
      <c r="W162">
        <f>--($G162=IF('الداشبورد'!$B$11="الكل",$G162,'الداشبورد'!$B$11))</f>
        <v/>
      </c>
      <c r="X162">
        <f>Q162*R162*S162*T162*U162*V162*W162*--($C162&lt;&gt;"")</f>
        <v/>
      </c>
    </row>
    <row r="163">
      <c r="A163" s="15" t="n">
        <v>3</v>
      </c>
      <c r="B163" s="15" t="inlineStr">
        <is>
          <t>G184195</t>
        </is>
      </c>
      <c r="C163" s="15" t="inlineStr">
        <is>
          <t>1392/26/06</t>
        </is>
      </c>
      <c r="D163" s="15" t="inlineStr">
        <is>
          <t>أوتاك  للتجارة والهندسية</t>
        </is>
      </c>
      <c r="E163" s="15" t="inlineStr">
        <is>
          <t>LV</t>
        </is>
      </c>
      <c r="F163" s="15" t="inlineStr">
        <is>
          <t>0.6/1 KV 3*70+35</t>
        </is>
      </c>
      <c r="G163" s="15" t="inlineStr">
        <is>
          <t>EX03</t>
        </is>
      </c>
      <c r="H163" s="15" t="inlineStr">
        <is>
          <t>Wooden Drums</t>
        </is>
      </c>
      <c r="I163" s="15" t="inlineStr">
        <is>
          <t>OK</t>
        </is>
      </c>
      <c r="J163" s="15" t="inlineStr">
        <is>
          <t>A</t>
        </is>
      </c>
      <c r="K163" s="15" t="inlineStr">
        <is>
          <t>N</t>
        </is>
      </c>
      <c r="L163" s="15" t="n">
        <v>206</v>
      </c>
      <c r="M163" s="16" t="n">
        <v>0.133282</v>
      </c>
      <c r="N163" s="16" t="n">
        <v>0</v>
      </c>
      <c r="O163" s="16" t="n">
        <v>0</v>
      </c>
      <c r="P163" s="16" t="n">
        <v>0.133282</v>
      </c>
      <c r="Q163">
        <f>--($A163=IF('الداشبورد'!$B$5="الكل",$A163,'الداشبورد'!$B$5))</f>
        <v/>
      </c>
      <c r="R163">
        <f>--($E163=IF('الداشبورد'!$B$6="الكل",$E163,'الداشبورد'!$B$6))</f>
        <v/>
      </c>
      <c r="S163">
        <f>--($K163=IF('الداشبورد'!$B$7="الكل",$K163,IF('الداشبورد'!$B$7="تصدير","Y","N")))</f>
        <v/>
      </c>
      <c r="T163">
        <f>--($J163=IF('الداشبورد'!$B$8="الكل",$J163,IF('الداشبورد'!$B$8="AL","A","C")))</f>
        <v/>
      </c>
      <c r="U163">
        <f>--($I163=IF('الداشبورد'!$B$9="الكل",$I163,IF('الداشبورد'!$B$9="بدون حالة","P",'الداشبورد'!$B$9)))</f>
        <v/>
      </c>
      <c r="V163">
        <f>--($D163=IF('الداشبورد'!$B$10="الكل",$D163,'الداشبورد'!$B$10))</f>
        <v/>
      </c>
      <c r="W163">
        <f>--($G163=IF('الداشبورد'!$B$11="الكل",$G163,'الداشبورد'!$B$11))</f>
        <v/>
      </c>
      <c r="X163">
        <f>Q163*R163*S163*T163*U163*V163*W163*--($C163&lt;&gt;"")</f>
        <v/>
      </c>
    </row>
    <row r="164">
      <c r="A164" s="15" t="n">
        <v>3</v>
      </c>
      <c r="B164" s="15" t="inlineStr">
        <is>
          <t>G184436</t>
        </is>
      </c>
      <c r="C164" s="15" t="inlineStr">
        <is>
          <t>1491/26/01</t>
        </is>
      </c>
      <c r="D164" s="15" t="inlineStr">
        <is>
          <t>Cleveland Cables Company</t>
        </is>
      </c>
      <c r="E164" s="15" t="inlineStr">
        <is>
          <t>LV</t>
        </is>
      </c>
      <c r="F164" s="15" t="inlineStr">
        <is>
          <t>450/750 V 1X70</t>
        </is>
      </c>
      <c r="G164" s="15" t="inlineStr">
        <is>
          <t>EX01</t>
        </is>
      </c>
      <c r="H164" s="15" t="inlineStr">
        <is>
          <t>Wooden Drums</t>
        </is>
      </c>
      <c r="I164" s="15" t="inlineStr">
        <is>
          <t>Hold</t>
        </is>
      </c>
      <c r="J164" s="15" t="inlineStr">
        <is>
          <t>C</t>
        </is>
      </c>
      <c r="K164" s="15" t="inlineStr">
        <is>
          <t>Y</t>
        </is>
      </c>
      <c r="L164" s="15" t="n">
        <v>1250</v>
      </c>
      <c r="M164" s="16" t="n">
        <v>0.73125</v>
      </c>
      <c r="N164" s="16" t="n">
        <v>0</v>
      </c>
      <c r="O164" s="16" t="n">
        <v>0</v>
      </c>
      <c r="P164" s="16" t="n">
        <v>0.73125</v>
      </c>
      <c r="Q164">
        <f>--($A164=IF('الداشبورد'!$B$5="الكل",$A164,'الداشبورد'!$B$5))</f>
        <v/>
      </c>
      <c r="R164">
        <f>--($E164=IF('الداشبورد'!$B$6="الكل",$E164,'الداشبورد'!$B$6))</f>
        <v/>
      </c>
      <c r="S164">
        <f>--($K164=IF('الداشبورد'!$B$7="الكل",$K164,IF('الداشبورد'!$B$7="تصدير","Y","N")))</f>
        <v/>
      </c>
      <c r="T164">
        <f>--($J164=IF('الداشبورد'!$B$8="الكل",$J164,IF('الداشبورد'!$B$8="AL","A","C")))</f>
        <v/>
      </c>
      <c r="U164">
        <f>--($I164=IF('الداشبورد'!$B$9="الكل",$I164,IF('الداشبورد'!$B$9="بدون حالة","P",'الداشبورد'!$B$9)))</f>
        <v/>
      </c>
      <c r="V164">
        <f>--($D164=IF('الداشبورد'!$B$10="الكل",$D164,'الداشبورد'!$B$10))</f>
        <v/>
      </c>
      <c r="W164">
        <f>--($G164=IF('الداشبورد'!$B$11="الكل",$G164,'الداشبورد'!$B$11))</f>
        <v/>
      </c>
      <c r="X164">
        <f>Q164*R164*S164*T164*U164*V164*W164*--($C164&lt;&gt;"")</f>
        <v/>
      </c>
    </row>
    <row r="165">
      <c r="A165" s="15" t="n">
        <v>3</v>
      </c>
      <c r="B165" s="15" t="inlineStr">
        <is>
          <t>P136</t>
        </is>
      </c>
      <c r="C165" s="15" t="inlineStr">
        <is>
          <t>1491/26/01</t>
        </is>
      </c>
      <c r="D165" s="15" t="inlineStr">
        <is>
          <t>Cleveland Cables Company</t>
        </is>
      </c>
      <c r="E165" s="15" t="inlineStr">
        <is>
          <t>LV</t>
        </is>
      </c>
      <c r="F165" s="15" t="inlineStr">
        <is>
          <t>450/750 V 1X70</t>
        </is>
      </c>
      <c r="G165" s="15" t="inlineStr">
        <is>
          <t>EX01</t>
        </is>
      </c>
      <c r="H165" s="15" t="inlineStr">
        <is>
          <t>Wooden Drums</t>
        </is>
      </c>
      <c r="I165" s="15" t="inlineStr">
        <is>
          <t>Hold</t>
        </is>
      </c>
      <c r="J165" s="15" t="inlineStr">
        <is>
          <t>C</t>
        </is>
      </c>
      <c r="K165" s="15" t="inlineStr">
        <is>
          <t>Y</t>
        </is>
      </c>
      <c r="L165" s="15" t="n">
        <v>1530</v>
      </c>
      <c r="M165" s="16" t="n">
        <v>0.8950499999999999</v>
      </c>
      <c r="N165" s="16" t="n">
        <v>0</v>
      </c>
      <c r="O165" s="16" t="n">
        <v>0</v>
      </c>
      <c r="P165" s="16" t="n">
        <v>0.8950499999999999</v>
      </c>
      <c r="Q165">
        <f>--($A165=IF('الداشبورد'!$B$5="الكل",$A165,'الداشبورد'!$B$5))</f>
        <v/>
      </c>
      <c r="R165">
        <f>--($E165=IF('الداشبورد'!$B$6="الكل",$E165,'الداشبورد'!$B$6))</f>
        <v/>
      </c>
      <c r="S165">
        <f>--($K165=IF('الداشبورد'!$B$7="الكل",$K165,IF('الداشبورد'!$B$7="تصدير","Y","N")))</f>
        <v/>
      </c>
      <c r="T165">
        <f>--($J165=IF('الداشبورد'!$B$8="الكل",$J165,IF('الداشبورد'!$B$8="AL","A","C")))</f>
        <v/>
      </c>
      <c r="U165">
        <f>--($I165=IF('الداشبورد'!$B$9="الكل",$I165,IF('الداشبورد'!$B$9="بدون حالة","P",'الداشبورد'!$B$9)))</f>
        <v/>
      </c>
      <c r="V165">
        <f>--($D165=IF('الداشبورد'!$B$10="الكل",$D165,'الداشبورد'!$B$10))</f>
        <v/>
      </c>
      <c r="W165">
        <f>--($G165=IF('الداشبورد'!$B$11="الكل",$G165,'الداشبورد'!$B$11))</f>
        <v/>
      </c>
      <c r="X165">
        <f>Q165*R165*S165*T165*U165*V165*W165*--($C165&lt;&gt;"")</f>
        <v/>
      </c>
    </row>
    <row r="166">
      <c r="A166" s="15" t="n">
        <v>3</v>
      </c>
      <c r="B166" s="15" t="inlineStr">
        <is>
          <t>G184438</t>
        </is>
      </c>
      <c r="C166" s="15" t="inlineStr">
        <is>
          <t>1491/26/01</t>
        </is>
      </c>
      <c r="D166" s="15" t="inlineStr">
        <is>
          <t>Cleveland Cables Company</t>
        </is>
      </c>
      <c r="E166" s="15" t="inlineStr">
        <is>
          <t>LV</t>
        </is>
      </c>
      <c r="F166" s="15" t="inlineStr">
        <is>
          <t>450/750 V 1X70</t>
        </is>
      </c>
      <c r="G166" s="15" t="inlineStr">
        <is>
          <t>EX01</t>
        </is>
      </c>
      <c r="H166" s="15" t="inlineStr">
        <is>
          <t>Wooden Drums</t>
        </is>
      </c>
      <c r="I166" s="15" t="inlineStr">
        <is>
          <t>Hold</t>
        </is>
      </c>
      <c r="J166" s="15" t="inlineStr">
        <is>
          <t>C</t>
        </is>
      </c>
      <c r="K166" s="15" t="inlineStr">
        <is>
          <t>Y</t>
        </is>
      </c>
      <c r="L166" s="15" t="n">
        <v>1535</v>
      </c>
      <c r="M166" s="16" t="n">
        <v>0.8979749999999999</v>
      </c>
      <c r="N166" s="16" t="n">
        <v>0</v>
      </c>
      <c r="O166" s="16" t="n">
        <v>0</v>
      </c>
      <c r="P166" s="16" t="n">
        <v>0.8979749999999999</v>
      </c>
      <c r="Q166">
        <f>--($A166=IF('الداشبورد'!$B$5="الكل",$A166,'الداشبورد'!$B$5))</f>
        <v/>
      </c>
      <c r="R166">
        <f>--($E166=IF('الداشبورد'!$B$6="الكل",$E166,'الداشبورد'!$B$6))</f>
        <v/>
      </c>
      <c r="S166">
        <f>--($K166=IF('الداشبورد'!$B$7="الكل",$K166,IF('الداشبورد'!$B$7="تصدير","Y","N")))</f>
        <v/>
      </c>
      <c r="T166">
        <f>--($J166=IF('الداشبورد'!$B$8="الكل",$J166,IF('الداشبورد'!$B$8="AL","A","C")))</f>
        <v/>
      </c>
      <c r="U166">
        <f>--($I166=IF('الداشبورد'!$B$9="الكل",$I166,IF('الداشبورد'!$B$9="بدون حالة","P",'الداشبورد'!$B$9)))</f>
        <v/>
      </c>
      <c r="V166">
        <f>--($D166=IF('الداشبورد'!$B$10="الكل",$D166,'الداشبورد'!$B$10))</f>
        <v/>
      </c>
      <c r="W166">
        <f>--($G166=IF('الداشبورد'!$B$11="الكل",$G166,'الداشبورد'!$B$11))</f>
        <v/>
      </c>
      <c r="X166">
        <f>Q166*R166*S166*T166*U166*V166*W166*--($C166&lt;&gt;"")</f>
        <v/>
      </c>
    </row>
    <row r="167">
      <c r="A167" s="15" t="n">
        <v>3</v>
      </c>
      <c r="B167" s="15" t="inlineStr">
        <is>
          <t>G184439</t>
        </is>
      </c>
      <c r="C167" s="15" t="inlineStr">
        <is>
          <t>1491/26/01</t>
        </is>
      </c>
      <c r="D167" s="15" t="inlineStr">
        <is>
          <t>Cleveland Cables Company</t>
        </is>
      </c>
      <c r="E167" s="15" t="inlineStr">
        <is>
          <t>LV</t>
        </is>
      </c>
      <c r="F167" s="15" t="inlineStr">
        <is>
          <t>450/750 V 1X70</t>
        </is>
      </c>
      <c r="G167" s="15" t="inlineStr">
        <is>
          <t>EX01</t>
        </is>
      </c>
      <c r="H167" s="15" t="inlineStr">
        <is>
          <t>Wooden Drums</t>
        </is>
      </c>
      <c r="I167" s="15" t="inlineStr">
        <is>
          <t>OK</t>
        </is>
      </c>
      <c r="J167" s="15" t="inlineStr">
        <is>
          <t>C</t>
        </is>
      </c>
      <c r="K167" s="15" t="inlineStr">
        <is>
          <t>Y</t>
        </is>
      </c>
      <c r="L167" s="15" t="n">
        <v>1508</v>
      </c>
      <c r="M167" s="16" t="n">
        <v>0.88218</v>
      </c>
      <c r="N167" s="16" t="n">
        <v>0</v>
      </c>
      <c r="O167" s="16" t="n">
        <v>0</v>
      </c>
      <c r="P167" s="16" t="n">
        <v>0.88218</v>
      </c>
      <c r="Q167">
        <f>--($A167=IF('الداشبورد'!$B$5="الكل",$A167,'الداشبورد'!$B$5))</f>
        <v/>
      </c>
      <c r="R167">
        <f>--($E167=IF('الداشبورد'!$B$6="الكل",$E167,'الداشبورد'!$B$6))</f>
        <v/>
      </c>
      <c r="S167">
        <f>--($K167=IF('الداشبورد'!$B$7="الكل",$K167,IF('الداشبورد'!$B$7="تصدير","Y","N")))</f>
        <v/>
      </c>
      <c r="T167">
        <f>--($J167=IF('الداشبورد'!$B$8="الكل",$J167,IF('الداشبورد'!$B$8="AL","A","C")))</f>
        <v/>
      </c>
      <c r="U167">
        <f>--($I167=IF('الداشبورد'!$B$9="الكل",$I167,IF('الداشبورد'!$B$9="بدون حالة","P",'الداشبورد'!$B$9)))</f>
        <v/>
      </c>
      <c r="V167">
        <f>--($D167=IF('الداشبورد'!$B$10="الكل",$D167,'الداشبورد'!$B$10))</f>
        <v/>
      </c>
      <c r="W167">
        <f>--($G167=IF('الداشبورد'!$B$11="الكل",$G167,'الداشبورد'!$B$11))</f>
        <v/>
      </c>
      <c r="X167">
        <f>Q167*R167*S167*T167*U167*V167*W167*--($C167&lt;&gt;"")</f>
        <v/>
      </c>
    </row>
    <row r="168">
      <c r="A168" s="15" t="n">
        <v>3</v>
      </c>
      <c r="B168" s="15" t="inlineStr">
        <is>
          <t>G184437</t>
        </is>
      </c>
      <c r="C168" s="15" t="inlineStr">
        <is>
          <t>1491/26/01</t>
        </is>
      </c>
      <c r="D168" s="15" t="inlineStr">
        <is>
          <t>Cleveland Cables Company</t>
        </is>
      </c>
      <c r="E168" s="15" t="inlineStr">
        <is>
          <t>LV</t>
        </is>
      </c>
      <c r="F168" s="15" t="inlineStr">
        <is>
          <t>450/750 V 1X70</t>
        </is>
      </c>
      <c r="G168" s="15" t="inlineStr">
        <is>
          <t>EX01</t>
        </is>
      </c>
      <c r="H168" s="15" t="inlineStr">
        <is>
          <t>Wooden Drums</t>
        </is>
      </c>
      <c r="I168" s="15" t="inlineStr">
        <is>
          <t>OK</t>
        </is>
      </c>
      <c r="J168" s="15" t="inlineStr">
        <is>
          <t>C</t>
        </is>
      </c>
      <c r="K168" s="15" t="inlineStr">
        <is>
          <t>Y</t>
        </is>
      </c>
      <c r="L168" s="15" t="n">
        <v>1545</v>
      </c>
      <c r="M168" s="16" t="n">
        <v>0.9038249999999999</v>
      </c>
      <c r="N168" s="16" t="n">
        <v>0</v>
      </c>
      <c r="O168" s="16" t="n">
        <v>0</v>
      </c>
      <c r="P168" s="16" t="n">
        <v>0.9038249999999999</v>
      </c>
      <c r="Q168">
        <f>--($A168=IF('الداشبورد'!$B$5="الكل",$A168,'الداشبورد'!$B$5))</f>
        <v/>
      </c>
      <c r="R168">
        <f>--($E168=IF('الداشبورد'!$B$6="الكل",$E168,'الداشبورد'!$B$6))</f>
        <v/>
      </c>
      <c r="S168">
        <f>--($K168=IF('الداشبورد'!$B$7="الكل",$K168,IF('الداشبورد'!$B$7="تصدير","Y","N")))</f>
        <v/>
      </c>
      <c r="T168">
        <f>--($J168=IF('الداشبورد'!$B$8="الكل",$J168,IF('الداشبورد'!$B$8="AL","A","C")))</f>
        <v/>
      </c>
      <c r="U168">
        <f>--($I168=IF('الداشبورد'!$B$9="الكل",$I168,IF('الداشبورد'!$B$9="بدون حالة","P",'الداشبورد'!$B$9)))</f>
        <v/>
      </c>
      <c r="V168">
        <f>--($D168=IF('الداشبورد'!$B$10="الكل",$D168,'الداشبورد'!$B$10))</f>
        <v/>
      </c>
      <c r="W168">
        <f>--($G168=IF('الداشبورد'!$B$11="الكل",$G168,'الداشبورد'!$B$11))</f>
        <v/>
      </c>
      <c r="X168">
        <f>Q168*R168*S168*T168*U168*V168*W168*--($C168&lt;&gt;"")</f>
        <v/>
      </c>
    </row>
    <row r="169">
      <c r="A169" s="15" t="n">
        <v>3</v>
      </c>
      <c r="B169" s="15" t="inlineStr">
        <is>
          <t>N184424</t>
        </is>
      </c>
      <c r="C169" s="15" t="inlineStr">
        <is>
          <t>1380-26-01</t>
        </is>
      </c>
      <c r="D169" s="15" t="inlineStr">
        <is>
          <t>بناة مصر للانشاءات والتنميه العمرانيه والسياحيه</t>
        </is>
      </c>
      <c r="E169" s="15" t="inlineStr">
        <is>
          <t>LV</t>
        </is>
      </c>
      <c r="F169" s="15" t="inlineStr">
        <is>
          <t>0.6/1 KV 3X10</t>
        </is>
      </c>
      <c r="G169" s="15" t="inlineStr">
        <is>
          <t>EX14</t>
        </is>
      </c>
      <c r="H169" s="15" t="inlineStr">
        <is>
          <t>Wooden Drums</t>
        </is>
      </c>
      <c r="I169" s="15" t="inlineStr">
        <is>
          <t>OK</t>
        </is>
      </c>
      <c r="J169" s="15" t="inlineStr">
        <is>
          <t>C</t>
        </is>
      </c>
      <c r="K169" s="15" t="inlineStr">
        <is>
          <t>N</t>
        </is>
      </c>
      <c r="L169" s="15" t="n">
        <v>5113</v>
      </c>
      <c r="M169" s="16" t="n">
        <v>1.308928</v>
      </c>
      <c r="N169" s="16" t="n">
        <v>0</v>
      </c>
      <c r="O169" s="16" t="n">
        <v>0</v>
      </c>
      <c r="P169" s="16" t="n">
        <v>1.308928</v>
      </c>
      <c r="Q169">
        <f>--($A169=IF('الداشبورد'!$B$5="الكل",$A169,'الداشبورد'!$B$5))</f>
        <v/>
      </c>
      <c r="R169">
        <f>--($E169=IF('الداشبورد'!$B$6="الكل",$E169,'الداشبورد'!$B$6))</f>
        <v/>
      </c>
      <c r="S169">
        <f>--($K169=IF('الداشبورد'!$B$7="الكل",$K169,IF('الداشبورد'!$B$7="تصدير","Y","N")))</f>
        <v/>
      </c>
      <c r="T169">
        <f>--($J169=IF('الداشبورد'!$B$8="الكل",$J169,IF('الداشبورد'!$B$8="AL","A","C")))</f>
        <v/>
      </c>
      <c r="U169">
        <f>--($I169=IF('الداشبورد'!$B$9="الكل",$I169,IF('الداشبورد'!$B$9="بدون حالة","P",'الداشبورد'!$B$9)))</f>
        <v/>
      </c>
      <c r="V169">
        <f>--($D169=IF('الداشبورد'!$B$10="الكل",$D169,'الداشبورد'!$B$10))</f>
        <v/>
      </c>
      <c r="W169">
        <f>--($G169=IF('الداشبورد'!$B$11="الكل",$G169,'الداشبورد'!$B$11))</f>
        <v/>
      </c>
      <c r="X169">
        <f>Q169*R169*S169*T169*U169*V169*W169*--($C169&lt;&gt;"")</f>
        <v/>
      </c>
    </row>
    <row r="170">
      <c r="A170" s="15" t="n">
        <v>3</v>
      </c>
      <c r="B170" s="15" t="inlineStr">
        <is>
          <t>G184365</t>
        </is>
      </c>
      <c r="C170" s="15" t="inlineStr">
        <is>
          <t>1499/26/01</t>
        </is>
      </c>
      <c r="D170" s="15" t="inlineStr">
        <is>
          <t>ديناميك محمد عبد الله مرسى محمد وشريكه</t>
        </is>
      </c>
      <c r="E170" s="15" t="inlineStr">
        <is>
          <t>IC</t>
        </is>
      </c>
      <c r="F170" s="15" t="inlineStr">
        <is>
          <t>500 V 1X2X1.5</t>
        </is>
      </c>
      <c r="G170" s="15" t="inlineStr">
        <is>
          <t>EX14</t>
        </is>
      </c>
      <c r="H170" s="15" t="inlineStr">
        <is>
          <t>Wooden Drums</t>
        </is>
      </c>
      <c r="I170" s="15" t="inlineStr">
        <is>
          <t>OK</t>
        </is>
      </c>
      <c r="J170" s="15" t="inlineStr">
        <is>
          <t>C</t>
        </is>
      </c>
      <c r="K170" s="15" t="inlineStr">
        <is>
          <t>N</t>
        </is>
      </c>
      <c r="L170" s="15" t="n">
        <v>1000</v>
      </c>
      <c r="M170" s="16" t="n">
        <v>0.028</v>
      </c>
      <c r="N170" s="16" t="n">
        <v>0</v>
      </c>
      <c r="O170" s="16" t="n">
        <v>0</v>
      </c>
      <c r="P170" s="16" t="n">
        <v>0.028</v>
      </c>
      <c r="Q170">
        <f>--($A170=IF('الداشبورد'!$B$5="الكل",$A170,'الداشبورد'!$B$5))</f>
        <v/>
      </c>
      <c r="R170">
        <f>--($E170=IF('الداشبورد'!$B$6="الكل",$E170,'الداشبورد'!$B$6))</f>
        <v/>
      </c>
      <c r="S170">
        <f>--($K170=IF('الداشبورد'!$B$7="الكل",$K170,IF('الداشبورد'!$B$7="تصدير","Y","N")))</f>
        <v/>
      </c>
      <c r="T170">
        <f>--($J170=IF('الداشبورد'!$B$8="الكل",$J170,IF('الداشبورد'!$B$8="AL","A","C")))</f>
        <v/>
      </c>
      <c r="U170">
        <f>--($I170=IF('الداشبورد'!$B$9="الكل",$I170,IF('الداشبورد'!$B$9="بدون حالة","P",'الداشبورد'!$B$9)))</f>
        <v/>
      </c>
      <c r="V170">
        <f>--($D170=IF('الداشبورد'!$B$10="الكل",$D170,'الداشبورد'!$B$10))</f>
        <v/>
      </c>
      <c r="W170">
        <f>--($G170=IF('الداشبورد'!$B$11="الكل",$G170,'الداشبورد'!$B$11))</f>
        <v/>
      </c>
      <c r="X170">
        <f>Q170*R170*S170*T170*U170*V170*W170*--($C170&lt;&gt;"")</f>
        <v/>
      </c>
    </row>
    <row r="171">
      <c r="A171" s="15" t="n">
        <v>3</v>
      </c>
      <c r="B171" s="15" t="inlineStr">
        <is>
          <t>F184366</t>
        </is>
      </c>
      <c r="C171" s="15" t="inlineStr">
        <is>
          <t>1804/26/82</t>
        </is>
      </c>
      <c r="D171" s="15" t="inlineStr">
        <is>
          <t>بلاك راينو للتجاره والمقاولات</t>
        </is>
      </c>
      <c r="E171" s="15" t="inlineStr">
        <is>
          <t>CC</t>
        </is>
      </c>
      <c r="F171" s="15" t="inlineStr">
        <is>
          <t>500 2X1.5</t>
        </is>
      </c>
      <c r="G171" s="15" t="inlineStr">
        <is>
          <t>EX13</t>
        </is>
      </c>
      <c r="H171" s="15" t="inlineStr">
        <is>
          <t>Wooden Drums</t>
        </is>
      </c>
      <c r="I171" s="15" t="inlineStr">
        <is>
          <t>OK</t>
        </is>
      </c>
      <c r="J171" s="15" t="inlineStr">
        <is>
          <t>C</t>
        </is>
      </c>
      <c r="K171" s="15" t="inlineStr">
        <is>
          <t>N</t>
        </is>
      </c>
      <c r="L171" s="15" t="n">
        <v>2040</v>
      </c>
      <c r="M171" s="16" t="n">
        <v>0.05508</v>
      </c>
      <c r="N171" s="16" t="n">
        <v>0</v>
      </c>
      <c r="O171" s="16" t="n">
        <v>0</v>
      </c>
      <c r="P171" s="16" t="n">
        <v>0.05508</v>
      </c>
      <c r="Q171">
        <f>--($A171=IF('الداشبورد'!$B$5="الكل",$A171,'الداشبورد'!$B$5))</f>
        <v/>
      </c>
      <c r="R171">
        <f>--($E171=IF('الداشبورد'!$B$6="الكل",$E171,'الداشبورد'!$B$6))</f>
        <v/>
      </c>
      <c r="S171">
        <f>--($K171=IF('الداشبورد'!$B$7="الكل",$K171,IF('الداشبورد'!$B$7="تصدير","Y","N")))</f>
        <v/>
      </c>
      <c r="T171">
        <f>--($J171=IF('الداشبورد'!$B$8="الكل",$J171,IF('الداشبورد'!$B$8="AL","A","C")))</f>
        <v/>
      </c>
      <c r="U171">
        <f>--($I171=IF('الداشبورد'!$B$9="الكل",$I171,IF('الداشبورد'!$B$9="بدون حالة","P",'الداشبورد'!$B$9)))</f>
        <v/>
      </c>
      <c r="V171">
        <f>--($D171=IF('الداشبورد'!$B$10="الكل",$D171,'الداشبورد'!$B$10))</f>
        <v/>
      </c>
      <c r="W171">
        <f>--($G171=IF('الداشبورد'!$B$11="الكل",$G171,'الداشبورد'!$B$11))</f>
        <v/>
      </c>
      <c r="X171">
        <f>Q171*R171*S171*T171*U171*V171*W171*--($C171&lt;&gt;"")</f>
        <v/>
      </c>
    </row>
    <row r="172">
      <c r="A172" s="15" t="n">
        <v>3</v>
      </c>
      <c r="B172" s="15" t="inlineStr">
        <is>
          <t>P184419</t>
        </is>
      </c>
      <c r="C172" s="15" t="inlineStr">
        <is>
          <t>1385/26/08</t>
        </is>
      </c>
      <c r="D172" s="15" t="inlineStr">
        <is>
          <t>الشركة العربية للصناعة والتجارة الدولية</t>
        </is>
      </c>
      <c r="E172" s="15" t="inlineStr">
        <is>
          <t>LV</t>
        </is>
      </c>
      <c r="F172" s="15" t="inlineStr">
        <is>
          <t>0.6/1 KV 3*70+35</t>
        </is>
      </c>
      <c r="G172" s="15" t="inlineStr">
        <is>
          <t>EX03</t>
        </is>
      </c>
      <c r="H172" s="15" t="inlineStr">
        <is>
          <t>Wooden Drums</t>
        </is>
      </c>
      <c r="I172" s="15" t="inlineStr">
        <is>
          <t>OK</t>
        </is>
      </c>
      <c r="J172" s="15" t="inlineStr">
        <is>
          <t>A</t>
        </is>
      </c>
      <c r="K172" s="15" t="inlineStr">
        <is>
          <t>N</t>
        </is>
      </c>
      <c r="L172" s="15" t="n">
        <v>975</v>
      </c>
      <c r="M172" s="16" t="n">
        <v>0.6308250000000001</v>
      </c>
      <c r="N172" s="16" t="n">
        <v>0</v>
      </c>
      <c r="O172" s="16" t="n">
        <v>0</v>
      </c>
      <c r="P172" s="16" t="n">
        <v>0.6308250000000001</v>
      </c>
      <c r="Q172">
        <f>--($A172=IF('الداشبورد'!$B$5="الكل",$A172,'الداشبورد'!$B$5))</f>
        <v/>
      </c>
      <c r="R172">
        <f>--($E172=IF('الداشبورد'!$B$6="الكل",$E172,'الداشبورد'!$B$6))</f>
        <v/>
      </c>
      <c r="S172">
        <f>--($K172=IF('الداشبورد'!$B$7="الكل",$K172,IF('الداشبورد'!$B$7="تصدير","Y","N")))</f>
        <v/>
      </c>
      <c r="T172">
        <f>--($J172=IF('الداشبورد'!$B$8="الكل",$J172,IF('الداشبورد'!$B$8="AL","A","C")))</f>
        <v/>
      </c>
      <c r="U172">
        <f>--($I172=IF('الداشبورد'!$B$9="الكل",$I172,IF('الداشبورد'!$B$9="بدون حالة","P",'الداشبورد'!$B$9)))</f>
        <v/>
      </c>
      <c r="V172">
        <f>--($D172=IF('الداشبورد'!$B$10="الكل",$D172,'الداشبورد'!$B$10))</f>
        <v/>
      </c>
      <c r="W172">
        <f>--($G172=IF('الداشبورد'!$B$11="الكل",$G172,'الداشبورد'!$B$11))</f>
        <v/>
      </c>
      <c r="X172">
        <f>Q172*R172*S172*T172*U172*V172*W172*--($C172&lt;&gt;"")</f>
        <v/>
      </c>
    </row>
    <row r="173">
      <c r="A173" s="15" t="n">
        <v>3</v>
      </c>
      <c r="B173" s="15" t="inlineStr">
        <is>
          <t>P184418</t>
        </is>
      </c>
      <c r="C173" s="15" t="inlineStr">
        <is>
          <t>1385/26/08</t>
        </is>
      </c>
      <c r="D173" s="15" t="inlineStr">
        <is>
          <t>الشركة العربية للصناعة والتجارة الدولية</t>
        </is>
      </c>
      <c r="E173" s="15" t="inlineStr">
        <is>
          <t>LV</t>
        </is>
      </c>
      <c r="F173" s="15" t="inlineStr">
        <is>
          <t>0.6/1 KV 3*70+35</t>
        </is>
      </c>
      <c r="G173" s="15" t="inlineStr">
        <is>
          <t>EX03</t>
        </is>
      </c>
      <c r="H173" s="15" t="inlineStr">
        <is>
          <t>Wooden Drums</t>
        </is>
      </c>
      <c r="I173" s="15" t="inlineStr">
        <is>
          <t>OK</t>
        </is>
      </c>
      <c r="J173" s="15" t="inlineStr">
        <is>
          <t>A</t>
        </is>
      </c>
      <c r="K173" s="15" t="inlineStr">
        <is>
          <t>N</t>
        </is>
      </c>
      <c r="L173" s="15" t="n">
        <v>998</v>
      </c>
      <c r="M173" s="16" t="n">
        <v>0.645706</v>
      </c>
      <c r="N173" s="16" t="n">
        <v>0</v>
      </c>
      <c r="O173" s="16" t="n">
        <v>0</v>
      </c>
      <c r="P173" s="16" t="n">
        <v>0.645706</v>
      </c>
      <c r="Q173">
        <f>--($A173=IF('الداشبورد'!$B$5="الكل",$A173,'الداشبورد'!$B$5))</f>
        <v/>
      </c>
      <c r="R173">
        <f>--($E173=IF('الداشبورد'!$B$6="الكل",$E173,'الداشبورد'!$B$6))</f>
        <v/>
      </c>
      <c r="S173">
        <f>--($K173=IF('الداشبورد'!$B$7="الكل",$K173,IF('الداشبورد'!$B$7="تصدير","Y","N")))</f>
        <v/>
      </c>
      <c r="T173">
        <f>--($J173=IF('الداشبورد'!$B$8="الكل",$J173,IF('الداشبورد'!$B$8="AL","A","C")))</f>
        <v/>
      </c>
      <c r="U173">
        <f>--($I173=IF('الداشبورد'!$B$9="الكل",$I173,IF('الداشبورد'!$B$9="بدون حالة","P",'الداشبورد'!$B$9)))</f>
        <v/>
      </c>
      <c r="V173">
        <f>--($D173=IF('الداشبورد'!$B$10="الكل",$D173,'الداشبورد'!$B$10))</f>
        <v/>
      </c>
      <c r="W173">
        <f>--($G173=IF('الداشبورد'!$B$11="الكل",$G173,'الداشبورد'!$B$11))</f>
        <v/>
      </c>
      <c r="X173">
        <f>Q173*R173*S173*T173*U173*V173*W173*--($C173&lt;&gt;"")</f>
        <v/>
      </c>
    </row>
    <row r="174">
      <c r="A174" s="15" t="n">
        <v>3</v>
      </c>
      <c r="B174" s="15" t="inlineStr">
        <is>
          <t>M181701</t>
        </is>
      </c>
      <c r="C174" s="15" t="inlineStr">
        <is>
          <t>1385/26/08</t>
        </is>
      </c>
      <c r="D174" s="15" t="inlineStr">
        <is>
          <t>الشركة العربية للصناعة والتجارة الدولية</t>
        </is>
      </c>
      <c r="E174" s="15" t="inlineStr">
        <is>
          <t>LV</t>
        </is>
      </c>
      <c r="F174" s="15" t="inlineStr">
        <is>
          <t>0.6/1 KV 3*70+35</t>
        </is>
      </c>
      <c r="G174" s="15" t="inlineStr">
        <is>
          <t>EX03</t>
        </is>
      </c>
      <c r="H174" s="15" t="inlineStr">
        <is>
          <t>Wooden Drums</t>
        </is>
      </c>
      <c r="I174" s="15" t="inlineStr">
        <is>
          <t>OK</t>
        </is>
      </c>
      <c r="J174" s="15" t="inlineStr">
        <is>
          <t>A</t>
        </is>
      </c>
      <c r="K174" s="15" t="inlineStr">
        <is>
          <t>N</t>
        </is>
      </c>
      <c r="L174" s="15" t="n">
        <v>980</v>
      </c>
      <c r="M174" s="16" t="n">
        <v>0.6340600000000001</v>
      </c>
      <c r="N174" s="16" t="n">
        <v>0</v>
      </c>
      <c r="O174" s="16" t="n">
        <v>0</v>
      </c>
      <c r="P174" s="16" t="n">
        <v>0.6340600000000001</v>
      </c>
      <c r="Q174">
        <f>--($A174=IF('الداشبورد'!$B$5="الكل",$A174,'الداشبورد'!$B$5))</f>
        <v/>
      </c>
      <c r="R174">
        <f>--($E174=IF('الداشبورد'!$B$6="الكل",$E174,'الداشبورد'!$B$6))</f>
        <v/>
      </c>
      <c r="S174">
        <f>--($K174=IF('الداشبورد'!$B$7="الكل",$K174,IF('الداشبورد'!$B$7="تصدير","Y","N")))</f>
        <v/>
      </c>
      <c r="T174">
        <f>--($J174=IF('الداشبورد'!$B$8="الكل",$J174,IF('الداشبورد'!$B$8="AL","A","C")))</f>
        <v/>
      </c>
      <c r="U174">
        <f>--($I174=IF('الداشبورد'!$B$9="الكل",$I174,IF('الداشبورد'!$B$9="بدون حالة","P",'الداشبورد'!$B$9)))</f>
        <v/>
      </c>
      <c r="V174">
        <f>--($D174=IF('الداشبورد'!$B$10="الكل",$D174,'الداشبورد'!$B$10))</f>
        <v/>
      </c>
      <c r="W174">
        <f>--($G174=IF('الداشبورد'!$B$11="الكل",$G174,'الداشبورد'!$B$11))</f>
        <v/>
      </c>
      <c r="X174">
        <f>Q174*R174*S174*T174*U174*V174*W174*--($C174&lt;&gt;"")</f>
        <v/>
      </c>
    </row>
    <row r="175">
      <c r="A175" s="15" t="n">
        <v>3</v>
      </c>
      <c r="B175" s="15" t="inlineStr">
        <is>
          <t>N180144</t>
        </is>
      </c>
      <c r="C175" s="15" t="inlineStr">
        <is>
          <t>1385/26/08</t>
        </is>
      </c>
      <c r="D175" s="15" t="inlineStr">
        <is>
          <t>الشركة العربية للصناعة والتجارة الدولية</t>
        </is>
      </c>
      <c r="E175" s="15" t="inlineStr">
        <is>
          <t>LV</t>
        </is>
      </c>
      <c r="F175" s="15" t="inlineStr">
        <is>
          <t>0.6/1 KV 3*70+35</t>
        </is>
      </c>
      <c r="G175" s="15" t="inlineStr">
        <is>
          <t>EX03</t>
        </is>
      </c>
      <c r="H175" s="15" t="inlineStr">
        <is>
          <t>Wooden Drums</t>
        </is>
      </c>
      <c r="I175" s="15" t="inlineStr">
        <is>
          <t>OK</t>
        </is>
      </c>
      <c r="J175" s="15" t="inlineStr">
        <is>
          <t>A</t>
        </is>
      </c>
      <c r="K175" s="15" t="inlineStr">
        <is>
          <t>N</t>
        </is>
      </c>
      <c r="L175" s="15" t="n">
        <v>980</v>
      </c>
      <c r="M175" s="16" t="n">
        <v>0.6340600000000001</v>
      </c>
      <c r="N175" s="16" t="n">
        <v>0</v>
      </c>
      <c r="O175" s="16" t="n">
        <v>0</v>
      </c>
      <c r="P175" s="16" t="n">
        <v>0.6340600000000001</v>
      </c>
      <c r="Q175">
        <f>--($A175=IF('الداشبورد'!$B$5="الكل",$A175,'الداشبورد'!$B$5))</f>
        <v/>
      </c>
      <c r="R175">
        <f>--($E175=IF('الداشبورد'!$B$6="الكل",$E175,'الداشبورد'!$B$6))</f>
        <v/>
      </c>
      <c r="S175">
        <f>--($K175=IF('الداشبورد'!$B$7="الكل",$K175,IF('الداشبورد'!$B$7="تصدير","Y","N")))</f>
        <v/>
      </c>
      <c r="T175">
        <f>--($J175=IF('الداشبورد'!$B$8="الكل",$J175,IF('الداشبورد'!$B$8="AL","A","C")))</f>
        <v/>
      </c>
      <c r="U175">
        <f>--($I175=IF('الداشبورد'!$B$9="الكل",$I175,IF('الداشبورد'!$B$9="بدون حالة","P",'الداشبورد'!$B$9)))</f>
        <v/>
      </c>
      <c r="V175">
        <f>--($D175=IF('الداشبورد'!$B$10="الكل",$D175,'الداشبورد'!$B$10))</f>
        <v/>
      </c>
      <c r="W175">
        <f>--($G175=IF('الداشبورد'!$B$11="الكل",$G175,'الداشبورد'!$B$11))</f>
        <v/>
      </c>
      <c r="X175">
        <f>Q175*R175*S175*T175*U175*V175*W175*--($C175&lt;&gt;"")</f>
        <v/>
      </c>
    </row>
    <row r="176">
      <c r="A176" s="15" t="n">
        <v>3</v>
      </c>
      <c r="B176" s="15" t="inlineStr">
        <is>
          <t>L184451</t>
        </is>
      </c>
      <c r="C176" s="15" t="inlineStr">
        <is>
          <t>1385/26/08</t>
        </is>
      </c>
      <c r="D176" s="15" t="inlineStr">
        <is>
          <t>الشركة العربية للصناعة والتجارة الدولية</t>
        </is>
      </c>
      <c r="E176" s="15" t="inlineStr">
        <is>
          <t>LV</t>
        </is>
      </c>
      <c r="F176" s="15" t="inlineStr">
        <is>
          <t>0.6/1 KV 3*70+35</t>
        </is>
      </c>
      <c r="G176" s="15" t="inlineStr">
        <is>
          <t>EX03</t>
        </is>
      </c>
      <c r="H176" s="15" t="inlineStr">
        <is>
          <t>Wooden Drums</t>
        </is>
      </c>
      <c r="I176" s="15" t="inlineStr">
        <is>
          <t>OK</t>
        </is>
      </c>
      <c r="J176" s="15" t="inlineStr">
        <is>
          <t>A</t>
        </is>
      </c>
      <c r="K176" s="15" t="inlineStr">
        <is>
          <t>N</t>
        </is>
      </c>
      <c r="L176" s="15" t="n">
        <v>983</v>
      </c>
      <c r="M176" s="16" t="n">
        <v>0.6360009999999999</v>
      </c>
      <c r="N176" s="16" t="n">
        <v>0</v>
      </c>
      <c r="O176" s="16" t="n">
        <v>0</v>
      </c>
      <c r="P176" s="16" t="n">
        <v>0.6360009999999999</v>
      </c>
      <c r="Q176">
        <f>--($A176=IF('الداشبورد'!$B$5="الكل",$A176,'الداشبورد'!$B$5))</f>
        <v/>
      </c>
      <c r="R176">
        <f>--($E176=IF('الداشبورد'!$B$6="الكل",$E176,'الداشبورد'!$B$6))</f>
        <v/>
      </c>
      <c r="S176">
        <f>--($K176=IF('الداشبورد'!$B$7="الكل",$K176,IF('الداشبورد'!$B$7="تصدير","Y","N")))</f>
        <v/>
      </c>
      <c r="T176">
        <f>--($J176=IF('الداشبورد'!$B$8="الكل",$J176,IF('الداشبورد'!$B$8="AL","A","C")))</f>
        <v/>
      </c>
      <c r="U176">
        <f>--($I176=IF('الداشبورد'!$B$9="الكل",$I176,IF('الداشبورد'!$B$9="بدون حالة","P",'الداشبورد'!$B$9)))</f>
        <v/>
      </c>
      <c r="V176">
        <f>--($D176=IF('الداشبورد'!$B$10="الكل",$D176,'الداشبورد'!$B$10))</f>
        <v/>
      </c>
      <c r="W176">
        <f>--($G176=IF('الداشبورد'!$B$11="الكل",$G176,'الداشبورد'!$B$11))</f>
        <v/>
      </c>
      <c r="X176">
        <f>Q176*R176*S176*T176*U176*V176*W176*--($C176&lt;&gt;"")</f>
        <v/>
      </c>
    </row>
    <row r="177">
      <c r="A177" s="15" t="n">
        <v>3</v>
      </c>
      <c r="B177" s="15" t="inlineStr">
        <is>
          <t>O184388</t>
        </is>
      </c>
      <c r="C177" s="15" t="inlineStr">
        <is>
          <t>1200/26/06</t>
        </is>
      </c>
      <c r="D177" s="15" t="inlineStr">
        <is>
          <t>INSELL</t>
        </is>
      </c>
      <c r="E177" s="15" t="inlineStr">
        <is>
          <t>MV</t>
        </is>
      </c>
      <c r="F177" s="15" t="inlineStr">
        <is>
          <t>12/20 KV 1X120/25</t>
        </is>
      </c>
      <c r="G177" s="15" t="inlineStr">
        <is>
          <t>EX06</t>
        </is>
      </c>
      <c r="H177" s="15" t="inlineStr">
        <is>
          <t>Wooden Drums</t>
        </is>
      </c>
      <c r="I177" s="15" t="inlineStr">
        <is>
          <t>OK</t>
        </is>
      </c>
      <c r="J177" s="15" t="inlineStr">
        <is>
          <t>A</t>
        </is>
      </c>
      <c r="K177" s="15" t="inlineStr">
        <is>
          <t>Y</t>
        </is>
      </c>
      <c r="L177" s="15" t="n">
        <v>2045</v>
      </c>
      <c r="M177" s="16" t="n">
        <v>0.6441749999999999</v>
      </c>
      <c r="N177" s="16" t="n">
        <v>0.47035</v>
      </c>
      <c r="O177" s="16" t="n">
        <v>0</v>
      </c>
      <c r="P177" s="16" t="n">
        <v>1.114525</v>
      </c>
      <c r="Q177">
        <f>--($A177=IF('الداشبورد'!$B$5="الكل",$A177,'الداشبورد'!$B$5))</f>
        <v/>
      </c>
      <c r="R177">
        <f>--($E177=IF('الداشبورد'!$B$6="الكل",$E177,'الداشبورد'!$B$6))</f>
        <v/>
      </c>
      <c r="S177">
        <f>--($K177=IF('الداشبورد'!$B$7="الكل",$K177,IF('الداشبورد'!$B$7="تصدير","Y","N")))</f>
        <v/>
      </c>
      <c r="T177">
        <f>--($J177=IF('الداشبورد'!$B$8="الكل",$J177,IF('الداشبورد'!$B$8="AL","A","C")))</f>
        <v/>
      </c>
      <c r="U177">
        <f>--($I177=IF('الداشبورد'!$B$9="الكل",$I177,IF('الداشبورد'!$B$9="بدون حالة","P",'الداشبورد'!$B$9)))</f>
        <v/>
      </c>
      <c r="V177">
        <f>--($D177=IF('الداشبورد'!$B$10="الكل",$D177,'الداشبورد'!$B$10))</f>
        <v/>
      </c>
      <c r="W177">
        <f>--($G177=IF('الداشبورد'!$B$11="الكل",$G177,'الداشبورد'!$B$11))</f>
        <v/>
      </c>
      <c r="X177">
        <f>Q177*R177*S177*T177*U177*V177*W177*--($C177&lt;&gt;"")</f>
        <v/>
      </c>
    </row>
    <row r="178">
      <c r="A178" s="15" t="n">
        <v>3</v>
      </c>
      <c r="B178" s="15" t="inlineStr">
        <is>
          <t>O184443</t>
        </is>
      </c>
      <c r="C178" s="15" t="inlineStr">
        <is>
          <t>1200/26/06</t>
        </is>
      </c>
      <c r="D178" s="15" t="inlineStr">
        <is>
          <t>INSELL</t>
        </is>
      </c>
      <c r="E178" s="15" t="inlineStr">
        <is>
          <t>MV</t>
        </is>
      </c>
      <c r="F178" s="15" t="inlineStr">
        <is>
          <t>12/20 KV 1X120/25</t>
        </is>
      </c>
      <c r="G178" s="15" t="inlineStr">
        <is>
          <t>EX06</t>
        </is>
      </c>
      <c r="H178" s="15" t="inlineStr">
        <is>
          <t>Wooden Drums</t>
        </is>
      </c>
      <c r="I178" s="15" t="inlineStr">
        <is>
          <t>OK</t>
        </is>
      </c>
      <c r="J178" s="15" t="inlineStr">
        <is>
          <t>A</t>
        </is>
      </c>
      <c r="K178" s="15" t="inlineStr">
        <is>
          <t>Y</t>
        </is>
      </c>
      <c r="L178" s="15" t="n">
        <v>2020</v>
      </c>
      <c r="M178" s="16" t="n">
        <v>0.6363</v>
      </c>
      <c r="N178" s="16" t="n">
        <v>0.4646</v>
      </c>
      <c r="O178" s="16" t="n">
        <v>0</v>
      </c>
      <c r="P178" s="16" t="n">
        <v>1.1009</v>
      </c>
      <c r="Q178">
        <f>--($A178=IF('الداشبورد'!$B$5="الكل",$A178,'الداشبورد'!$B$5))</f>
        <v/>
      </c>
      <c r="R178">
        <f>--($E178=IF('الداشبورد'!$B$6="الكل",$E178,'الداشبورد'!$B$6))</f>
        <v/>
      </c>
      <c r="S178">
        <f>--($K178=IF('الداشبورد'!$B$7="الكل",$K178,IF('الداشبورد'!$B$7="تصدير","Y","N")))</f>
        <v/>
      </c>
      <c r="T178">
        <f>--($J178=IF('الداشبورد'!$B$8="الكل",$J178,IF('الداشبورد'!$B$8="AL","A","C")))</f>
        <v/>
      </c>
      <c r="U178">
        <f>--($I178=IF('الداشبورد'!$B$9="الكل",$I178,IF('الداشبورد'!$B$9="بدون حالة","P",'الداشبورد'!$B$9)))</f>
        <v/>
      </c>
      <c r="V178">
        <f>--($D178=IF('الداشبورد'!$B$10="الكل",$D178,'الداشبورد'!$B$10))</f>
        <v/>
      </c>
      <c r="W178">
        <f>--($G178=IF('الداشبورد'!$B$11="الكل",$G178,'الداشبورد'!$B$11))</f>
        <v/>
      </c>
      <c r="X178">
        <f>Q178*R178*S178*T178*U178*V178*W178*--($C178&lt;&gt;"")</f>
        <v/>
      </c>
    </row>
    <row r="179">
      <c r="A179" s="15" t="n">
        <v>3</v>
      </c>
      <c r="B179" s="15" t="inlineStr">
        <is>
          <t>O184442</t>
        </is>
      </c>
      <c r="C179" s="15" t="inlineStr">
        <is>
          <t>1200/26/06</t>
        </is>
      </c>
      <c r="D179" s="15" t="inlineStr">
        <is>
          <t>INSELL</t>
        </is>
      </c>
      <c r="E179" s="15" t="inlineStr">
        <is>
          <t>MV</t>
        </is>
      </c>
      <c r="F179" s="15" t="inlineStr">
        <is>
          <t>12/20 KV 1X120/25</t>
        </is>
      </c>
      <c r="G179" s="15" t="inlineStr">
        <is>
          <t>EX06</t>
        </is>
      </c>
      <c r="H179" s="15" t="inlineStr">
        <is>
          <t>Wooden Drums</t>
        </is>
      </c>
      <c r="I179" s="15" t="inlineStr">
        <is>
          <t>OK</t>
        </is>
      </c>
      <c r="J179" s="15" t="inlineStr">
        <is>
          <t>A</t>
        </is>
      </c>
      <c r="K179" s="15" t="inlineStr">
        <is>
          <t>Y</t>
        </is>
      </c>
      <c r="L179" s="15" t="n">
        <v>1932</v>
      </c>
      <c r="M179" s="16" t="n">
        <v>0.60858</v>
      </c>
      <c r="N179" s="16" t="n">
        <v>0.44436</v>
      </c>
      <c r="O179" s="16" t="n">
        <v>0</v>
      </c>
      <c r="P179" s="16" t="n">
        <v>1.05294</v>
      </c>
      <c r="Q179">
        <f>--($A179=IF('الداشبورد'!$B$5="الكل",$A179,'الداشبورد'!$B$5))</f>
        <v/>
      </c>
      <c r="R179">
        <f>--($E179=IF('الداشبورد'!$B$6="الكل",$E179,'الداشبورد'!$B$6))</f>
        <v/>
      </c>
      <c r="S179">
        <f>--($K179=IF('الداشبورد'!$B$7="الكل",$K179,IF('الداشبورد'!$B$7="تصدير","Y","N")))</f>
        <v/>
      </c>
      <c r="T179">
        <f>--($J179=IF('الداشبورد'!$B$8="الكل",$J179,IF('الداشبورد'!$B$8="AL","A","C")))</f>
        <v/>
      </c>
      <c r="U179">
        <f>--($I179=IF('الداشبورد'!$B$9="الكل",$I179,IF('الداشبورد'!$B$9="بدون حالة","P",'الداشبورد'!$B$9)))</f>
        <v/>
      </c>
      <c r="V179">
        <f>--($D179=IF('الداشبورد'!$B$10="الكل",$D179,'الداشبورد'!$B$10))</f>
        <v/>
      </c>
      <c r="W179">
        <f>--($G179=IF('الداشبورد'!$B$11="الكل",$G179,'الداشبورد'!$B$11))</f>
        <v/>
      </c>
      <c r="X179">
        <f>Q179*R179*S179*T179*U179*V179*W179*--($C179&lt;&gt;"")</f>
        <v/>
      </c>
    </row>
    <row r="180">
      <c r="A180" s="15" t="n">
        <v>3</v>
      </c>
      <c r="B180" s="15" t="inlineStr">
        <is>
          <t>O184381</t>
        </is>
      </c>
      <c r="C180" s="15" t="inlineStr">
        <is>
          <t>1200/26/06</t>
        </is>
      </c>
      <c r="D180" s="15" t="inlineStr">
        <is>
          <t>INSELL</t>
        </is>
      </c>
      <c r="E180" s="15" t="inlineStr">
        <is>
          <t>MV</t>
        </is>
      </c>
      <c r="F180" s="15" t="inlineStr">
        <is>
          <t>12/20 KV 1X120/25</t>
        </is>
      </c>
      <c r="G180" s="15" t="inlineStr">
        <is>
          <t>EX06</t>
        </is>
      </c>
      <c r="H180" s="15" t="inlineStr">
        <is>
          <t>Wooden Drums</t>
        </is>
      </c>
      <c r="I180" s="15" t="inlineStr">
        <is>
          <t>OK</t>
        </is>
      </c>
      <c r="J180" s="15" t="inlineStr">
        <is>
          <t>A</t>
        </is>
      </c>
      <c r="K180" s="15" t="inlineStr">
        <is>
          <t>Y</t>
        </is>
      </c>
      <c r="L180" s="15" t="n">
        <v>2023</v>
      </c>
      <c r="M180" s="16" t="n">
        <v>0.637245</v>
      </c>
      <c r="N180" s="16" t="n">
        <v>0.46529</v>
      </c>
      <c r="O180" s="16" t="n">
        <v>0</v>
      </c>
      <c r="P180" s="16" t="n">
        <v>1.102535</v>
      </c>
      <c r="Q180">
        <f>--($A180=IF('الداشبورد'!$B$5="الكل",$A180,'الداشبورد'!$B$5))</f>
        <v/>
      </c>
      <c r="R180">
        <f>--($E180=IF('الداشبورد'!$B$6="الكل",$E180,'الداشبورد'!$B$6))</f>
        <v/>
      </c>
      <c r="S180">
        <f>--($K180=IF('الداشبورد'!$B$7="الكل",$K180,IF('الداشبورد'!$B$7="تصدير","Y","N")))</f>
        <v/>
      </c>
      <c r="T180">
        <f>--($J180=IF('الداشبورد'!$B$8="الكل",$J180,IF('الداشبورد'!$B$8="AL","A","C")))</f>
        <v/>
      </c>
      <c r="U180">
        <f>--($I180=IF('الداشبورد'!$B$9="الكل",$I180,IF('الداشبورد'!$B$9="بدون حالة","P",'الداشبورد'!$B$9)))</f>
        <v/>
      </c>
      <c r="V180">
        <f>--($D180=IF('الداشبورد'!$B$10="الكل",$D180,'الداشبورد'!$B$10))</f>
        <v/>
      </c>
      <c r="W180">
        <f>--($G180=IF('الداشبورد'!$B$11="الكل",$G180,'الداشبورد'!$B$11))</f>
        <v/>
      </c>
      <c r="X180">
        <f>Q180*R180*S180*T180*U180*V180*W180*--($C180&lt;&gt;"")</f>
        <v/>
      </c>
    </row>
    <row r="181">
      <c r="A181" s="15" t="n">
        <v>3</v>
      </c>
      <c r="B181" s="15" t="inlineStr">
        <is>
          <t>O184386</t>
        </is>
      </c>
      <c r="C181" s="15" t="inlineStr">
        <is>
          <t>1200/26/06</t>
        </is>
      </c>
      <c r="D181" s="15" t="inlineStr">
        <is>
          <t>INSELL</t>
        </is>
      </c>
      <c r="E181" s="15" t="inlineStr">
        <is>
          <t>MV</t>
        </is>
      </c>
      <c r="F181" s="15" t="inlineStr">
        <is>
          <t>12/20 KV 1X120/25</t>
        </is>
      </c>
      <c r="G181" s="15" t="inlineStr">
        <is>
          <t>EX06</t>
        </is>
      </c>
      <c r="H181" s="15" t="inlineStr">
        <is>
          <t>Wooden Drums</t>
        </is>
      </c>
      <c r="I181" s="15" t="inlineStr">
        <is>
          <t>OK</t>
        </is>
      </c>
      <c r="J181" s="15" t="inlineStr">
        <is>
          <t>A</t>
        </is>
      </c>
      <c r="K181" s="15" t="inlineStr">
        <is>
          <t>Y</t>
        </is>
      </c>
      <c r="L181" s="15" t="n">
        <v>2023</v>
      </c>
      <c r="M181" s="16" t="n">
        <v>0.637245</v>
      </c>
      <c r="N181" s="16" t="n">
        <v>0.46529</v>
      </c>
      <c r="O181" s="16" t="n">
        <v>0</v>
      </c>
      <c r="P181" s="16" t="n">
        <v>1.102535</v>
      </c>
      <c r="Q181">
        <f>--($A181=IF('الداشبورد'!$B$5="الكل",$A181,'الداشبورد'!$B$5))</f>
        <v/>
      </c>
      <c r="R181">
        <f>--($E181=IF('الداشبورد'!$B$6="الكل",$E181,'الداشبورد'!$B$6))</f>
        <v/>
      </c>
      <c r="S181">
        <f>--($K181=IF('الداشبورد'!$B$7="الكل",$K181,IF('الداشبورد'!$B$7="تصدير","Y","N")))</f>
        <v/>
      </c>
      <c r="T181">
        <f>--($J181=IF('الداشبورد'!$B$8="الكل",$J181,IF('الداشبورد'!$B$8="AL","A","C")))</f>
        <v/>
      </c>
      <c r="U181">
        <f>--($I181=IF('الداشبورد'!$B$9="الكل",$I181,IF('الداشبورد'!$B$9="بدون حالة","P",'الداشبورد'!$B$9)))</f>
        <v/>
      </c>
      <c r="V181">
        <f>--($D181=IF('الداشبورد'!$B$10="الكل",$D181,'الداشبورد'!$B$10))</f>
        <v/>
      </c>
      <c r="W181">
        <f>--($G181=IF('الداشبورد'!$B$11="الكل",$G181,'الداشبورد'!$B$11))</f>
        <v/>
      </c>
      <c r="X181">
        <f>Q181*R181*S181*T181*U181*V181*W181*--($C181&lt;&gt;"")</f>
        <v/>
      </c>
    </row>
    <row r="182">
      <c r="A182" s="15" t="n">
        <v>3</v>
      </c>
      <c r="B182" s="15" t="inlineStr">
        <is>
          <t>O184258</t>
        </is>
      </c>
      <c r="C182" s="15" t="inlineStr">
        <is>
          <t>1200/26/06</t>
        </is>
      </c>
      <c r="D182" s="15" t="inlineStr">
        <is>
          <t>INSELL</t>
        </is>
      </c>
      <c r="E182" s="15" t="inlineStr">
        <is>
          <t>MV</t>
        </is>
      </c>
      <c r="F182" s="15" t="inlineStr">
        <is>
          <t>12/20 KV 1X120/25</t>
        </is>
      </c>
      <c r="G182" s="15" t="inlineStr">
        <is>
          <t>EX06</t>
        </is>
      </c>
      <c r="H182" s="15" t="inlineStr">
        <is>
          <t>Wooden Drums</t>
        </is>
      </c>
      <c r="I182" s="15" t="inlineStr">
        <is>
          <t>OK</t>
        </is>
      </c>
      <c r="J182" s="15" t="inlineStr">
        <is>
          <t>A</t>
        </is>
      </c>
      <c r="K182" s="15" t="inlineStr">
        <is>
          <t>Y</t>
        </is>
      </c>
      <c r="L182" s="15" t="n">
        <v>2019</v>
      </c>
      <c r="M182" s="16" t="n">
        <v>0.635985</v>
      </c>
      <c r="N182" s="16" t="n">
        <v>0.46437</v>
      </c>
      <c r="O182" s="16" t="n">
        <v>0</v>
      </c>
      <c r="P182" s="16" t="n">
        <v>1.100355</v>
      </c>
      <c r="Q182">
        <f>--($A182=IF('الداشبورد'!$B$5="الكل",$A182,'الداشبورد'!$B$5))</f>
        <v/>
      </c>
      <c r="R182">
        <f>--($E182=IF('الداشبورد'!$B$6="الكل",$E182,'الداشبورد'!$B$6))</f>
        <v/>
      </c>
      <c r="S182">
        <f>--($K182=IF('الداشبورد'!$B$7="الكل",$K182,IF('الداشبورد'!$B$7="تصدير","Y","N")))</f>
        <v/>
      </c>
      <c r="T182">
        <f>--($J182=IF('الداشبورد'!$B$8="الكل",$J182,IF('الداشبورد'!$B$8="AL","A","C")))</f>
        <v/>
      </c>
      <c r="U182">
        <f>--($I182=IF('الداشبورد'!$B$9="الكل",$I182,IF('الداشبورد'!$B$9="بدون حالة","P",'الداشبورد'!$B$9)))</f>
        <v/>
      </c>
      <c r="V182">
        <f>--($D182=IF('الداشبورد'!$B$10="الكل",$D182,'الداشبورد'!$B$10))</f>
        <v/>
      </c>
      <c r="W182">
        <f>--($G182=IF('الداشبورد'!$B$11="الكل",$G182,'الداشبورد'!$B$11))</f>
        <v/>
      </c>
      <c r="X182">
        <f>Q182*R182*S182*T182*U182*V182*W182*--($C182&lt;&gt;"")</f>
        <v/>
      </c>
    </row>
    <row r="183">
      <c r="A183" s="15" t="n">
        <v>3</v>
      </c>
      <c r="B183" s="15" t="inlineStr">
        <is>
          <t>O184428</t>
        </is>
      </c>
      <c r="C183" s="15" t="inlineStr">
        <is>
          <t>1200/26/06</t>
        </is>
      </c>
      <c r="D183" s="15" t="inlineStr">
        <is>
          <t>INSELL</t>
        </is>
      </c>
      <c r="E183" s="15" t="inlineStr">
        <is>
          <t>MV</t>
        </is>
      </c>
      <c r="F183" s="15" t="inlineStr">
        <is>
          <t>12/20 KV 1X120/25</t>
        </is>
      </c>
      <c r="G183" s="15" t="inlineStr">
        <is>
          <t>EX06</t>
        </is>
      </c>
      <c r="H183" s="15" t="inlineStr">
        <is>
          <t>Wooden Drums</t>
        </is>
      </c>
      <c r="I183" s="15" t="inlineStr">
        <is>
          <t>OK</t>
        </is>
      </c>
      <c r="J183" s="15" t="inlineStr">
        <is>
          <t>A</t>
        </is>
      </c>
      <c r="K183" s="15" t="inlineStr">
        <is>
          <t>Y</t>
        </is>
      </c>
      <c r="L183" s="15" t="n">
        <v>2034</v>
      </c>
      <c r="M183" s="16" t="n">
        <v>0.64071</v>
      </c>
      <c r="N183" s="16" t="n">
        <v>0.46782</v>
      </c>
      <c r="O183" s="16" t="n">
        <v>0</v>
      </c>
      <c r="P183" s="16" t="n">
        <v>1.10853</v>
      </c>
      <c r="Q183">
        <f>--($A183=IF('الداشبورد'!$B$5="الكل",$A183,'الداشبورد'!$B$5))</f>
        <v/>
      </c>
      <c r="R183">
        <f>--($E183=IF('الداشبورد'!$B$6="الكل",$E183,'الداشبورد'!$B$6))</f>
        <v/>
      </c>
      <c r="S183">
        <f>--($K183=IF('الداشبورد'!$B$7="الكل",$K183,IF('الداشبورد'!$B$7="تصدير","Y","N")))</f>
        <v/>
      </c>
      <c r="T183">
        <f>--($J183=IF('الداشبورد'!$B$8="الكل",$J183,IF('الداشبورد'!$B$8="AL","A","C")))</f>
        <v/>
      </c>
      <c r="U183">
        <f>--($I183=IF('الداشبورد'!$B$9="الكل",$I183,IF('الداشبورد'!$B$9="بدون حالة","P",'الداشبورد'!$B$9)))</f>
        <v/>
      </c>
      <c r="V183">
        <f>--($D183=IF('الداشبورد'!$B$10="الكل",$D183,'الداشبورد'!$B$10))</f>
        <v/>
      </c>
      <c r="W183">
        <f>--($G183=IF('الداشبورد'!$B$11="الكل",$G183,'الداشبورد'!$B$11))</f>
        <v/>
      </c>
      <c r="X183">
        <f>Q183*R183*S183*T183*U183*V183*W183*--($C183&lt;&gt;"")</f>
        <v/>
      </c>
    </row>
    <row r="184">
      <c r="A184" s="15" t="n">
        <v>3</v>
      </c>
      <c r="B184" s="15" t="inlineStr">
        <is>
          <t>J184417</t>
        </is>
      </c>
      <c r="C184" s="15" t="inlineStr">
        <is>
          <t>1624/26/09</t>
        </is>
      </c>
      <c r="D184" s="15" t="inlineStr">
        <is>
          <t>شركة انوار المدينة لاستيراد المواد الكهربائية</t>
        </is>
      </c>
      <c r="E184" s="15" t="inlineStr">
        <is>
          <t>MV</t>
        </is>
      </c>
      <c r="F184" s="15" t="inlineStr">
        <is>
          <t>8.7/11KV 1*120</t>
        </is>
      </c>
      <c r="G184" s="15" t="inlineStr">
        <is>
          <t>EX07</t>
        </is>
      </c>
      <c r="H184" s="15" t="inlineStr">
        <is>
          <t>Wooden Drums</t>
        </is>
      </c>
      <c r="I184" s="15" t="inlineStr">
        <is>
          <t>OK</t>
        </is>
      </c>
      <c r="J184" s="15" t="inlineStr">
        <is>
          <t>A</t>
        </is>
      </c>
      <c r="K184" s="15" t="inlineStr">
        <is>
          <t>Y</t>
        </is>
      </c>
      <c r="L184" s="15" t="n">
        <v>1223</v>
      </c>
      <c r="M184" s="16" t="n">
        <v>0.374238</v>
      </c>
      <c r="N184" s="16" t="n">
        <v>0</v>
      </c>
      <c r="O184" s="16" t="n">
        <v>0</v>
      </c>
      <c r="P184" s="16" t="n">
        <v>0.374238</v>
      </c>
      <c r="Q184">
        <f>--($A184=IF('الداشبورد'!$B$5="الكل",$A184,'الداشبورد'!$B$5))</f>
        <v/>
      </c>
      <c r="R184">
        <f>--($E184=IF('الداشبورد'!$B$6="الكل",$E184,'الداشبورد'!$B$6))</f>
        <v/>
      </c>
      <c r="S184">
        <f>--($K184=IF('الداشبورد'!$B$7="الكل",$K184,IF('الداشبورد'!$B$7="تصدير","Y","N")))</f>
        <v/>
      </c>
      <c r="T184">
        <f>--($J184=IF('الداشبورد'!$B$8="الكل",$J184,IF('الداشبورد'!$B$8="AL","A","C")))</f>
        <v/>
      </c>
      <c r="U184">
        <f>--($I184=IF('الداشبورد'!$B$9="الكل",$I184,IF('الداشبورد'!$B$9="بدون حالة","P",'الداشبورد'!$B$9)))</f>
        <v/>
      </c>
      <c r="V184">
        <f>--($D184=IF('الداشبورد'!$B$10="الكل",$D184,'الداشبورد'!$B$10))</f>
        <v/>
      </c>
      <c r="W184">
        <f>--($G184=IF('الداشبورد'!$B$11="الكل",$G184,'الداشبورد'!$B$11))</f>
        <v/>
      </c>
      <c r="X184">
        <f>Q184*R184*S184*T184*U184*V184*W184*--($C184&lt;&gt;"")</f>
        <v/>
      </c>
    </row>
    <row r="185">
      <c r="A185" s="15" t="n">
        <v>3</v>
      </c>
      <c r="B185" s="15" t="inlineStr">
        <is>
          <t>V184399</t>
        </is>
      </c>
      <c r="C185" s="15" t="inlineStr">
        <is>
          <t>1385/26/03</t>
        </is>
      </c>
      <c r="D185" s="15" t="inlineStr">
        <is>
          <t>الشركة العربية للصناعة والتجارة الدولية</t>
        </is>
      </c>
      <c r="E185" s="15" t="inlineStr">
        <is>
          <t>LV</t>
        </is>
      </c>
      <c r="F185" s="15" t="inlineStr">
        <is>
          <t>0.6/1 KV 3*240+120</t>
        </is>
      </c>
      <c r="G185" s="15" t="inlineStr">
        <is>
          <t>EX09</t>
        </is>
      </c>
      <c r="H185" s="15" t="inlineStr">
        <is>
          <t>Wooden Drums</t>
        </is>
      </c>
      <c r="I185" s="15" t="inlineStr">
        <is>
          <t>OK</t>
        </is>
      </c>
      <c r="J185" s="15" t="inlineStr">
        <is>
          <t>A</t>
        </is>
      </c>
      <c r="K185" s="15" t="inlineStr">
        <is>
          <t>N</t>
        </is>
      </c>
      <c r="L185" s="15" t="n">
        <v>1016</v>
      </c>
      <c r="M185" s="16" t="n">
        <v>2.232152</v>
      </c>
      <c r="N185" s="16" t="n">
        <v>0</v>
      </c>
      <c r="O185" s="16" t="n">
        <v>0</v>
      </c>
      <c r="P185" s="16" t="n">
        <v>2.232152</v>
      </c>
      <c r="Q185">
        <f>--($A185=IF('الداشبورد'!$B$5="الكل",$A185,'الداشبورد'!$B$5))</f>
        <v/>
      </c>
      <c r="R185">
        <f>--($E185=IF('الداشبورد'!$B$6="الكل",$E185,'الداشبورد'!$B$6))</f>
        <v/>
      </c>
      <c r="S185">
        <f>--($K185=IF('الداشبورد'!$B$7="الكل",$K185,IF('الداشبورد'!$B$7="تصدير","Y","N")))</f>
        <v/>
      </c>
      <c r="T185">
        <f>--($J185=IF('الداشبورد'!$B$8="الكل",$J185,IF('الداشبورد'!$B$8="AL","A","C")))</f>
        <v/>
      </c>
      <c r="U185">
        <f>--($I185=IF('الداشبورد'!$B$9="الكل",$I185,IF('الداشبورد'!$B$9="بدون حالة","P",'الداشبورد'!$B$9)))</f>
        <v/>
      </c>
      <c r="V185">
        <f>--($D185=IF('الداشبورد'!$B$10="الكل",$D185,'الداشبورد'!$B$10))</f>
        <v/>
      </c>
      <c r="W185">
        <f>--($G185=IF('الداشبورد'!$B$11="الكل",$G185,'الداشبورد'!$B$11))</f>
        <v/>
      </c>
      <c r="X185">
        <f>Q185*R185*S185*T185*U185*V185*W185*--($C185&lt;&gt;"")</f>
        <v/>
      </c>
    </row>
    <row r="186">
      <c r="A186" s="15" t="n">
        <v>3</v>
      </c>
      <c r="B186" s="15" t="inlineStr">
        <is>
          <t>V184411</t>
        </is>
      </c>
      <c r="C186" s="15" t="inlineStr">
        <is>
          <t>1385/26/03</t>
        </is>
      </c>
      <c r="D186" s="15" t="inlineStr">
        <is>
          <t>الشركة العربية للصناعة والتجارة الدولية</t>
        </is>
      </c>
      <c r="E186" s="15" t="inlineStr">
        <is>
          <t>LV</t>
        </is>
      </c>
      <c r="F186" s="15" t="inlineStr">
        <is>
          <t>0.6/1 KV 3*240+120</t>
        </is>
      </c>
      <c r="G186" s="15" t="inlineStr">
        <is>
          <t>EX09</t>
        </is>
      </c>
      <c r="H186" s="15" t="inlineStr">
        <is>
          <t>Wooden Drums</t>
        </is>
      </c>
      <c r="I186" s="15" t="inlineStr">
        <is>
          <t>OK</t>
        </is>
      </c>
      <c r="J186" s="15" t="inlineStr">
        <is>
          <t>A</t>
        </is>
      </c>
      <c r="K186" s="15" t="inlineStr">
        <is>
          <t>N</t>
        </is>
      </c>
      <c r="L186" s="15" t="n">
        <v>985</v>
      </c>
      <c r="M186" s="16" t="n">
        <v>2.164045</v>
      </c>
      <c r="N186" s="16" t="n">
        <v>0</v>
      </c>
      <c r="O186" s="16" t="n">
        <v>0</v>
      </c>
      <c r="P186" s="16" t="n">
        <v>2.164045</v>
      </c>
      <c r="Q186">
        <f>--($A186=IF('الداشبورد'!$B$5="الكل",$A186,'الداشبورد'!$B$5))</f>
        <v/>
      </c>
      <c r="R186">
        <f>--($E186=IF('الداشبورد'!$B$6="الكل",$E186,'الداشبورد'!$B$6))</f>
        <v/>
      </c>
      <c r="S186">
        <f>--($K186=IF('الداشبورد'!$B$7="الكل",$K186,IF('الداشبورد'!$B$7="تصدير","Y","N")))</f>
        <v/>
      </c>
      <c r="T186">
        <f>--($J186=IF('الداشبورد'!$B$8="الكل",$J186,IF('الداشبورد'!$B$8="AL","A","C")))</f>
        <v/>
      </c>
      <c r="U186">
        <f>--($I186=IF('الداشبورد'!$B$9="الكل",$I186,IF('الداشبورد'!$B$9="بدون حالة","P",'الداشبورد'!$B$9)))</f>
        <v/>
      </c>
      <c r="V186">
        <f>--($D186=IF('الداشبورد'!$B$10="الكل",$D186,'الداشبورد'!$B$10))</f>
        <v/>
      </c>
      <c r="W186">
        <f>--($G186=IF('الداشبورد'!$B$11="الكل",$G186,'الداشبورد'!$B$11))</f>
        <v/>
      </c>
      <c r="X186">
        <f>Q186*R186*S186*T186*U186*V186*W186*--($C186&lt;&gt;"")</f>
        <v/>
      </c>
    </row>
    <row r="187">
      <c r="A187" s="15" t="n">
        <v>3</v>
      </c>
      <c r="B187" s="15" t="inlineStr">
        <is>
          <t>V184410</t>
        </is>
      </c>
      <c r="C187" s="15" t="inlineStr">
        <is>
          <t>1385/26/03</t>
        </is>
      </c>
      <c r="D187" s="15" t="inlineStr">
        <is>
          <t>الشركة العربية للصناعة والتجارة الدولية</t>
        </is>
      </c>
      <c r="E187" s="15" t="inlineStr">
        <is>
          <t>LV</t>
        </is>
      </c>
      <c r="F187" s="15" t="inlineStr">
        <is>
          <t>0.6/1 KV 3*240+120</t>
        </is>
      </c>
      <c r="G187" s="15" t="inlineStr">
        <is>
          <t>EX09</t>
        </is>
      </c>
      <c r="H187" s="15" t="inlineStr">
        <is>
          <t>Wooden Drums</t>
        </is>
      </c>
      <c r="I187" s="15" t="inlineStr">
        <is>
          <t>OK</t>
        </is>
      </c>
      <c r="J187" s="15" t="inlineStr">
        <is>
          <t>A</t>
        </is>
      </c>
      <c r="K187" s="15" t="inlineStr">
        <is>
          <t>N</t>
        </is>
      </c>
      <c r="L187" s="15" t="n">
        <v>1013</v>
      </c>
      <c r="M187" s="16" t="n">
        <v>2.225561</v>
      </c>
      <c r="N187" s="16" t="n">
        <v>0</v>
      </c>
      <c r="O187" s="16" t="n">
        <v>0</v>
      </c>
      <c r="P187" s="16" t="n">
        <v>2.225561</v>
      </c>
      <c r="Q187">
        <f>--($A187=IF('الداشبورد'!$B$5="الكل",$A187,'الداشبورد'!$B$5))</f>
        <v/>
      </c>
      <c r="R187">
        <f>--($E187=IF('الداشبورد'!$B$6="الكل",$E187,'الداشبورد'!$B$6))</f>
        <v/>
      </c>
      <c r="S187">
        <f>--($K187=IF('الداشبورد'!$B$7="الكل",$K187,IF('الداشبورد'!$B$7="تصدير","Y","N")))</f>
        <v/>
      </c>
      <c r="T187">
        <f>--($J187=IF('الداشبورد'!$B$8="الكل",$J187,IF('الداشبورد'!$B$8="AL","A","C")))</f>
        <v/>
      </c>
      <c r="U187">
        <f>--($I187=IF('الداشبورد'!$B$9="الكل",$I187,IF('الداشبورد'!$B$9="بدون حالة","P",'الداشبورد'!$B$9)))</f>
        <v/>
      </c>
      <c r="V187">
        <f>--($D187=IF('الداشبورد'!$B$10="الكل",$D187,'الداشبورد'!$B$10))</f>
        <v/>
      </c>
      <c r="W187">
        <f>--($G187=IF('الداشبورد'!$B$11="الكل",$G187,'الداشبورد'!$B$11))</f>
        <v/>
      </c>
      <c r="X187">
        <f>Q187*R187*S187*T187*U187*V187*W187*--($C187&lt;&gt;"")</f>
        <v/>
      </c>
    </row>
    <row r="188">
      <c r="A188" s="15" t="n">
        <v>3</v>
      </c>
      <c r="B188" s="15" t="inlineStr">
        <is>
          <t>L184453</t>
        </is>
      </c>
      <c r="C188" s="15" t="inlineStr">
        <is>
          <t>1385/26/11</t>
        </is>
      </c>
      <c r="D188" s="15" t="inlineStr">
        <is>
          <t>الشركة العربية للصناعة والتجارة الدولية</t>
        </is>
      </c>
      <c r="E188" s="15" t="inlineStr">
        <is>
          <t>LV</t>
        </is>
      </c>
      <c r="F188" s="15" t="inlineStr">
        <is>
          <t>0.6/1 KV 4*25</t>
        </is>
      </c>
      <c r="G188" s="15" t="inlineStr">
        <is>
          <t>EX03</t>
        </is>
      </c>
      <c r="H188" s="15" t="inlineStr">
        <is>
          <t>Wooden Drums</t>
        </is>
      </c>
      <c r="I188" s="15" t="inlineStr">
        <is>
          <t>OK</t>
        </is>
      </c>
      <c r="J188" s="15" t="inlineStr">
        <is>
          <t>A</t>
        </is>
      </c>
      <c r="K188" s="15" t="inlineStr">
        <is>
          <t>N</t>
        </is>
      </c>
      <c r="L188" s="15" t="n">
        <v>337</v>
      </c>
      <c r="M188" s="16" t="n">
        <v>0.086946</v>
      </c>
      <c r="N188" s="16" t="n">
        <v>0</v>
      </c>
      <c r="O188" s="16" t="n">
        <v>0</v>
      </c>
      <c r="P188" s="16" t="n">
        <v>0.086946</v>
      </c>
      <c r="Q188">
        <f>--($A188=IF('الداشبورد'!$B$5="الكل",$A188,'الداشبورد'!$B$5))</f>
        <v/>
      </c>
      <c r="R188">
        <f>--($E188=IF('الداشبورد'!$B$6="الكل",$E188,'الداشبورد'!$B$6))</f>
        <v/>
      </c>
      <c r="S188">
        <f>--($K188=IF('الداشبورد'!$B$7="الكل",$K188,IF('الداشبورد'!$B$7="تصدير","Y","N")))</f>
        <v/>
      </c>
      <c r="T188">
        <f>--($J188=IF('الداشبورد'!$B$8="الكل",$J188,IF('الداشبورد'!$B$8="AL","A","C")))</f>
        <v/>
      </c>
      <c r="U188">
        <f>--($I188=IF('الداشبورد'!$B$9="الكل",$I188,IF('الداشبورد'!$B$9="بدون حالة","P",'الداشبورد'!$B$9)))</f>
        <v/>
      </c>
      <c r="V188">
        <f>--($D188=IF('الداشبورد'!$B$10="الكل",$D188,'الداشبورد'!$B$10))</f>
        <v/>
      </c>
      <c r="W188">
        <f>--($G188=IF('الداشبورد'!$B$11="الكل",$G188,'الداشبورد'!$B$11))</f>
        <v/>
      </c>
      <c r="X188">
        <f>Q188*R188*S188*T188*U188*V188*W188*--($C188&lt;&gt;"")</f>
        <v/>
      </c>
    </row>
    <row r="189">
      <c r="A189" s="15" t="n">
        <v>3</v>
      </c>
      <c r="B189" s="15" t="inlineStr">
        <is>
          <t>L184455</t>
        </is>
      </c>
      <c r="C189" s="15" t="inlineStr">
        <is>
          <t>1385/26/11</t>
        </is>
      </c>
      <c r="D189" s="15" t="inlineStr">
        <is>
          <t>الشركة العربية للصناعة والتجارة الدولية</t>
        </is>
      </c>
      <c r="E189" s="15" t="inlineStr">
        <is>
          <t>LV</t>
        </is>
      </c>
      <c r="F189" s="15" t="inlineStr">
        <is>
          <t>0.6/1 KV 4*25</t>
        </is>
      </c>
      <c r="G189" s="15" t="inlineStr">
        <is>
          <t>EX03</t>
        </is>
      </c>
      <c r="H189" s="15" t="inlineStr">
        <is>
          <t>Wooden Drums</t>
        </is>
      </c>
      <c r="I189" s="15" t="inlineStr">
        <is>
          <t>OK</t>
        </is>
      </c>
      <c r="J189" s="15" t="inlineStr">
        <is>
          <t>A</t>
        </is>
      </c>
      <c r="K189" s="15" t="inlineStr">
        <is>
          <t>N</t>
        </is>
      </c>
      <c r="L189" s="15" t="n">
        <v>1901</v>
      </c>
      <c r="M189" s="16" t="n">
        <v>0.490458</v>
      </c>
      <c r="N189" s="16" t="n">
        <v>0</v>
      </c>
      <c r="O189" s="16" t="n">
        <v>0</v>
      </c>
      <c r="P189" s="16" t="n">
        <v>0.490458</v>
      </c>
      <c r="Q189">
        <f>--($A189=IF('الداشبورد'!$B$5="الكل",$A189,'الداشبورد'!$B$5))</f>
        <v/>
      </c>
      <c r="R189">
        <f>--($E189=IF('الداشبورد'!$B$6="الكل",$E189,'الداشبورد'!$B$6))</f>
        <v/>
      </c>
      <c r="S189">
        <f>--($K189=IF('الداشبورد'!$B$7="الكل",$K189,IF('الداشبورد'!$B$7="تصدير","Y","N")))</f>
        <v/>
      </c>
      <c r="T189">
        <f>--($J189=IF('الداشبورد'!$B$8="الكل",$J189,IF('الداشبورد'!$B$8="AL","A","C")))</f>
        <v/>
      </c>
      <c r="U189">
        <f>--($I189=IF('الداشبورد'!$B$9="الكل",$I189,IF('الداشبورد'!$B$9="بدون حالة","P",'الداشبورد'!$B$9)))</f>
        <v/>
      </c>
      <c r="V189">
        <f>--($D189=IF('الداشبورد'!$B$10="الكل",$D189,'الداشبورد'!$B$10))</f>
        <v/>
      </c>
      <c r="W189">
        <f>--($G189=IF('الداشبورد'!$B$11="الكل",$G189,'الداشبورد'!$B$11))</f>
        <v/>
      </c>
      <c r="X189">
        <f>Q189*R189*S189*T189*U189*V189*W189*--($C189&lt;&gt;"")</f>
        <v/>
      </c>
    </row>
    <row r="190">
      <c r="A190" s="15" t="n">
        <v>3</v>
      </c>
      <c r="B190" s="15" t="inlineStr">
        <is>
          <t>G184460</t>
        </is>
      </c>
      <c r="C190" s="15" t="inlineStr">
        <is>
          <t>1573/26/04</t>
        </is>
      </c>
      <c r="D190" s="15" t="inlineStr">
        <is>
          <t>Cleveland Cables Company</t>
        </is>
      </c>
      <c r="E190" s="15" t="inlineStr">
        <is>
          <t>LV</t>
        </is>
      </c>
      <c r="F190" s="15" t="inlineStr">
        <is>
          <t>450/750 V 1X240</t>
        </is>
      </c>
      <c r="G190" s="15" t="inlineStr">
        <is>
          <t>EX01</t>
        </is>
      </c>
      <c r="H190" s="15" t="inlineStr">
        <is>
          <t>Wooden Drums</t>
        </is>
      </c>
      <c r="I190" s="15" t="inlineStr">
        <is>
          <t>OK</t>
        </is>
      </c>
      <c r="J190" s="15" t="inlineStr">
        <is>
          <t>C</t>
        </is>
      </c>
      <c r="K190" s="15" t="inlineStr">
        <is>
          <t>Y</t>
        </is>
      </c>
      <c r="L190" s="15" t="n">
        <v>510</v>
      </c>
      <c r="M190" s="16" t="n">
        <v>1.0047</v>
      </c>
      <c r="N190" s="16" t="n">
        <v>0</v>
      </c>
      <c r="O190" s="16" t="n">
        <v>0</v>
      </c>
      <c r="P190" s="16" t="n">
        <v>1.0047</v>
      </c>
      <c r="Q190">
        <f>--($A190=IF('الداشبورد'!$B$5="الكل",$A190,'الداشبورد'!$B$5))</f>
        <v/>
      </c>
      <c r="R190">
        <f>--($E190=IF('الداشبورد'!$B$6="الكل",$E190,'الداشبورد'!$B$6))</f>
        <v/>
      </c>
      <c r="S190">
        <f>--($K190=IF('الداشبورد'!$B$7="الكل",$K190,IF('الداشبورد'!$B$7="تصدير","Y","N")))</f>
        <v/>
      </c>
      <c r="T190">
        <f>--($J190=IF('الداشبورد'!$B$8="الكل",$J190,IF('الداشبورد'!$B$8="AL","A","C")))</f>
        <v/>
      </c>
      <c r="U190">
        <f>--($I190=IF('الداشبورد'!$B$9="الكل",$I190,IF('الداشبورد'!$B$9="بدون حالة","P",'الداشبورد'!$B$9)))</f>
        <v/>
      </c>
      <c r="V190">
        <f>--($D190=IF('الداشبورد'!$B$10="الكل",$D190,'الداشبورد'!$B$10))</f>
        <v/>
      </c>
      <c r="W190">
        <f>--($G190=IF('الداشبورد'!$B$11="الكل",$G190,'الداشبورد'!$B$11))</f>
        <v/>
      </c>
      <c r="X190">
        <f>Q190*R190*S190*T190*U190*V190*W190*--($C190&lt;&gt;"")</f>
        <v/>
      </c>
    </row>
    <row r="191">
      <c r="A191" s="15" t="n">
        <v>3</v>
      </c>
      <c r="B191" s="15" t="inlineStr">
        <is>
          <t>G184461</t>
        </is>
      </c>
      <c r="C191" s="15" t="inlineStr">
        <is>
          <t>1573/26/04</t>
        </is>
      </c>
      <c r="D191" s="15" t="inlineStr">
        <is>
          <t>Cleveland Cables Company</t>
        </is>
      </c>
      <c r="E191" s="15" t="inlineStr">
        <is>
          <t>LV</t>
        </is>
      </c>
      <c r="F191" s="15" t="inlineStr">
        <is>
          <t>450/750 V 1X240</t>
        </is>
      </c>
      <c r="G191" s="15" t="inlineStr">
        <is>
          <t>EX01</t>
        </is>
      </c>
      <c r="H191" s="15" t="inlineStr">
        <is>
          <t>Wooden Drums</t>
        </is>
      </c>
      <c r="I191" s="15" t="inlineStr">
        <is>
          <t>OK</t>
        </is>
      </c>
      <c r="J191" s="15" t="inlineStr">
        <is>
          <t>C</t>
        </is>
      </c>
      <c r="K191" s="15" t="inlineStr">
        <is>
          <t>Y</t>
        </is>
      </c>
      <c r="L191" s="15" t="n">
        <v>510</v>
      </c>
      <c r="M191" s="16" t="n">
        <v>1.0047</v>
      </c>
      <c r="N191" s="16" t="n">
        <v>0</v>
      </c>
      <c r="O191" s="16" t="n">
        <v>0</v>
      </c>
      <c r="P191" s="16" t="n">
        <v>1.0047</v>
      </c>
      <c r="Q191">
        <f>--($A191=IF('الداشبورد'!$B$5="الكل",$A191,'الداشبورد'!$B$5))</f>
        <v/>
      </c>
      <c r="R191">
        <f>--($E191=IF('الداشبورد'!$B$6="الكل",$E191,'الداشبورد'!$B$6))</f>
        <v/>
      </c>
      <c r="S191">
        <f>--($K191=IF('الداشبورد'!$B$7="الكل",$K191,IF('الداشبورد'!$B$7="تصدير","Y","N")))</f>
        <v/>
      </c>
      <c r="T191">
        <f>--($J191=IF('الداشبورد'!$B$8="الكل",$J191,IF('الداشبورد'!$B$8="AL","A","C")))</f>
        <v/>
      </c>
      <c r="U191">
        <f>--($I191=IF('الداشبورد'!$B$9="الكل",$I191,IF('الداشبورد'!$B$9="بدون حالة","P",'الداشبورد'!$B$9)))</f>
        <v/>
      </c>
      <c r="V191">
        <f>--($D191=IF('الداشبورد'!$B$10="الكل",$D191,'الداشبورد'!$B$10))</f>
        <v/>
      </c>
      <c r="W191">
        <f>--($G191=IF('الداشبورد'!$B$11="الكل",$G191,'الداشبورد'!$B$11))</f>
        <v/>
      </c>
      <c r="X191">
        <f>Q191*R191*S191*T191*U191*V191*W191*--($C191&lt;&gt;"")</f>
        <v/>
      </c>
    </row>
    <row r="192">
      <c r="A192" s="15" t="n">
        <v>3</v>
      </c>
      <c r="B192" s="15" t="inlineStr">
        <is>
          <t>G184462</t>
        </is>
      </c>
      <c r="C192" s="15" t="inlineStr">
        <is>
          <t>1573/26/04</t>
        </is>
      </c>
      <c r="D192" s="15" t="inlineStr">
        <is>
          <t>Cleveland Cables Company</t>
        </is>
      </c>
      <c r="E192" s="15" t="inlineStr">
        <is>
          <t>LV</t>
        </is>
      </c>
      <c r="F192" s="15" t="inlineStr">
        <is>
          <t>450/750 V 1X240</t>
        </is>
      </c>
      <c r="G192" s="15" t="inlineStr">
        <is>
          <t>EX01</t>
        </is>
      </c>
      <c r="H192" s="15" t="inlineStr">
        <is>
          <t>Wooden Drums</t>
        </is>
      </c>
      <c r="I192" s="15" t="inlineStr">
        <is>
          <t>OK</t>
        </is>
      </c>
      <c r="J192" s="15" t="inlineStr">
        <is>
          <t>C</t>
        </is>
      </c>
      <c r="K192" s="15" t="inlineStr">
        <is>
          <t>Y</t>
        </is>
      </c>
      <c r="L192" s="15" t="n">
        <v>525</v>
      </c>
      <c r="M192" s="16" t="n">
        <v>1.03425</v>
      </c>
      <c r="N192" s="16" t="n">
        <v>0</v>
      </c>
      <c r="O192" s="16" t="n">
        <v>0</v>
      </c>
      <c r="P192" s="16" t="n">
        <v>1.03425</v>
      </c>
      <c r="Q192">
        <f>--($A192=IF('الداشبورد'!$B$5="الكل",$A192,'الداشبورد'!$B$5))</f>
        <v/>
      </c>
      <c r="R192">
        <f>--($E192=IF('الداشبورد'!$B$6="الكل",$E192,'الداشبورد'!$B$6))</f>
        <v/>
      </c>
      <c r="S192">
        <f>--($K192=IF('الداشبورد'!$B$7="الكل",$K192,IF('الداشبورد'!$B$7="تصدير","Y","N")))</f>
        <v/>
      </c>
      <c r="T192">
        <f>--($J192=IF('الداشبورد'!$B$8="الكل",$J192,IF('الداشبورد'!$B$8="AL","A","C")))</f>
        <v/>
      </c>
      <c r="U192">
        <f>--($I192=IF('الداشبورد'!$B$9="الكل",$I192,IF('الداشبورد'!$B$9="بدون حالة","P",'الداشبورد'!$B$9)))</f>
        <v/>
      </c>
      <c r="V192">
        <f>--($D192=IF('الداشبورد'!$B$10="الكل",$D192,'الداشبورد'!$B$10))</f>
        <v/>
      </c>
      <c r="W192">
        <f>--($G192=IF('الداشبورد'!$B$11="الكل",$G192,'الداشبورد'!$B$11))</f>
        <v/>
      </c>
      <c r="X192">
        <f>Q192*R192*S192*T192*U192*V192*W192*--($C192&lt;&gt;"")</f>
        <v/>
      </c>
    </row>
    <row r="193">
      <c r="A193" s="15" t="n">
        <v>3</v>
      </c>
      <c r="B193" s="15" t="inlineStr">
        <is>
          <t>D182232</t>
        </is>
      </c>
      <c r="C193" s="15" t="inlineStr">
        <is>
          <t>1303/26/01</t>
        </is>
      </c>
      <c r="D193" s="15" t="inlineStr">
        <is>
          <t>Tabarak Company For Engineering &amp; Construction</t>
        </is>
      </c>
      <c r="E193" s="15" t="inlineStr">
        <is>
          <t>CC</t>
        </is>
      </c>
      <c r="F193" s="15" t="inlineStr">
        <is>
          <t>0.6/1 KV 2X1.5</t>
        </is>
      </c>
      <c r="G193" s="15" t="inlineStr">
        <is>
          <t>EX14</t>
        </is>
      </c>
      <c r="H193" s="15" t="inlineStr">
        <is>
          <t>Wooden Drums</t>
        </is>
      </c>
      <c r="I193" s="15" t="inlineStr">
        <is>
          <t>OK</t>
        </is>
      </c>
      <c r="J193" s="15" t="inlineStr">
        <is>
          <t>C</t>
        </is>
      </c>
      <c r="K193" s="15" t="inlineStr">
        <is>
          <t>N</t>
        </is>
      </c>
      <c r="L193" s="15" t="n">
        <v>760</v>
      </c>
      <c r="M193" s="16" t="n">
        <v>0.02052</v>
      </c>
      <c r="N193" s="16" t="n">
        <v>0</v>
      </c>
      <c r="O193" s="16" t="n">
        <v>0</v>
      </c>
      <c r="P193" s="16" t="n">
        <v>0.02052</v>
      </c>
      <c r="Q193">
        <f>--($A193=IF('الداشبورد'!$B$5="الكل",$A193,'الداشبورد'!$B$5))</f>
        <v/>
      </c>
      <c r="R193">
        <f>--($E193=IF('الداشبورد'!$B$6="الكل",$E193,'الداشبورد'!$B$6))</f>
        <v/>
      </c>
      <c r="S193">
        <f>--($K193=IF('الداشبورد'!$B$7="الكل",$K193,IF('الداشبورد'!$B$7="تصدير","Y","N")))</f>
        <v/>
      </c>
      <c r="T193">
        <f>--($J193=IF('الداشبورد'!$B$8="الكل",$J193,IF('الداشبورد'!$B$8="AL","A","C")))</f>
        <v/>
      </c>
      <c r="U193">
        <f>--($I193=IF('الداشبورد'!$B$9="الكل",$I193,IF('الداشبورد'!$B$9="بدون حالة","P",'الداشبورد'!$B$9)))</f>
        <v/>
      </c>
      <c r="V193">
        <f>--($D193=IF('الداشبورد'!$B$10="الكل",$D193,'الداشبورد'!$B$10))</f>
        <v/>
      </c>
      <c r="W193">
        <f>--($G193=IF('الداشبورد'!$B$11="الكل",$G193,'الداشبورد'!$B$11))</f>
        <v/>
      </c>
      <c r="X193">
        <f>Q193*R193*S193*T193*U193*V193*W193*--($C193&lt;&gt;"")</f>
        <v/>
      </c>
    </row>
    <row r="194">
      <c r="A194" s="15" t="n">
        <v>3</v>
      </c>
      <c r="B194" s="15" t="inlineStr">
        <is>
          <t>D184343</t>
        </is>
      </c>
      <c r="C194" s="15" t="inlineStr">
        <is>
          <t>1301/26/01</t>
        </is>
      </c>
      <c r="D194" s="15" t="inlineStr">
        <is>
          <t>Tabarak Company For Engineering &amp; Construction</t>
        </is>
      </c>
      <c r="E194" s="15" t="inlineStr">
        <is>
          <t>CC</t>
        </is>
      </c>
      <c r="F194" s="15" t="inlineStr">
        <is>
          <t>0.6/1 KV 2X1.5</t>
        </is>
      </c>
      <c r="G194" s="15" t="inlineStr">
        <is>
          <t>EX14</t>
        </is>
      </c>
      <c r="H194" s="15" t="inlineStr">
        <is>
          <t>Wooden Drums</t>
        </is>
      </c>
      <c r="I194" s="15" t="inlineStr">
        <is>
          <t>OK</t>
        </is>
      </c>
      <c r="J194" s="15" t="inlineStr">
        <is>
          <t>C</t>
        </is>
      </c>
      <c r="K194" s="15" t="inlineStr">
        <is>
          <t>N</t>
        </is>
      </c>
      <c r="L194" s="15" t="n">
        <v>1030</v>
      </c>
      <c r="M194" s="16" t="n">
        <v>0.02781</v>
      </c>
      <c r="N194" s="16" t="n">
        <v>0</v>
      </c>
      <c r="O194" s="16" t="n">
        <v>0</v>
      </c>
      <c r="P194" s="16" t="n">
        <v>0.02781</v>
      </c>
      <c r="Q194">
        <f>--($A194=IF('الداشبورد'!$B$5="الكل",$A194,'الداشبورد'!$B$5))</f>
        <v/>
      </c>
      <c r="R194">
        <f>--($E194=IF('الداشبورد'!$B$6="الكل",$E194,'الداشبورد'!$B$6))</f>
        <v/>
      </c>
      <c r="S194">
        <f>--($K194=IF('الداشبورد'!$B$7="الكل",$K194,IF('الداشبورد'!$B$7="تصدير","Y","N")))</f>
        <v/>
      </c>
      <c r="T194">
        <f>--($J194=IF('الداشبورد'!$B$8="الكل",$J194,IF('الداشبورد'!$B$8="AL","A","C")))</f>
        <v/>
      </c>
      <c r="U194">
        <f>--($I194=IF('الداشبورد'!$B$9="الكل",$I194,IF('الداشبورد'!$B$9="بدون حالة","P",'الداشبورد'!$B$9)))</f>
        <v/>
      </c>
      <c r="V194">
        <f>--($D194=IF('الداشبورد'!$B$10="الكل",$D194,'الداشبورد'!$B$10))</f>
        <v/>
      </c>
      <c r="W194">
        <f>--($G194=IF('الداشبورد'!$B$11="الكل",$G194,'الداشبورد'!$B$11))</f>
        <v/>
      </c>
      <c r="X194">
        <f>Q194*R194*S194*T194*U194*V194*W194*--($C194&lt;&gt;"")</f>
        <v/>
      </c>
    </row>
    <row r="195">
      <c r="A195" s="15" t="n">
        <v>3</v>
      </c>
      <c r="B195" s="15" t="inlineStr">
        <is>
          <t>O184389</t>
        </is>
      </c>
      <c r="C195" s="15" t="inlineStr">
        <is>
          <t>1644/26/03</t>
        </is>
      </c>
      <c r="D195" s="15" t="inlineStr">
        <is>
          <t>VLG Hungary</t>
        </is>
      </c>
      <c r="E195" s="15" t="inlineStr">
        <is>
          <t>LV</t>
        </is>
      </c>
      <c r="F195" s="15" t="inlineStr">
        <is>
          <t>0.6/1 KV 5X25</t>
        </is>
      </c>
      <c r="G195" s="15" t="inlineStr">
        <is>
          <t>EX13</t>
        </is>
      </c>
      <c r="H195" s="15" t="inlineStr">
        <is>
          <t>Wooden Drums</t>
        </is>
      </c>
      <c r="I195" s="15" t="inlineStr">
        <is>
          <t>OK</t>
        </is>
      </c>
      <c r="J195" s="15" t="inlineStr">
        <is>
          <t>A</t>
        </is>
      </c>
      <c r="K195" s="15" t="inlineStr">
        <is>
          <t>Y</t>
        </is>
      </c>
      <c r="L195" s="15" t="n">
        <v>2025</v>
      </c>
      <c r="M195" s="16" t="n">
        <v>0.66825</v>
      </c>
      <c r="N195" s="16" t="n">
        <v>0</v>
      </c>
      <c r="O195" s="16" t="n">
        <v>0</v>
      </c>
      <c r="P195" s="16" t="n">
        <v>0.66825</v>
      </c>
      <c r="Q195">
        <f>--($A195=IF('الداشبورد'!$B$5="الكل",$A195,'الداشبورد'!$B$5))</f>
        <v/>
      </c>
      <c r="R195">
        <f>--($E195=IF('الداشبورد'!$B$6="الكل",$E195,'الداشبورد'!$B$6))</f>
        <v/>
      </c>
      <c r="S195">
        <f>--($K195=IF('الداشبورد'!$B$7="الكل",$K195,IF('الداشبورد'!$B$7="تصدير","Y","N")))</f>
        <v/>
      </c>
      <c r="T195">
        <f>--($J195=IF('الداشبورد'!$B$8="الكل",$J195,IF('الداشبورد'!$B$8="AL","A","C")))</f>
        <v/>
      </c>
      <c r="U195">
        <f>--($I195=IF('الداشبورد'!$B$9="الكل",$I195,IF('الداشبورد'!$B$9="بدون حالة","P",'الداشبورد'!$B$9)))</f>
        <v/>
      </c>
      <c r="V195">
        <f>--($D195=IF('الداشبورد'!$B$10="الكل",$D195,'الداشبورد'!$B$10))</f>
        <v/>
      </c>
      <c r="W195">
        <f>--($G195=IF('الداشبورد'!$B$11="الكل",$G195,'الداشبورد'!$B$11))</f>
        <v/>
      </c>
      <c r="X195">
        <f>Q195*R195*S195*T195*U195*V195*W195*--($C195&lt;&gt;"")</f>
        <v/>
      </c>
    </row>
    <row r="196">
      <c r="A196" s="15" t="n">
        <v>3</v>
      </c>
      <c r="B196" s="15" t="inlineStr">
        <is>
          <t>P184445</t>
        </is>
      </c>
      <c r="C196" s="15" t="inlineStr">
        <is>
          <t>1644/26/03</t>
        </is>
      </c>
      <c r="D196" s="15" t="inlineStr">
        <is>
          <t>VLG Hungary</t>
        </is>
      </c>
      <c r="E196" s="15" t="inlineStr">
        <is>
          <t>LV</t>
        </is>
      </c>
      <c r="F196" s="15" t="inlineStr">
        <is>
          <t>0.6/1 KV 5X25</t>
        </is>
      </c>
      <c r="G196" s="15" t="inlineStr">
        <is>
          <t>EX13</t>
        </is>
      </c>
      <c r="H196" s="15" t="inlineStr">
        <is>
          <t>Wooden Drums</t>
        </is>
      </c>
      <c r="I196" s="15" t="inlineStr">
        <is>
          <t>OK</t>
        </is>
      </c>
      <c r="J196" s="15" t="inlineStr">
        <is>
          <t>A</t>
        </is>
      </c>
      <c r="K196" s="15" t="inlineStr">
        <is>
          <t>Y</t>
        </is>
      </c>
      <c r="L196" s="15" t="n">
        <v>2100</v>
      </c>
      <c r="M196" s="16" t="n">
        <v>0.6929999999999999</v>
      </c>
      <c r="N196" s="16" t="n">
        <v>0</v>
      </c>
      <c r="O196" s="16" t="n">
        <v>0</v>
      </c>
      <c r="P196" s="16" t="n">
        <v>0.6929999999999999</v>
      </c>
      <c r="Q196">
        <f>--($A196=IF('الداشبورد'!$B$5="الكل",$A196,'الداشبورد'!$B$5))</f>
        <v/>
      </c>
      <c r="R196">
        <f>--($E196=IF('الداشبورد'!$B$6="الكل",$E196,'الداشبورد'!$B$6))</f>
        <v/>
      </c>
      <c r="S196">
        <f>--($K196=IF('الداشبورد'!$B$7="الكل",$K196,IF('الداشبورد'!$B$7="تصدير","Y","N")))</f>
        <v/>
      </c>
      <c r="T196">
        <f>--($J196=IF('الداشبورد'!$B$8="الكل",$J196,IF('الداشبورد'!$B$8="AL","A","C")))</f>
        <v/>
      </c>
      <c r="U196">
        <f>--($I196=IF('الداشبورد'!$B$9="الكل",$I196,IF('الداشبورد'!$B$9="بدون حالة","P",'الداشبورد'!$B$9)))</f>
        <v/>
      </c>
      <c r="V196">
        <f>--($D196=IF('الداشبورد'!$B$10="الكل",$D196,'الداشبورد'!$B$10))</f>
        <v/>
      </c>
      <c r="W196">
        <f>--($G196=IF('الداشبورد'!$B$11="الكل",$G196,'الداشبورد'!$B$11))</f>
        <v/>
      </c>
      <c r="X196">
        <f>Q196*R196*S196*T196*U196*V196*W196*--($C196&lt;&gt;"")</f>
        <v/>
      </c>
    </row>
    <row r="197">
      <c r="A197" s="15" t="n">
        <v>3</v>
      </c>
      <c r="B197" s="15" t="inlineStr">
        <is>
          <t>P184459</t>
        </is>
      </c>
      <c r="C197" s="15" t="inlineStr">
        <is>
          <t>1644/26/03</t>
        </is>
      </c>
      <c r="D197" s="15" t="inlineStr">
        <is>
          <t>VLG Hungary</t>
        </is>
      </c>
      <c r="E197" s="15" t="inlineStr">
        <is>
          <t>LV</t>
        </is>
      </c>
      <c r="F197" s="15" t="inlineStr">
        <is>
          <t>0.6/1 KV 5X25</t>
        </is>
      </c>
      <c r="G197" s="15" t="inlineStr">
        <is>
          <t>EX13</t>
        </is>
      </c>
      <c r="H197" s="15" t="inlineStr">
        <is>
          <t>Wooden Drums</t>
        </is>
      </c>
      <c r="I197" s="15" t="inlineStr">
        <is>
          <t>OK</t>
        </is>
      </c>
      <c r="J197" s="15" t="inlineStr">
        <is>
          <t>A</t>
        </is>
      </c>
      <c r="K197" s="15" t="inlineStr">
        <is>
          <t>Y</t>
        </is>
      </c>
      <c r="L197" s="15" t="n">
        <v>1933</v>
      </c>
      <c r="M197" s="16" t="n">
        <v>0.63789</v>
      </c>
      <c r="N197" s="16" t="n">
        <v>0</v>
      </c>
      <c r="O197" s="16" t="n">
        <v>0</v>
      </c>
      <c r="P197" s="16" t="n">
        <v>0.63789</v>
      </c>
      <c r="Q197">
        <f>--($A197=IF('الداشبورد'!$B$5="الكل",$A197,'الداشبورد'!$B$5))</f>
        <v/>
      </c>
      <c r="R197">
        <f>--($E197=IF('الداشبورد'!$B$6="الكل",$E197,'الداشبورد'!$B$6))</f>
        <v/>
      </c>
      <c r="S197">
        <f>--($K197=IF('الداشبورد'!$B$7="الكل",$K197,IF('الداشبورد'!$B$7="تصدير","Y","N")))</f>
        <v/>
      </c>
      <c r="T197">
        <f>--($J197=IF('الداشبورد'!$B$8="الكل",$J197,IF('الداشبورد'!$B$8="AL","A","C")))</f>
        <v/>
      </c>
      <c r="U197">
        <f>--($I197=IF('الداشبورد'!$B$9="الكل",$I197,IF('الداشبورد'!$B$9="بدون حالة","P",'الداشبورد'!$B$9)))</f>
        <v/>
      </c>
      <c r="V197">
        <f>--($D197=IF('الداشبورد'!$B$10="الكل",$D197,'الداشبورد'!$B$10))</f>
        <v/>
      </c>
      <c r="W197">
        <f>--($G197=IF('الداشبورد'!$B$11="الكل",$G197,'الداشبورد'!$B$11))</f>
        <v/>
      </c>
      <c r="X197">
        <f>Q197*R197*S197*T197*U197*V197*W197*--($C197&lt;&gt;"")</f>
        <v/>
      </c>
    </row>
    <row r="198">
      <c r="A198" s="15" t="n">
        <v>3</v>
      </c>
      <c r="B198" s="15" t="inlineStr">
        <is>
          <t>P184458</t>
        </is>
      </c>
      <c r="C198" s="15" t="inlineStr">
        <is>
          <t>1644/26/03</t>
        </is>
      </c>
      <c r="D198" s="15" t="inlineStr">
        <is>
          <t>VLG Hungary</t>
        </is>
      </c>
      <c r="E198" s="15" t="inlineStr">
        <is>
          <t>LV</t>
        </is>
      </c>
      <c r="F198" s="15" t="inlineStr">
        <is>
          <t>0.6/1 KV 5X25</t>
        </is>
      </c>
      <c r="G198" s="15" t="inlineStr">
        <is>
          <t>EX13</t>
        </is>
      </c>
      <c r="H198" s="15" t="inlineStr">
        <is>
          <t>Wooden Drums</t>
        </is>
      </c>
      <c r="I198" s="15" t="inlineStr">
        <is>
          <t>OK</t>
        </is>
      </c>
      <c r="J198" s="15" t="inlineStr">
        <is>
          <t>A</t>
        </is>
      </c>
      <c r="K198" s="15" t="inlineStr">
        <is>
          <t>Y</t>
        </is>
      </c>
      <c r="L198" s="15" t="n">
        <v>2055</v>
      </c>
      <c r="M198" s="16" t="n">
        <v>0.67815</v>
      </c>
      <c r="N198" s="16" t="n">
        <v>0</v>
      </c>
      <c r="O198" s="16" t="n">
        <v>0</v>
      </c>
      <c r="P198" s="16" t="n">
        <v>0.67815</v>
      </c>
      <c r="Q198">
        <f>--($A198=IF('الداشبورد'!$B$5="الكل",$A198,'الداشبورد'!$B$5))</f>
        <v/>
      </c>
      <c r="R198">
        <f>--($E198=IF('الداشبورد'!$B$6="الكل",$E198,'الداشبورد'!$B$6))</f>
        <v/>
      </c>
      <c r="S198">
        <f>--($K198=IF('الداشبورد'!$B$7="الكل",$K198,IF('الداشبورد'!$B$7="تصدير","Y","N")))</f>
        <v/>
      </c>
      <c r="T198">
        <f>--($J198=IF('الداشبورد'!$B$8="الكل",$J198,IF('الداشبورد'!$B$8="AL","A","C")))</f>
        <v/>
      </c>
      <c r="U198">
        <f>--($I198=IF('الداشبورد'!$B$9="الكل",$I198,IF('الداشبورد'!$B$9="بدون حالة","P",'الداشبورد'!$B$9)))</f>
        <v/>
      </c>
      <c r="V198">
        <f>--($D198=IF('الداشبورد'!$B$10="الكل",$D198,'الداشبورد'!$B$10))</f>
        <v/>
      </c>
      <c r="W198">
        <f>--($G198=IF('الداشبورد'!$B$11="الكل",$G198,'الداشبورد'!$B$11))</f>
        <v/>
      </c>
      <c r="X198">
        <f>Q198*R198*S198*T198*U198*V198*W198*--($C198&lt;&gt;"")</f>
        <v/>
      </c>
    </row>
    <row r="199">
      <c r="A199" s="15" t="n">
        <v>3</v>
      </c>
      <c r="B199" s="15" t="inlineStr">
        <is>
          <t>O184357</t>
        </is>
      </c>
      <c r="C199" s="15" t="inlineStr">
        <is>
          <t>1431/26/04</t>
        </is>
      </c>
      <c r="D199" s="15" t="inlineStr">
        <is>
          <t>Faber Kabel</t>
        </is>
      </c>
      <c r="E199" s="15" t="inlineStr">
        <is>
          <t>LV</t>
        </is>
      </c>
      <c r="F199" s="15" t="inlineStr">
        <is>
          <t>0.6/1 KV 5X25</t>
        </is>
      </c>
      <c r="G199" s="15" t="inlineStr">
        <is>
          <t>EX13</t>
        </is>
      </c>
      <c r="H199" s="15" t="inlineStr">
        <is>
          <t>Wooden Drums</t>
        </is>
      </c>
      <c r="I199" s="15" t="inlineStr">
        <is>
          <t>OK</t>
        </is>
      </c>
      <c r="J199" s="15" t="inlineStr">
        <is>
          <t>A</t>
        </is>
      </c>
      <c r="K199" s="15" t="inlineStr">
        <is>
          <t>Y</t>
        </is>
      </c>
      <c r="L199" s="15" t="n">
        <v>3150</v>
      </c>
      <c r="M199" s="16" t="n">
        <v>1.0395</v>
      </c>
      <c r="N199" s="16" t="n">
        <v>0</v>
      </c>
      <c r="O199" s="16" t="n">
        <v>0</v>
      </c>
      <c r="P199" s="16" t="n">
        <v>1.0395</v>
      </c>
      <c r="Q199">
        <f>--($A199=IF('الداشبورد'!$B$5="الكل",$A199,'الداشبورد'!$B$5))</f>
        <v/>
      </c>
      <c r="R199">
        <f>--($E199=IF('الداشبورد'!$B$6="الكل",$E199,'الداشبورد'!$B$6))</f>
        <v/>
      </c>
      <c r="S199">
        <f>--($K199=IF('الداشبورد'!$B$7="الكل",$K199,IF('الداشبورد'!$B$7="تصدير","Y","N")))</f>
        <v/>
      </c>
      <c r="T199">
        <f>--($J199=IF('الداشبورد'!$B$8="الكل",$J199,IF('الداشبورد'!$B$8="AL","A","C")))</f>
        <v/>
      </c>
      <c r="U199">
        <f>--($I199=IF('الداشبورد'!$B$9="الكل",$I199,IF('الداشبورد'!$B$9="بدون حالة","P",'الداشبورد'!$B$9)))</f>
        <v/>
      </c>
      <c r="V199">
        <f>--($D199=IF('الداشبورد'!$B$10="الكل",$D199,'الداشبورد'!$B$10))</f>
        <v/>
      </c>
      <c r="W199">
        <f>--($G199=IF('الداشبورد'!$B$11="الكل",$G199,'الداشبورد'!$B$11))</f>
        <v/>
      </c>
      <c r="X199">
        <f>Q199*R199*S199*T199*U199*V199*W199*--($C199&lt;&gt;"")</f>
        <v/>
      </c>
    </row>
    <row r="200">
      <c r="A200" s="15" t="n">
        <v>3</v>
      </c>
      <c r="B200" s="15" t="inlineStr">
        <is>
          <t>L184454</t>
        </is>
      </c>
      <c r="C200" s="15" t="inlineStr">
        <is>
          <t>1385/26/11</t>
        </is>
      </c>
      <c r="D200" s="15" t="inlineStr">
        <is>
          <t>الشركة العربية للصناعة والتجارة الدولية</t>
        </is>
      </c>
      <c r="E200" s="15" t="inlineStr">
        <is>
          <t>LV</t>
        </is>
      </c>
      <c r="F200" s="15" t="inlineStr">
        <is>
          <t>0.6/1 KV 4*25</t>
        </is>
      </c>
      <c r="G200" s="15" t="inlineStr">
        <is>
          <t>EX03</t>
        </is>
      </c>
      <c r="H200" s="15" t="inlineStr">
        <is>
          <t>Wooden Drums</t>
        </is>
      </c>
      <c r="I200" s="15" t="inlineStr">
        <is>
          <t>OK</t>
        </is>
      </c>
      <c r="J200" s="15" t="inlineStr">
        <is>
          <t>A</t>
        </is>
      </c>
      <c r="K200" s="15" t="inlineStr">
        <is>
          <t>N</t>
        </is>
      </c>
      <c r="L200" s="15" t="n">
        <v>1901</v>
      </c>
      <c r="M200" s="16" t="n">
        <v>0.490458</v>
      </c>
      <c r="N200" s="16" t="n">
        <v>0</v>
      </c>
      <c r="O200" s="16" t="n">
        <v>0</v>
      </c>
      <c r="P200" s="16" t="n">
        <v>0.490458</v>
      </c>
      <c r="Q200">
        <f>--($A200=IF('الداشبورد'!$B$5="الكل",$A200,'الداشبورد'!$B$5))</f>
        <v/>
      </c>
      <c r="R200">
        <f>--($E200=IF('الداشبورد'!$B$6="الكل",$E200,'الداشبورد'!$B$6))</f>
        <v/>
      </c>
      <c r="S200">
        <f>--($K200=IF('الداشبورد'!$B$7="الكل",$K200,IF('الداشبورد'!$B$7="تصدير","Y","N")))</f>
        <v/>
      </c>
      <c r="T200">
        <f>--($J200=IF('الداشبورد'!$B$8="الكل",$J200,IF('الداشبورد'!$B$8="AL","A","C")))</f>
        <v/>
      </c>
      <c r="U200">
        <f>--($I200=IF('الداشبورد'!$B$9="الكل",$I200,IF('الداشبورد'!$B$9="بدون حالة","P",'الداشبورد'!$B$9)))</f>
        <v/>
      </c>
      <c r="V200">
        <f>--($D200=IF('الداشبورد'!$B$10="الكل",$D200,'الداشبورد'!$B$10))</f>
        <v/>
      </c>
      <c r="W200">
        <f>--($G200=IF('الداشبورد'!$B$11="الكل",$G200,'الداشبورد'!$B$11))</f>
        <v/>
      </c>
      <c r="X200">
        <f>Q200*R200*S200*T200*U200*V200*W200*--($C200&lt;&gt;"")</f>
        <v/>
      </c>
    </row>
    <row r="201">
      <c r="A201" s="15" t="n">
        <v>3</v>
      </c>
      <c r="B201" s="15" t="inlineStr">
        <is>
          <t>N184223</t>
        </is>
      </c>
      <c r="C201" s="15" t="inlineStr">
        <is>
          <t>1410/26/07</t>
        </is>
      </c>
      <c r="D201" s="15" t="inlineStr">
        <is>
          <t>Sadacavi</t>
        </is>
      </c>
      <c r="E201" s="15" t="inlineStr">
        <is>
          <t>LV</t>
        </is>
      </c>
      <c r="F201" s="15" t="inlineStr">
        <is>
          <t>1.8/3 KV 1X240</t>
        </is>
      </c>
      <c r="G201" s="15" t="inlineStr">
        <is>
          <t>EX03</t>
        </is>
      </c>
      <c r="H201" s="15" t="inlineStr">
        <is>
          <t>Wooden Drums</t>
        </is>
      </c>
      <c r="I201" s="15" t="inlineStr">
        <is>
          <t>OK</t>
        </is>
      </c>
      <c r="J201" s="15" t="inlineStr">
        <is>
          <t>A</t>
        </is>
      </c>
      <c r="K201" s="15" t="inlineStr">
        <is>
          <t>Y</t>
        </is>
      </c>
      <c r="L201" s="15" t="n">
        <v>2110</v>
      </c>
      <c r="M201" s="16" t="n">
        <v>1.32086</v>
      </c>
      <c r="N201" s="16" t="n">
        <v>0</v>
      </c>
      <c r="O201" s="16" t="n">
        <v>0</v>
      </c>
      <c r="P201" s="16" t="n">
        <v>1.32086</v>
      </c>
      <c r="Q201">
        <f>--($A201=IF('الداشبورد'!$B$5="الكل",$A201,'الداشبورد'!$B$5))</f>
        <v/>
      </c>
      <c r="R201">
        <f>--($E201=IF('الداشبورد'!$B$6="الكل",$E201,'الداشبورد'!$B$6))</f>
        <v/>
      </c>
      <c r="S201">
        <f>--($K201=IF('الداشبورد'!$B$7="الكل",$K201,IF('الداشبورد'!$B$7="تصدير","Y","N")))</f>
        <v/>
      </c>
      <c r="T201">
        <f>--($J201=IF('الداشبورد'!$B$8="الكل",$J201,IF('الداشبورد'!$B$8="AL","A","C")))</f>
        <v/>
      </c>
      <c r="U201">
        <f>--($I201=IF('الداشبورد'!$B$9="الكل",$I201,IF('الداشبورد'!$B$9="بدون حالة","P",'الداشبورد'!$B$9)))</f>
        <v/>
      </c>
      <c r="V201">
        <f>--($D201=IF('الداشبورد'!$B$10="الكل",$D201,'الداشبورد'!$B$10))</f>
        <v/>
      </c>
      <c r="W201">
        <f>--($G201=IF('الداشبورد'!$B$11="الكل",$G201,'الداشبورد'!$B$11))</f>
        <v/>
      </c>
      <c r="X201">
        <f>Q201*R201*S201*T201*U201*V201*W201*--($C201&lt;&gt;"")</f>
        <v/>
      </c>
    </row>
    <row r="202">
      <c r="A202" s="15" t="n">
        <v>3</v>
      </c>
      <c r="B202" s="15" t="inlineStr">
        <is>
          <t>V184398</t>
        </is>
      </c>
      <c r="C202" s="15" t="inlineStr">
        <is>
          <t>395/26/01</t>
        </is>
      </c>
      <c r="D202" s="15" t="inlineStr">
        <is>
          <t>Eland Cables</t>
        </is>
      </c>
      <c r="E202" s="15" t="inlineStr">
        <is>
          <t>MV</t>
        </is>
      </c>
      <c r="F202" s="15" t="inlineStr">
        <is>
          <t>6.35/11 KV 1X240</t>
        </is>
      </c>
      <c r="G202" s="15" t="inlineStr">
        <is>
          <t>EX04</t>
        </is>
      </c>
      <c r="H202" s="15" t="inlineStr">
        <is>
          <t>Wooden Drums</t>
        </is>
      </c>
      <c r="I202" s="15" t="inlineStr">
        <is>
          <t>Hold</t>
        </is>
      </c>
      <c r="J202" s="15" t="inlineStr">
        <is>
          <t>C</t>
        </is>
      </c>
      <c r="K202" s="15" t="inlineStr">
        <is>
          <t>Y</t>
        </is>
      </c>
      <c r="L202" s="15" t="n">
        <v>1610</v>
      </c>
      <c r="M202" s="16" t="n">
        <v>3.38422</v>
      </c>
      <c r="N202" s="16" t="n">
        <v>0</v>
      </c>
      <c r="O202" s="16" t="n">
        <v>0.58765</v>
      </c>
      <c r="P202" s="16" t="n">
        <v>3.97187</v>
      </c>
      <c r="Q202">
        <f>--($A202=IF('الداشبورد'!$B$5="الكل",$A202,'الداشبورد'!$B$5))</f>
        <v/>
      </c>
      <c r="R202">
        <f>--($E202=IF('الداشبورد'!$B$6="الكل",$E202,'الداشبورد'!$B$6))</f>
        <v/>
      </c>
      <c r="S202">
        <f>--($K202=IF('الداشبورد'!$B$7="الكل",$K202,IF('الداشبورد'!$B$7="تصدير","Y","N")))</f>
        <v/>
      </c>
      <c r="T202">
        <f>--($J202=IF('الداشبورد'!$B$8="الكل",$J202,IF('الداشبورد'!$B$8="AL","A","C")))</f>
        <v/>
      </c>
      <c r="U202">
        <f>--($I202=IF('الداشبورد'!$B$9="الكل",$I202,IF('الداشبورد'!$B$9="بدون حالة","P",'الداشبورد'!$B$9)))</f>
        <v/>
      </c>
      <c r="V202">
        <f>--($D202=IF('الداشبورد'!$B$10="الكل",$D202,'الداشبورد'!$B$10))</f>
        <v/>
      </c>
      <c r="W202">
        <f>--($G202=IF('الداشبورد'!$B$11="الكل",$G202,'الداشبورد'!$B$11))</f>
        <v/>
      </c>
      <c r="X202">
        <f>Q202*R202*S202*T202*U202*V202*W202*--($C202&lt;&gt;"")</f>
        <v/>
      </c>
    </row>
    <row r="203">
      <c r="A203" s="15" t="n">
        <v>3</v>
      </c>
      <c r="B203" s="15" t="inlineStr">
        <is>
          <t>O183944</t>
        </is>
      </c>
      <c r="C203" s="15" t="inlineStr">
        <is>
          <t>1200/26/06</t>
        </is>
      </c>
      <c r="D203" s="15" t="inlineStr">
        <is>
          <t>INSELL</t>
        </is>
      </c>
      <c r="E203" s="15" t="inlineStr">
        <is>
          <t>MV</t>
        </is>
      </c>
      <c r="F203" s="15" t="inlineStr">
        <is>
          <t>12/20 KV 1X120/25</t>
        </is>
      </c>
      <c r="G203" s="15" t="inlineStr">
        <is>
          <t>EX06</t>
        </is>
      </c>
      <c r="H203" s="15" t="inlineStr">
        <is>
          <t>Wooden Drums</t>
        </is>
      </c>
      <c r="I203" s="15" t="inlineStr">
        <is>
          <t>OK</t>
        </is>
      </c>
      <c r="J203" s="15" t="inlineStr">
        <is>
          <t>A</t>
        </is>
      </c>
      <c r="K203" s="15" t="inlineStr">
        <is>
          <t>Y</t>
        </is>
      </c>
      <c r="L203" s="15" t="n">
        <v>2050</v>
      </c>
      <c r="M203" s="16" t="n">
        <v>0.64575</v>
      </c>
      <c r="N203" s="16" t="n">
        <v>0.4715</v>
      </c>
      <c r="O203" s="16" t="n">
        <v>0</v>
      </c>
      <c r="P203" s="16" t="n">
        <v>1.11725</v>
      </c>
      <c r="Q203">
        <f>--($A203=IF('الداشبورد'!$B$5="الكل",$A203,'الداشبورد'!$B$5))</f>
        <v/>
      </c>
      <c r="R203">
        <f>--($E203=IF('الداشبورد'!$B$6="الكل",$E203,'الداشبورد'!$B$6))</f>
        <v/>
      </c>
      <c r="S203">
        <f>--($K203=IF('الداشبورد'!$B$7="الكل",$K203,IF('الداشبورد'!$B$7="تصدير","Y","N")))</f>
        <v/>
      </c>
      <c r="T203">
        <f>--($J203=IF('الداشبورد'!$B$8="الكل",$J203,IF('الداشبورد'!$B$8="AL","A","C")))</f>
        <v/>
      </c>
      <c r="U203">
        <f>--($I203=IF('الداشبورد'!$B$9="الكل",$I203,IF('الداشبورد'!$B$9="بدون حالة","P",'الداشبورد'!$B$9)))</f>
        <v/>
      </c>
      <c r="V203">
        <f>--($D203=IF('الداشبورد'!$B$10="الكل",$D203,'الداشبورد'!$B$10))</f>
        <v/>
      </c>
      <c r="W203">
        <f>--($G203=IF('الداشبورد'!$B$11="الكل",$G203,'الداشبورد'!$B$11))</f>
        <v/>
      </c>
      <c r="X203">
        <f>Q203*R203*S203*T203*U203*V203*W203*--($C203&lt;&gt;"")</f>
        <v/>
      </c>
    </row>
    <row r="204">
      <c r="A204" s="15" t="n">
        <v>3</v>
      </c>
      <c r="B204" s="15" t="inlineStr">
        <is>
          <t>S184312</t>
        </is>
      </c>
      <c r="C204" s="15" t="inlineStr">
        <is>
          <t>1279/26/01</t>
        </is>
      </c>
      <c r="D204" s="15" t="inlineStr">
        <is>
          <t>Eland Cables</t>
        </is>
      </c>
      <c r="E204" s="15" t="inlineStr">
        <is>
          <t>MV</t>
        </is>
      </c>
      <c r="F204" s="15" t="inlineStr">
        <is>
          <t>19/33 KV 3X1X185</t>
        </is>
      </c>
      <c r="G204" s="15" t="inlineStr">
        <is>
          <t>RW01</t>
        </is>
      </c>
      <c r="H204" s="15" t="inlineStr">
        <is>
          <t>Wooden Drums</t>
        </is>
      </c>
      <c r="I204" s="15" t="inlineStr">
        <is>
          <t>OK</t>
        </is>
      </c>
      <c r="J204" s="15" t="inlineStr">
        <is>
          <t>A</t>
        </is>
      </c>
      <c r="K204" s="15" t="inlineStr">
        <is>
          <t>Y</t>
        </is>
      </c>
      <c r="L204" s="15" t="n">
        <v>512</v>
      </c>
      <c r="M204" s="16" t="n">
        <v>0.73472</v>
      </c>
      <c r="N204" s="16" t="n">
        <v>0.490496</v>
      </c>
      <c r="O204" s="16" t="n">
        <v>0</v>
      </c>
      <c r="P204" s="16" t="n">
        <v>1.225216</v>
      </c>
      <c r="Q204">
        <f>--($A204=IF('الداشبورد'!$B$5="الكل",$A204,'الداشبورد'!$B$5))</f>
        <v/>
      </c>
      <c r="R204">
        <f>--($E204=IF('الداشبورد'!$B$6="الكل",$E204,'الداشبورد'!$B$6))</f>
        <v/>
      </c>
      <c r="S204">
        <f>--($K204=IF('الداشبورد'!$B$7="الكل",$K204,IF('الداشبورد'!$B$7="تصدير","Y","N")))</f>
        <v/>
      </c>
      <c r="T204">
        <f>--($J204=IF('الداشبورد'!$B$8="الكل",$J204,IF('الداشبورد'!$B$8="AL","A","C")))</f>
        <v/>
      </c>
      <c r="U204">
        <f>--($I204=IF('الداشبورد'!$B$9="الكل",$I204,IF('الداشبورد'!$B$9="بدون حالة","P",'الداشبورد'!$B$9)))</f>
        <v/>
      </c>
      <c r="V204">
        <f>--($D204=IF('الداشبورد'!$B$10="الكل",$D204,'الداشبورد'!$B$10))</f>
        <v/>
      </c>
      <c r="W204">
        <f>--($G204=IF('الداشبورد'!$B$11="الكل",$G204,'الداشبورد'!$B$11))</f>
        <v/>
      </c>
      <c r="X204">
        <f>Q204*R204*S204*T204*U204*V204*W204*--($C204&lt;&gt;"")</f>
        <v/>
      </c>
    </row>
    <row r="205">
      <c r="A205" s="15" t="n">
        <v>3</v>
      </c>
      <c r="B205" s="15" t="inlineStr">
        <is>
          <t>S184291</t>
        </is>
      </c>
      <c r="C205" s="15" t="inlineStr">
        <is>
          <t>1279/26/01</t>
        </is>
      </c>
      <c r="D205" s="15" t="inlineStr">
        <is>
          <t>Eland Cables</t>
        </is>
      </c>
      <c r="E205" s="15" t="inlineStr">
        <is>
          <t>MV</t>
        </is>
      </c>
      <c r="F205" s="15" t="inlineStr">
        <is>
          <t>19/33 KV 3X1X185</t>
        </is>
      </c>
      <c r="G205" s="15" t="inlineStr">
        <is>
          <t>RW01</t>
        </is>
      </c>
      <c r="H205" s="15" t="inlineStr">
        <is>
          <t>Wooden Drums</t>
        </is>
      </c>
      <c r="I205" s="15" t="inlineStr">
        <is>
          <t>OK</t>
        </is>
      </c>
      <c r="J205" s="15" t="inlineStr">
        <is>
          <t>A</t>
        </is>
      </c>
      <c r="K205" s="15" t="inlineStr">
        <is>
          <t>Y</t>
        </is>
      </c>
      <c r="L205" s="15" t="n">
        <v>515</v>
      </c>
      <c r="M205" s="16" t="n">
        <v>0.7390249999999999</v>
      </c>
      <c r="N205" s="16" t="n">
        <v>0.49337</v>
      </c>
      <c r="O205" s="16" t="n">
        <v>0</v>
      </c>
      <c r="P205" s="16" t="n">
        <v>1.232395</v>
      </c>
      <c r="Q205">
        <f>--($A205=IF('الداشبورد'!$B$5="الكل",$A205,'الداشبورد'!$B$5))</f>
        <v/>
      </c>
      <c r="R205">
        <f>--($E205=IF('الداشبورد'!$B$6="الكل",$E205,'الداشبورد'!$B$6))</f>
        <v/>
      </c>
      <c r="S205">
        <f>--($K205=IF('الداشبورد'!$B$7="الكل",$K205,IF('الداشبورد'!$B$7="تصدير","Y","N")))</f>
        <v/>
      </c>
      <c r="T205">
        <f>--($J205=IF('الداشبورد'!$B$8="الكل",$J205,IF('الداشبورد'!$B$8="AL","A","C")))</f>
        <v/>
      </c>
      <c r="U205">
        <f>--($I205=IF('الداشبورد'!$B$9="الكل",$I205,IF('الداشبورد'!$B$9="بدون حالة","P",'الداشبورد'!$B$9)))</f>
        <v/>
      </c>
      <c r="V205">
        <f>--($D205=IF('الداشبورد'!$B$10="الكل",$D205,'الداشبورد'!$B$10))</f>
        <v/>
      </c>
      <c r="W205">
        <f>--($G205=IF('الداشبورد'!$B$11="الكل",$G205,'الداشبورد'!$B$11))</f>
        <v/>
      </c>
      <c r="X205">
        <f>Q205*R205*S205*T205*U205*V205*W205*--($C205&lt;&gt;"")</f>
        <v/>
      </c>
    </row>
    <row r="206">
      <c r="A206" s="15" t="n">
        <v>3</v>
      </c>
      <c r="B206" s="15" t="inlineStr">
        <is>
          <t>S184396</t>
        </is>
      </c>
      <c r="C206" s="15" t="inlineStr">
        <is>
          <t>1279/26/01</t>
        </is>
      </c>
      <c r="D206" s="15" t="inlineStr">
        <is>
          <t>Eland Cables</t>
        </is>
      </c>
      <c r="E206" s="15" t="inlineStr">
        <is>
          <t>MV</t>
        </is>
      </c>
      <c r="F206" s="15" t="inlineStr">
        <is>
          <t>19/33 KV 3X1X185</t>
        </is>
      </c>
      <c r="G206" s="15" t="inlineStr">
        <is>
          <t>RW01</t>
        </is>
      </c>
      <c r="H206" s="15" t="inlineStr">
        <is>
          <t>Wooden Drums</t>
        </is>
      </c>
      <c r="I206" s="15" t="inlineStr">
        <is>
          <t>OK</t>
        </is>
      </c>
      <c r="J206" s="15" t="inlineStr">
        <is>
          <t>A</t>
        </is>
      </c>
      <c r="K206" s="15" t="inlineStr">
        <is>
          <t>Y</t>
        </is>
      </c>
      <c r="L206" s="15" t="n">
        <v>507</v>
      </c>
      <c r="M206" s="16" t="n">
        <v>0.7275450000000001</v>
      </c>
      <c r="N206" s="16" t="n">
        <v>0.485706</v>
      </c>
      <c r="O206" s="16" t="n">
        <v>0</v>
      </c>
      <c r="P206" s="16" t="n">
        <v>1.213251</v>
      </c>
      <c r="Q206">
        <f>--($A206=IF('الداشبورد'!$B$5="الكل",$A206,'الداشبورد'!$B$5))</f>
        <v/>
      </c>
      <c r="R206">
        <f>--($E206=IF('الداشبورد'!$B$6="الكل",$E206,'الداشبورد'!$B$6))</f>
        <v/>
      </c>
      <c r="S206">
        <f>--($K206=IF('الداشبورد'!$B$7="الكل",$K206,IF('الداشبورد'!$B$7="تصدير","Y","N")))</f>
        <v/>
      </c>
      <c r="T206">
        <f>--($J206=IF('الداشبورد'!$B$8="الكل",$J206,IF('الداشبورد'!$B$8="AL","A","C")))</f>
        <v/>
      </c>
      <c r="U206">
        <f>--($I206=IF('الداشبورد'!$B$9="الكل",$I206,IF('الداشبورد'!$B$9="بدون حالة","P",'الداشبورد'!$B$9)))</f>
        <v/>
      </c>
      <c r="V206">
        <f>--($D206=IF('الداشبورد'!$B$10="الكل",$D206,'الداشبورد'!$B$10))</f>
        <v/>
      </c>
      <c r="W206">
        <f>--($G206=IF('الداشبورد'!$B$11="الكل",$G206,'الداشبورد'!$B$11))</f>
        <v/>
      </c>
      <c r="X206">
        <f>Q206*R206*S206*T206*U206*V206*W206*--($C206&lt;&gt;"")</f>
        <v/>
      </c>
    </row>
    <row r="207">
      <c r="A207" s="15" t="n">
        <v>3</v>
      </c>
      <c r="B207" s="15" t="inlineStr">
        <is>
          <t>37935</t>
        </is>
      </c>
      <c r="C207" s="15" t="inlineStr">
        <is>
          <t>9/25/07</t>
        </is>
      </c>
      <c r="D207" s="15" t="inlineStr">
        <is>
          <t>Helal Elsewedy</t>
        </is>
      </c>
      <c r="E207" s="15" t="inlineStr">
        <is>
          <t>BC</t>
        </is>
      </c>
      <c r="F207" s="15" t="inlineStr">
        <is>
          <t>450/750 V 1X1.5</t>
        </is>
      </c>
      <c r="G207" s="15" t="inlineStr">
        <is>
          <t>CO03</t>
        </is>
      </c>
      <c r="H207" s="15" t="inlineStr">
        <is>
          <t>Plastic Spool 100M</t>
        </is>
      </c>
      <c r="I207" s="15" t="inlineStr">
        <is>
          <t>OK</t>
        </is>
      </c>
      <c r="J207" s="15" t="inlineStr">
        <is>
          <t>C</t>
        </is>
      </c>
      <c r="K207" s="15" t="inlineStr">
        <is>
          <t>N</t>
        </is>
      </c>
      <c r="L207" s="15" t="n">
        <v>5000</v>
      </c>
      <c r="M207" s="16" t="n">
        <v>0.06</v>
      </c>
      <c r="N207" s="16" t="n">
        <v>0</v>
      </c>
      <c r="O207" s="16" t="n">
        <v>0</v>
      </c>
      <c r="P207" s="16" t="n">
        <v>0.06</v>
      </c>
      <c r="Q207">
        <f>--($A207=IF('الداشبورد'!$B$5="الكل",$A207,'الداشبورد'!$B$5))</f>
        <v/>
      </c>
      <c r="R207">
        <f>--($E207=IF('الداشبورد'!$B$6="الكل",$E207,'الداشبورد'!$B$6))</f>
        <v/>
      </c>
      <c r="S207">
        <f>--($K207=IF('الداشبورد'!$B$7="الكل",$K207,IF('الداشبورد'!$B$7="تصدير","Y","N")))</f>
        <v/>
      </c>
      <c r="T207">
        <f>--($J207=IF('الداشبورد'!$B$8="الكل",$J207,IF('الداشبورد'!$B$8="AL","A","C")))</f>
        <v/>
      </c>
      <c r="U207">
        <f>--($I207=IF('الداشبورد'!$B$9="الكل",$I207,IF('الداشبورد'!$B$9="بدون حالة","P",'الداشبورد'!$B$9)))</f>
        <v/>
      </c>
      <c r="V207">
        <f>--($D207=IF('الداشبورد'!$B$10="الكل",$D207,'الداشبورد'!$B$10))</f>
        <v/>
      </c>
      <c r="W207">
        <f>--($G207=IF('الداشبورد'!$B$11="الكل",$G207,'الداشبورد'!$B$11))</f>
        <v/>
      </c>
      <c r="X207">
        <f>Q207*R207*S207*T207*U207*V207*W207*--($C207&lt;&gt;"")</f>
        <v/>
      </c>
    </row>
    <row r="208">
      <c r="A208" s="15" t="n">
        <v>3</v>
      </c>
      <c r="B208" s="15" t="inlineStr">
        <is>
          <t>37934</t>
        </is>
      </c>
      <c r="C208" s="15" t="inlineStr">
        <is>
          <t>1687/26/01</t>
        </is>
      </c>
      <c r="D208" s="15" t="inlineStr">
        <is>
          <t>Schneider Electric</t>
        </is>
      </c>
      <c r="E208" s="15" t="inlineStr">
        <is>
          <t>BC</t>
        </is>
      </c>
      <c r="F208" s="15" t="inlineStr">
        <is>
          <t>0.6/1 KV 1X1.5</t>
        </is>
      </c>
      <c r="G208" s="15" t="inlineStr">
        <is>
          <t>CO03</t>
        </is>
      </c>
      <c r="H208" s="15" t="inlineStr">
        <is>
          <t>Plastic Spool 100M</t>
        </is>
      </c>
      <c r="I208" s="15" t="inlineStr">
        <is>
          <t>OK</t>
        </is>
      </c>
      <c r="J208" s="15" t="inlineStr">
        <is>
          <t>C</t>
        </is>
      </c>
      <c r="K208" s="15" t="inlineStr">
        <is>
          <t>N</t>
        </is>
      </c>
      <c r="L208" s="15" t="n">
        <v>2700</v>
      </c>
      <c r="M208" s="16" t="n">
        <v>0.0324</v>
      </c>
      <c r="N208" s="16" t="n">
        <v>0</v>
      </c>
      <c r="O208" s="16" t="n">
        <v>0</v>
      </c>
      <c r="P208" s="16" t="n">
        <v>0.0324</v>
      </c>
      <c r="Q208">
        <f>--($A208=IF('الداشبورد'!$B$5="الكل",$A208,'الداشبورد'!$B$5))</f>
        <v/>
      </c>
      <c r="R208">
        <f>--($E208=IF('الداشبورد'!$B$6="الكل",$E208,'الداشبورد'!$B$6))</f>
        <v/>
      </c>
      <c r="S208">
        <f>--($K208=IF('الداشبورد'!$B$7="الكل",$K208,IF('الداشبورد'!$B$7="تصدير","Y","N")))</f>
        <v/>
      </c>
      <c r="T208">
        <f>--($J208=IF('الداشبورد'!$B$8="الكل",$J208,IF('الداشبورد'!$B$8="AL","A","C")))</f>
        <v/>
      </c>
      <c r="U208">
        <f>--($I208=IF('الداشبورد'!$B$9="الكل",$I208,IF('الداشبورد'!$B$9="بدون حالة","P",'الداشبورد'!$B$9)))</f>
        <v/>
      </c>
      <c r="V208">
        <f>--($D208=IF('الداشبورد'!$B$10="الكل",$D208,'الداشبورد'!$B$10))</f>
        <v/>
      </c>
      <c r="W208">
        <f>--($G208=IF('الداشبورد'!$B$11="الكل",$G208,'الداشبورد'!$B$11))</f>
        <v/>
      </c>
      <c r="X208">
        <f>Q208*R208*S208*T208*U208*V208*W208*--($C208&lt;&gt;"")</f>
        <v/>
      </c>
    </row>
    <row r="209">
      <c r="A209" s="15" t="n">
        <v>3</v>
      </c>
      <c r="B209" s="15" t="inlineStr">
        <is>
          <t>37936</t>
        </is>
      </c>
      <c r="C209" s="15" t="inlineStr">
        <is>
          <t>1652/26/04</t>
        </is>
      </c>
      <c r="D209" s="15" t="inlineStr">
        <is>
          <t>Schneider Electric</t>
        </is>
      </c>
      <c r="E209" s="15" t="inlineStr">
        <is>
          <t>BC</t>
        </is>
      </c>
      <c r="F209" s="15" t="inlineStr">
        <is>
          <t>450/750 V 1X1.5</t>
        </is>
      </c>
      <c r="G209" s="15" t="inlineStr">
        <is>
          <t>CO03</t>
        </is>
      </c>
      <c r="H209" s="15" t="inlineStr">
        <is>
          <t>Plastic Spool 100M</t>
        </is>
      </c>
      <c r="I209" s="15" t="inlineStr">
        <is>
          <t>OK</t>
        </is>
      </c>
      <c r="J209" s="15" t="inlineStr">
        <is>
          <t>C</t>
        </is>
      </c>
      <c r="K209" s="15" t="inlineStr">
        <is>
          <t>N</t>
        </is>
      </c>
      <c r="L209" s="15" t="n">
        <v>15500</v>
      </c>
      <c r="M209" s="16" t="n">
        <v>0.186</v>
      </c>
      <c r="N209" s="16" t="n">
        <v>0</v>
      </c>
      <c r="O209" s="16" t="n">
        <v>0</v>
      </c>
      <c r="P209" s="16" t="n">
        <v>0.186</v>
      </c>
      <c r="Q209">
        <f>--($A209=IF('الداشبورد'!$B$5="الكل",$A209,'الداشبورد'!$B$5))</f>
        <v/>
      </c>
      <c r="R209">
        <f>--($E209=IF('الداشبورد'!$B$6="الكل",$E209,'الداشبورد'!$B$6))</f>
        <v/>
      </c>
      <c r="S209">
        <f>--($K209=IF('الداشبورد'!$B$7="الكل",$K209,IF('الداشبورد'!$B$7="تصدير","Y","N")))</f>
        <v/>
      </c>
      <c r="T209">
        <f>--($J209=IF('الداشبورد'!$B$8="الكل",$J209,IF('الداشبورد'!$B$8="AL","A","C")))</f>
        <v/>
      </c>
      <c r="U209">
        <f>--($I209=IF('الداشبورد'!$B$9="الكل",$I209,IF('الداشبورد'!$B$9="بدون حالة","P",'الداشبورد'!$B$9)))</f>
        <v/>
      </c>
      <c r="V209">
        <f>--($D209=IF('الداشبورد'!$B$10="الكل",$D209,'الداشبورد'!$B$10))</f>
        <v/>
      </c>
      <c r="W209">
        <f>--($G209=IF('الداشبورد'!$B$11="الكل",$G209,'الداشبورد'!$B$11))</f>
        <v/>
      </c>
      <c r="X209">
        <f>Q209*R209*S209*T209*U209*V209*W209*--($C209&lt;&gt;"")</f>
        <v/>
      </c>
    </row>
    <row r="210">
      <c r="A210" s="15" t="n">
        <v>1</v>
      </c>
      <c r="B210" s="15" t="inlineStr">
        <is>
          <t>L184254</t>
        </is>
      </c>
      <c r="C210" s="15" t="inlineStr">
        <is>
          <t>1338/26/11</t>
        </is>
      </c>
      <c r="D210" s="15" t="inlineStr">
        <is>
          <t>كونكورد للهندسة والمقاولات</t>
        </is>
      </c>
      <c r="E210" s="15" t="inlineStr">
        <is>
          <t>LV</t>
        </is>
      </c>
      <c r="F210" s="15" t="inlineStr">
        <is>
          <t>0.6/1 KV 3X35+16</t>
        </is>
      </c>
      <c r="G210" s="15" t="inlineStr">
        <is>
          <t>EX14</t>
        </is>
      </c>
      <c r="H210" s="15" t="inlineStr">
        <is>
          <t>Wooden Drums</t>
        </is>
      </c>
      <c r="I210" s="15" t="inlineStr">
        <is>
          <t>OK</t>
        </is>
      </c>
      <c r="J210" s="15" t="inlineStr">
        <is>
          <t>C</t>
        </is>
      </c>
      <c r="K210" s="15" t="inlineStr">
        <is>
          <t>N</t>
        </is>
      </c>
      <c r="L210" s="15" t="n">
        <v>1236</v>
      </c>
      <c r="M210" s="16" t="n">
        <v>1.268136</v>
      </c>
      <c r="N210" s="16" t="n">
        <v>0</v>
      </c>
      <c r="O210" s="16" t="n">
        <v>0</v>
      </c>
      <c r="P210" s="16" t="n">
        <v>1.268136</v>
      </c>
      <c r="Q210">
        <f>--($A210=IF('الداشبورد'!$B$5="الكل",$A210,'الداشبورد'!$B$5))</f>
        <v/>
      </c>
      <c r="R210">
        <f>--($E210=IF('الداشبورد'!$B$6="الكل",$E210,'الداشبورد'!$B$6))</f>
        <v/>
      </c>
      <c r="S210">
        <f>--($K210=IF('الداشبورد'!$B$7="الكل",$K210,IF('الداشبورد'!$B$7="تصدير","Y","N")))</f>
        <v/>
      </c>
      <c r="T210">
        <f>--($J210=IF('الداشبورد'!$B$8="الكل",$J210,IF('الداشبورد'!$B$8="AL","A","C")))</f>
        <v/>
      </c>
      <c r="U210">
        <f>--($I210=IF('الداشبورد'!$B$9="الكل",$I210,IF('الداشبورد'!$B$9="بدون حالة","P",'الداشبورد'!$B$9)))</f>
        <v/>
      </c>
      <c r="V210">
        <f>--($D210=IF('الداشبورد'!$B$10="الكل",$D210,'الداشبورد'!$B$10))</f>
        <v/>
      </c>
      <c r="W210">
        <f>--($G210=IF('الداشبورد'!$B$11="الكل",$G210,'الداشبورد'!$B$11))</f>
        <v/>
      </c>
      <c r="X210">
        <f>Q210*R210*S210*T210*U210*V210*W210*--($C210&lt;&gt;"")</f>
        <v/>
      </c>
    </row>
    <row r="211">
      <c r="A211" s="15" t="n">
        <v>1</v>
      </c>
      <c r="B211" s="15" t="inlineStr">
        <is>
          <t>E184200</t>
        </is>
      </c>
      <c r="C211" s="15" t="inlineStr">
        <is>
          <t>1338/26/10</t>
        </is>
      </c>
      <c r="D211" s="15" t="inlineStr">
        <is>
          <t>كونكورد للهندسة والمقاولات</t>
        </is>
      </c>
      <c r="E211" s="15" t="inlineStr">
        <is>
          <t>LV</t>
        </is>
      </c>
      <c r="F211" s="15" t="inlineStr">
        <is>
          <t>0.6/1 KV 4*35</t>
        </is>
      </c>
      <c r="G211" s="15" t="inlineStr">
        <is>
          <t>EX14</t>
        </is>
      </c>
      <c r="H211" s="15" t="inlineStr">
        <is>
          <t>Wooden Drums</t>
        </is>
      </c>
      <c r="I211" s="15" t="inlineStr">
        <is>
          <t>OK</t>
        </is>
      </c>
      <c r="J211" s="15" t="inlineStr">
        <is>
          <t>C</t>
        </is>
      </c>
      <c r="K211" s="15" t="inlineStr">
        <is>
          <t>N</t>
        </is>
      </c>
      <c r="L211" s="15" t="n">
        <v>257</v>
      </c>
      <c r="M211" s="16" t="n">
        <v>0.306344</v>
      </c>
      <c r="N211" s="16" t="n">
        <v>0</v>
      </c>
      <c r="O211" s="16" t="n">
        <v>0</v>
      </c>
      <c r="P211" s="16" t="n">
        <v>0.306344</v>
      </c>
      <c r="Q211">
        <f>--($A211=IF('الداشبورد'!$B$5="الكل",$A211,'الداشبورد'!$B$5))</f>
        <v/>
      </c>
      <c r="R211">
        <f>--($E211=IF('الداشبورد'!$B$6="الكل",$E211,'الداشبورد'!$B$6))</f>
        <v/>
      </c>
      <c r="S211">
        <f>--($K211=IF('الداشبورد'!$B$7="الكل",$K211,IF('الداشبورد'!$B$7="تصدير","Y","N")))</f>
        <v/>
      </c>
      <c r="T211">
        <f>--($J211=IF('الداشبورد'!$B$8="الكل",$J211,IF('الداشبورد'!$B$8="AL","A","C")))</f>
        <v/>
      </c>
      <c r="U211">
        <f>--($I211=IF('الداشبورد'!$B$9="الكل",$I211,IF('الداشبورد'!$B$9="بدون حالة","P",'الداشبورد'!$B$9)))</f>
        <v/>
      </c>
      <c r="V211">
        <f>--($D211=IF('الداشبورد'!$B$10="الكل",$D211,'الداشبورد'!$B$10))</f>
        <v/>
      </c>
      <c r="W211">
        <f>--($G211=IF('الداشبورد'!$B$11="الكل",$G211,'الداشبورد'!$B$11))</f>
        <v/>
      </c>
      <c r="X211">
        <f>Q211*R211*S211*T211*U211*V211*W211*--($C211&lt;&gt;"")</f>
        <v/>
      </c>
    </row>
    <row r="212">
      <c r="A212" s="15" t="n">
        <v>3</v>
      </c>
      <c r="B212" s="15" t="inlineStr">
        <is>
          <t>L184452</t>
        </is>
      </c>
      <c r="C212" s="15" t="inlineStr">
        <is>
          <t>1385/26/08</t>
        </is>
      </c>
      <c r="D212" s="15" t="inlineStr">
        <is>
          <t>الشركة العربية للصناعة والتجارة الدولية</t>
        </is>
      </c>
      <c r="E212" s="15" t="inlineStr">
        <is>
          <t>LV</t>
        </is>
      </c>
      <c r="F212" s="15" t="inlineStr">
        <is>
          <t>0.6/1 KV 3*70+35</t>
        </is>
      </c>
      <c r="G212" s="15" t="inlineStr">
        <is>
          <t>EX03</t>
        </is>
      </c>
      <c r="H212" s="15" t="inlineStr">
        <is>
          <t>Wooden Drums</t>
        </is>
      </c>
      <c r="I212" s="15" t="inlineStr">
        <is>
          <t>OK</t>
        </is>
      </c>
      <c r="J212" s="15" t="inlineStr">
        <is>
          <t>A</t>
        </is>
      </c>
      <c r="K212" s="15" t="inlineStr">
        <is>
          <t>N</t>
        </is>
      </c>
      <c r="L212" s="15" t="n">
        <v>917</v>
      </c>
      <c r="M212" s="16" t="n">
        <v>0.593299</v>
      </c>
      <c r="N212" s="16" t="n">
        <v>0</v>
      </c>
      <c r="O212" s="16" t="n">
        <v>0</v>
      </c>
      <c r="P212" s="16" t="n">
        <v>0.593299</v>
      </c>
      <c r="Q212">
        <f>--($A212=IF('الداشبورد'!$B$5="الكل",$A212,'الداشبورد'!$B$5))</f>
        <v/>
      </c>
      <c r="R212">
        <f>--($E212=IF('الداشبورد'!$B$6="الكل",$E212,'الداشبورد'!$B$6))</f>
        <v/>
      </c>
      <c r="S212">
        <f>--($K212=IF('الداشبورد'!$B$7="الكل",$K212,IF('الداشبورد'!$B$7="تصدير","Y","N")))</f>
        <v/>
      </c>
      <c r="T212">
        <f>--($J212=IF('الداشبورد'!$B$8="الكل",$J212,IF('الداشبورد'!$B$8="AL","A","C")))</f>
        <v/>
      </c>
      <c r="U212">
        <f>--($I212=IF('الداشبورد'!$B$9="الكل",$I212,IF('الداشبورد'!$B$9="بدون حالة","P",'الداشبورد'!$B$9)))</f>
        <v/>
      </c>
      <c r="V212">
        <f>--($D212=IF('الداشبورد'!$B$10="الكل",$D212,'الداشبورد'!$B$10))</f>
        <v/>
      </c>
      <c r="W212">
        <f>--($G212=IF('الداشبورد'!$B$11="الكل",$G212,'الداشبورد'!$B$11))</f>
        <v/>
      </c>
      <c r="X212">
        <f>Q212*R212*S212*T212*U212*V212*W212*--($C212&lt;&gt;"")</f>
        <v/>
      </c>
    </row>
    <row r="213">
      <c r="A213" s="15" t="n">
        <v>2</v>
      </c>
      <c r="B213" s="15" t="inlineStr">
        <is>
          <t>J184328</t>
        </is>
      </c>
      <c r="C213" s="15" t="inlineStr">
        <is>
          <t>1186/26/12</t>
        </is>
      </c>
      <c r="D213" s="15" t="inlineStr">
        <is>
          <t>شركة بروفيشنال إنجنيرينج سيرفيس</t>
        </is>
      </c>
      <c r="E213" s="15" t="inlineStr">
        <is>
          <t>LV</t>
        </is>
      </c>
      <c r="F213" s="15" t="inlineStr">
        <is>
          <t>0.6/1 KV 3*50+25</t>
        </is>
      </c>
      <c r="G213" s="15" t="inlineStr">
        <is>
          <t>EX03</t>
        </is>
      </c>
      <c r="H213" s="15" t="inlineStr">
        <is>
          <t>Wooden Drums</t>
        </is>
      </c>
      <c r="I213" s="15" t="inlineStr">
        <is>
          <t>OK</t>
        </is>
      </c>
      <c r="J213" s="15" t="inlineStr">
        <is>
          <t>A</t>
        </is>
      </c>
      <c r="K213" s="15" t="inlineStr">
        <is>
          <t>N</t>
        </is>
      </c>
      <c r="L213" s="15" t="n">
        <v>332</v>
      </c>
      <c r="M213" s="16" t="n">
        <v>0.147408</v>
      </c>
      <c r="N213" s="16" t="n">
        <v>0</v>
      </c>
      <c r="O213" s="16" t="n">
        <v>0</v>
      </c>
      <c r="P213" s="16" t="n">
        <v>0.147408</v>
      </c>
      <c r="Q213">
        <f>--($A213=IF('الداشبورد'!$B$5="الكل",$A213,'الداشبورد'!$B$5))</f>
        <v/>
      </c>
      <c r="R213">
        <f>--($E213=IF('الداشبورد'!$B$6="الكل",$E213,'الداشبورد'!$B$6))</f>
        <v/>
      </c>
      <c r="S213">
        <f>--($K213=IF('الداشبورد'!$B$7="الكل",$K213,IF('الداشبورد'!$B$7="تصدير","Y","N")))</f>
        <v/>
      </c>
      <c r="T213">
        <f>--($J213=IF('الداشبورد'!$B$8="الكل",$J213,IF('الداشبورد'!$B$8="AL","A","C")))</f>
        <v/>
      </c>
      <c r="U213">
        <f>--($I213=IF('الداشبورد'!$B$9="الكل",$I213,IF('الداشبورد'!$B$9="بدون حالة","P",'الداشبورد'!$B$9)))</f>
        <v/>
      </c>
      <c r="V213">
        <f>--($D213=IF('الداشبورد'!$B$10="الكل",$D213,'الداشبورد'!$B$10))</f>
        <v/>
      </c>
      <c r="W213">
        <f>--($G213=IF('الداشبورد'!$B$11="الكل",$G213,'الداشبورد'!$B$11))</f>
        <v/>
      </c>
      <c r="X213">
        <f>Q213*R213*S213*T213*U213*V213*W213*--($C213&lt;&gt;"")</f>
        <v/>
      </c>
    </row>
    <row r="214">
      <c r="A214" s="15" t="n">
        <v>3</v>
      </c>
      <c r="B214" s="15" t="inlineStr">
        <is>
          <t>J183799</t>
        </is>
      </c>
      <c r="C214" s="15" t="inlineStr">
        <is>
          <t>1462/26/08</t>
        </is>
      </c>
      <c r="D214" s="15" t="inlineStr">
        <is>
          <t>Vigo trgovina d.o.o.</t>
        </is>
      </c>
      <c r="E214" s="15" t="inlineStr">
        <is>
          <t>LV</t>
        </is>
      </c>
      <c r="F214" s="15" t="inlineStr">
        <is>
          <t>0.6/1 KV 1X120</t>
        </is>
      </c>
      <c r="G214" s="15" t="inlineStr">
        <is>
          <t>EX04</t>
        </is>
      </c>
      <c r="H214" s="15" t="inlineStr">
        <is>
          <t>Wooden Drums</t>
        </is>
      </c>
      <c r="I214" s="15" t="inlineStr">
        <is>
          <t>OK</t>
        </is>
      </c>
      <c r="J214" s="15" t="inlineStr">
        <is>
          <t>C</t>
        </is>
      </c>
      <c r="K214" s="15" t="inlineStr">
        <is>
          <t>Y</t>
        </is>
      </c>
      <c r="L214" s="15" t="n">
        <v>2030</v>
      </c>
      <c r="M214" s="16" t="n">
        <v>2.0909</v>
      </c>
      <c r="N214" s="16" t="n">
        <v>0</v>
      </c>
      <c r="O214" s="16" t="n">
        <v>0</v>
      </c>
      <c r="P214" s="16" t="n">
        <v>2.0909</v>
      </c>
      <c r="Q214">
        <f>--($A214=IF('الداشبورد'!$B$5="الكل",$A214,'الداشبورد'!$B$5))</f>
        <v/>
      </c>
      <c r="R214">
        <f>--($E214=IF('الداشبورد'!$B$6="الكل",$E214,'الداشبورد'!$B$6))</f>
        <v/>
      </c>
      <c r="S214">
        <f>--($K214=IF('الداشبورد'!$B$7="الكل",$K214,IF('الداشبورد'!$B$7="تصدير","Y","N")))</f>
        <v/>
      </c>
      <c r="T214">
        <f>--($J214=IF('الداشبورد'!$B$8="الكل",$J214,IF('الداشبورد'!$B$8="AL","A","C")))</f>
        <v/>
      </c>
      <c r="U214">
        <f>--($I214=IF('الداشبورد'!$B$9="الكل",$I214,IF('الداشبورد'!$B$9="بدون حالة","P",'الداشبورد'!$B$9)))</f>
        <v/>
      </c>
      <c r="V214">
        <f>--($D214=IF('الداشبورد'!$B$10="الكل",$D214,'الداشبورد'!$B$10))</f>
        <v/>
      </c>
      <c r="W214">
        <f>--($G214=IF('الداشبورد'!$B$11="الكل",$G214,'الداشبورد'!$B$11))</f>
        <v/>
      </c>
      <c r="X214">
        <f>Q214*R214*S214*T214*U214*V214*W214*--($C214&lt;&gt;"")</f>
        <v/>
      </c>
    </row>
    <row r="215">
      <c r="A215" s="15" t="n">
        <v>3</v>
      </c>
      <c r="B215" s="15" t="inlineStr">
        <is>
          <t>M183517</t>
        </is>
      </c>
      <c r="C215" s="15" t="inlineStr">
        <is>
          <t>1425/26/11</t>
        </is>
      </c>
      <c r="D215" s="15" t="inlineStr">
        <is>
          <t>Faber Kabel</t>
        </is>
      </c>
      <c r="E215" s="15" t="inlineStr">
        <is>
          <t>LV</t>
        </is>
      </c>
      <c r="F215" s="15" t="inlineStr">
        <is>
          <t>0.6/1 KV 1X400</t>
        </is>
      </c>
      <c r="G215" s="15" t="inlineStr">
        <is>
          <t>EX13</t>
        </is>
      </c>
      <c r="H215" s="15" t="inlineStr">
        <is>
          <t>Wooden Drums</t>
        </is>
      </c>
      <c r="I215" s="15" t="inlineStr">
        <is>
          <t>OK</t>
        </is>
      </c>
      <c r="J215" s="15" t="inlineStr">
        <is>
          <t>A</t>
        </is>
      </c>
      <c r="K215" s="15" t="inlineStr">
        <is>
          <t>Y</t>
        </is>
      </c>
      <c r="L215" s="15" t="n">
        <v>2011</v>
      </c>
      <c r="M215" s="16" t="n">
        <v>2.043176</v>
      </c>
      <c r="N215" s="16" t="n">
        <v>0</v>
      </c>
      <c r="O215" s="16" t="n">
        <v>0</v>
      </c>
      <c r="P215" s="16" t="n">
        <v>2.043176</v>
      </c>
      <c r="Q215">
        <f>--($A215=IF('الداشبورد'!$B$5="الكل",$A215,'الداشبورد'!$B$5))</f>
        <v/>
      </c>
      <c r="R215">
        <f>--($E215=IF('الداشبورد'!$B$6="الكل",$E215,'الداشبورد'!$B$6))</f>
        <v/>
      </c>
      <c r="S215">
        <f>--($K215=IF('الداشبورد'!$B$7="الكل",$K215,IF('الداشبورد'!$B$7="تصدير","Y","N")))</f>
        <v/>
      </c>
      <c r="T215">
        <f>--($J215=IF('الداشبورد'!$B$8="الكل",$J215,IF('الداشبورد'!$B$8="AL","A","C")))</f>
        <v/>
      </c>
      <c r="U215">
        <f>--($I215=IF('الداشبورد'!$B$9="الكل",$I215,IF('الداشبورد'!$B$9="بدون حالة","P",'الداشبورد'!$B$9)))</f>
        <v/>
      </c>
      <c r="V215">
        <f>--($D215=IF('الداشبورد'!$B$10="الكل",$D215,'الداشبورد'!$B$10))</f>
        <v/>
      </c>
      <c r="W215">
        <f>--($G215=IF('الداشبورد'!$B$11="الكل",$G215,'الداشبورد'!$B$11))</f>
        <v/>
      </c>
      <c r="X215">
        <f>Q215*R215*S215*T215*U215*V215*W215*--($C215&lt;&gt;"")</f>
        <v/>
      </c>
    </row>
    <row r="216">
      <c r="A216" s="15" t="n">
        <v>3</v>
      </c>
      <c r="B216" s="15" t="inlineStr">
        <is>
          <t>J180573</t>
        </is>
      </c>
      <c r="C216" s="15" t="inlineStr">
        <is>
          <t>229/25/12</t>
        </is>
      </c>
      <c r="D216" s="15" t="inlineStr">
        <is>
          <t>المشاركة التضامنية المقاولون العرب - مدكور - محاصة</t>
        </is>
      </c>
      <c r="E216" s="15" t="inlineStr">
        <is>
          <t>CC</t>
        </is>
      </c>
      <c r="F216" s="15" t="inlineStr">
        <is>
          <t>0.6/1 KV 12*2.5</t>
        </is>
      </c>
      <c r="G216" s="15" t="inlineStr">
        <is>
          <t>EX09</t>
        </is>
      </c>
      <c r="H216" s="15" t="inlineStr">
        <is>
          <t>Wooden Drums</t>
        </is>
      </c>
      <c r="I216" s="15" t="inlineStr">
        <is>
          <t>OK</t>
        </is>
      </c>
      <c r="J216" s="15" t="inlineStr">
        <is>
          <t>C</t>
        </is>
      </c>
      <c r="K216" s="15" t="inlineStr">
        <is>
          <t>N</t>
        </is>
      </c>
      <c r="L216" s="15" t="n">
        <v>230</v>
      </c>
      <c r="M216" s="16" t="n">
        <v>0.06256</v>
      </c>
      <c r="N216" s="16" t="n">
        <v>0</v>
      </c>
      <c r="O216" s="16" t="n">
        <v>0</v>
      </c>
      <c r="P216" s="16" t="n">
        <v>0.06256</v>
      </c>
      <c r="Q216">
        <f>--($A216=IF('الداشبورد'!$B$5="الكل",$A216,'الداشبورد'!$B$5))</f>
        <v/>
      </c>
      <c r="R216">
        <f>--($E216=IF('الداشبورد'!$B$6="الكل",$E216,'الداشبورد'!$B$6))</f>
        <v/>
      </c>
      <c r="S216">
        <f>--($K216=IF('الداشبورد'!$B$7="الكل",$K216,IF('الداشبورد'!$B$7="تصدير","Y","N")))</f>
        <v/>
      </c>
      <c r="T216">
        <f>--($J216=IF('الداشبورد'!$B$8="الكل",$J216,IF('الداشبورد'!$B$8="AL","A","C")))</f>
        <v/>
      </c>
      <c r="U216">
        <f>--($I216=IF('الداشبورد'!$B$9="الكل",$I216,IF('الداشبورد'!$B$9="بدون حالة","P",'الداشبورد'!$B$9)))</f>
        <v/>
      </c>
      <c r="V216">
        <f>--($D216=IF('الداشبورد'!$B$10="الكل",$D216,'الداشبورد'!$B$10))</f>
        <v/>
      </c>
      <c r="W216">
        <f>--($G216=IF('الداشبورد'!$B$11="الكل",$G216,'الداشبورد'!$B$11))</f>
        <v/>
      </c>
      <c r="X216">
        <f>Q216*R216*S216*T216*U216*V216*W216*--($C216&lt;&gt;"")</f>
        <v/>
      </c>
    </row>
    <row r="217">
      <c r="A217" s="15" t="n">
        <v>2</v>
      </c>
      <c r="B217" s="15" t="inlineStr">
        <is>
          <t>N183607</t>
        </is>
      </c>
      <c r="C217" s="15" t="inlineStr">
        <is>
          <t>1385/26/08</t>
        </is>
      </c>
      <c r="D217" s="15" t="inlineStr">
        <is>
          <t>الشركة العربية للصناعة والتجارة الدولية</t>
        </is>
      </c>
      <c r="E217" s="15" t="inlineStr">
        <is>
          <t>LV</t>
        </is>
      </c>
      <c r="F217" s="15" t="inlineStr">
        <is>
          <t>0.6/1 KV 3*70+35</t>
        </is>
      </c>
      <c r="G217" s="15" t="inlineStr">
        <is>
          <t>EX04</t>
        </is>
      </c>
      <c r="H217" s="15" t="inlineStr">
        <is>
          <t>Wooden Drums</t>
        </is>
      </c>
      <c r="I217" s="15" t="inlineStr">
        <is>
          <t>OK</t>
        </is>
      </c>
      <c r="J217" s="15" t="inlineStr">
        <is>
          <t>A</t>
        </is>
      </c>
      <c r="K217" s="15" t="inlineStr">
        <is>
          <t>N</t>
        </is>
      </c>
      <c r="L217" s="15" t="n">
        <v>1006</v>
      </c>
      <c r="M217" s="16" t="n">
        <v>0.6508820000000001</v>
      </c>
      <c r="N217" s="16" t="n">
        <v>0</v>
      </c>
      <c r="O217" s="16" t="n">
        <v>0</v>
      </c>
      <c r="P217" s="16" t="n">
        <v>0.6508820000000001</v>
      </c>
      <c r="Q217">
        <f>--($A217=IF('الداشبورد'!$B$5="الكل",$A217,'الداشبورد'!$B$5))</f>
        <v/>
      </c>
      <c r="R217">
        <f>--($E217=IF('الداشبورد'!$B$6="الكل",$E217,'الداشبورد'!$B$6))</f>
        <v/>
      </c>
      <c r="S217">
        <f>--($K217=IF('الداشبورد'!$B$7="الكل",$K217,IF('الداشبورد'!$B$7="تصدير","Y","N")))</f>
        <v/>
      </c>
      <c r="T217">
        <f>--($J217=IF('الداشبورد'!$B$8="الكل",$J217,IF('الداشبورد'!$B$8="AL","A","C")))</f>
        <v/>
      </c>
      <c r="U217">
        <f>--($I217=IF('الداشبورد'!$B$9="الكل",$I217,IF('الداشبورد'!$B$9="بدون حالة","P",'الداشبورد'!$B$9)))</f>
        <v/>
      </c>
      <c r="V217">
        <f>--($D217=IF('الداشبورد'!$B$10="الكل",$D217,'الداشبورد'!$B$10))</f>
        <v/>
      </c>
      <c r="W217">
        <f>--($G217=IF('الداشبورد'!$B$11="الكل",$G217,'الداشبورد'!$B$11))</f>
        <v/>
      </c>
      <c r="X217">
        <f>Q217*R217*S217*T217*U217*V217*W217*--($C217&lt;&gt;"")</f>
        <v/>
      </c>
    </row>
    <row r="218">
      <c r="A218" s="15" t="n">
        <v>1</v>
      </c>
      <c r="B218" s="15" t="inlineStr">
        <is>
          <t>P184207</t>
        </is>
      </c>
      <c r="C218" s="15" t="inlineStr">
        <is>
          <t>1548/26/01</t>
        </is>
      </c>
      <c r="D218" s="15" t="inlineStr">
        <is>
          <t>SUNCITY ELECTRICAL SALES AND SERVICES LTD. Kenya</t>
        </is>
      </c>
      <c r="E218" s="15" t="inlineStr">
        <is>
          <t>LV</t>
        </is>
      </c>
      <c r="F218" s="15" t="inlineStr">
        <is>
          <t>600/1000 4X70</t>
        </is>
      </c>
      <c r="G218" s="15" t="inlineStr">
        <is>
          <t>EX03</t>
        </is>
      </c>
      <c r="H218" s="15" t="inlineStr">
        <is>
          <t>Wooden Drums</t>
        </is>
      </c>
      <c r="I218" s="15" t="inlineStr">
        <is>
          <t>OK</t>
        </is>
      </c>
      <c r="J218" s="15" t="inlineStr">
        <is>
          <t>A</t>
        </is>
      </c>
      <c r="K218" s="15" t="inlineStr">
        <is>
          <t>Y</t>
        </is>
      </c>
      <c r="L218" s="15" t="n">
        <v>2041</v>
      </c>
      <c r="M218" s="16" t="n">
        <v>1.432782</v>
      </c>
      <c r="N218" s="16" t="n">
        <v>0</v>
      </c>
      <c r="O218" s="16" t="n">
        <v>0</v>
      </c>
      <c r="P218" s="16" t="n">
        <v>1.432782</v>
      </c>
      <c r="Q218">
        <f>--($A218=IF('الداشبورد'!$B$5="الكل",$A218,'الداشبورد'!$B$5))</f>
        <v/>
      </c>
      <c r="R218">
        <f>--($E218=IF('الداشبورد'!$B$6="الكل",$E218,'الداشبورد'!$B$6))</f>
        <v/>
      </c>
      <c r="S218">
        <f>--($K218=IF('الداشبورد'!$B$7="الكل",$K218,IF('الداشبورد'!$B$7="تصدير","Y","N")))</f>
        <v/>
      </c>
      <c r="T218">
        <f>--($J218=IF('الداشبورد'!$B$8="الكل",$J218,IF('الداشبورد'!$B$8="AL","A","C")))</f>
        <v/>
      </c>
      <c r="U218">
        <f>--($I218=IF('الداشبورد'!$B$9="الكل",$I218,IF('الداشبورد'!$B$9="بدون حالة","P",'الداشبورد'!$B$9)))</f>
        <v/>
      </c>
      <c r="V218">
        <f>--($D218=IF('الداشبورد'!$B$10="الكل",$D218,'الداشبورد'!$B$10))</f>
        <v/>
      </c>
      <c r="W218">
        <f>--($G218=IF('الداشبورد'!$B$11="الكل",$G218,'الداشبورد'!$B$11))</f>
        <v/>
      </c>
      <c r="X218">
        <f>Q218*R218*S218*T218*U218*V218*W218*--($C218&lt;&gt;"")</f>
        <v/>
      </c>
    </row>
    <row r="219">
      <c r="A219" s="15" t="n">
        <v>1</v>
      </c>
      <c r="B219" s="15" t="inlineStr">
        <is>
          <t>P184208</t>
        </is>
      </c>
      <c r="C219" s="15" t="inlineStr">
        <is>
          <t>1548/26/01</t>
        </is>
      </c>
      <c r="D219" s="15" t="inlineStr">
        <is>
          <t>SUNCITY ELECTRICAL SALES AND SERVICES LTD. Kenya</t>
        </is>
      </c>
      <c r="E219" s="15" t="inlineStr">
        <is>
          <t>LV</t>
        </is>
      </c>
      <c r="F219" s="15" t="inlineStr">
        <is>
          <t>600/1000 4X70</t>
        </is>
      </c>
      <c r="G219" s="15" t="inlineStr">
        <is>
          <t>EX03</t>
        </is>
      </c>
      <c r="H219" s="15" t="inlineStr">
        <is>
          <t>Wooden Drums</t>
        </is>
      </c>
      <c r="I219" s="15" t="inlineStr">
        <is>
          <t>OK</t>
        </is>
      </c>
      <c r="J219" s="15" t="inlineStr">
        <is>
          <t>A</t>
        </is>
      </c>
      <c r="K219" s="15" t="inlineStr">
        <is>
          <t>Y</t>
        </is>
      </c>
      <c r="L219" s="15" t="n">
        <v>2081</v>
      </c>
      <c r="M219" s="16" t="n">
        <v>1.460862</v>
      </c>
      <c r="N219" s="16" t="n">
        <v>0</v>
      </c>
      <c r="O219" s="16" t="n">
        <v>0</v>
      </c>
      <c r="P219" s="16" t="n">
        <v>1.460862</v>
      </c>
      <c r="Q219">
        <f>--($A219=IF('الداشبورد'!$B$5="الكل",$A219,'الداشبورد'!$B$5))</f>
        <v/>
      </c>
      <c r="R219">
        <f>--($E219=IF('الداشبورد'!$B$6="الكل",$E219,'الداشبورد'!$B$6))</f>
        <v/>
      </c>
      <c r="S219">
        <f>--($K219=IF('الداشبورد'!$B$7="الكل",$K219,IF('الداشبورد'!$B$7="تصدير","Y","N")))</f>
        <v/>
      </c>
      <c r="T219">
        <f>--($J219=IF('الداشبورد'!$B$8="الكل",$J219,IF('الداشبورد'!$B$8="AL","A","C")))</f>
        <v/>
      </c>
      <c r="U219">
        <f>--($I219=IF('الداشبورد'!$B$9="الكل",$I219,IF('الداشبورد'!$B$9="بدون حالة","P",'الداشبورد'!$B$9)))</f>
        <v/>
      </c>
      <c r="V219">
        <f>--($D219=IF('الداشبورد'!$B$10="الكل",$D219,'الداشبورد'!$B$10))</f>
        <v/>
      </c>
      <c r="W219">
        <f>--($G219=IF('الداشبورد'!$B$11="الكل",$G219,'الداشبورد'!$B$11))</f>
        <v/>
      </c>
      <c r="X219">
        <f>Q219*R219*S219*T219*U219*V219*W219*--($C219&lt;&gt;"")</f>
        <v/>
      </c>
    </row>
    <row r="220">
      <c r="A220" s="15" t="n">
        <v>3</v>
      </c>
      <c r="B220" s="15" t="inlineStr">
        <is>
          <t>D184353</t>
        </is>
      </c>
      <c r="C220" s="15" t="inlineStr">
        <is>
          <t>1624/26/12</t>
        </is>
      </c>
      <c r="D220" s="15" t="inlineStr">
        <is>
          <t>شركة انوار المدينة لاستيراد المواد الكهربائية</t>
        </is>
      </c>
      <c r="E220" s="15" t="inlineStr">
        <is>
          <t>LV</t>
        </is>
      </c>
      <c r="F220" s="15" t="inlineStr">
        <is>
          <t>0.6/1 KV 1X120</t>
        </is>
      </c>
      <c r="G220" s="15" t="inlineStr">
        <is>
          <t>EX03</t>
        </is>
      </c>
      <c r="H220" s="15" t="inlineStr">
        <is>
          <t>Wooden Drums</t>
        </is>
      </c>
      <c r="I220" s="15" t="inlineStr">
        <is>
          <t>OK</t>
        </is>
      </c>
      <c r="J220" s="15" t="inlineStr">
        <is>
          <t>C</t>
        </is>
      </c>
      <c r="K220" s="15" t="inlineStr">
        <is>
          <t>Y</t>
        </is>
      </c>
      <c r="L220" s="15" t="n">
        <v>525</v>
      </c>
      <c r="M220" s="16" t="n">
        <v>0.54075</v>
      </c>
      <c r="N220" s="16" t="n">
        <v>0</v>
      </c>
      <c r="O220" s="16" t="n">
        <v>0</v>
      </c>
      <c r="P220" s="16" t="n">
        <v>0.54075</v>
      </c>
      <c r="Q220">
        <f>--($A220=IF('الداشبورد'!$B$5="الكل",$A220,'الداشبورد'!$B$5))</f>
        <v/>
      </c>
      <c r="R220">
        <f>--($E220=IF('الداشبورد'!$B$6="الكل",$E220,'الداشبورد'!$B$6))</f>
        <v/>
      </c>
      <c r="S220">
        <f>--($K220=IF('الداشبورد'!$B$7="الكل",$K220,IF('الداشبورد'!$B$7="تصدير","Y","N")))</f>
        <v/>
      </c>
      <c r="T220">
        <f>--($J220=IF('الداشبورد'!$B$8="الكل",$J220,IF('الداشبورد'!$B$8="AL","A","C")))</f>
        <v/>
      </c>
      <c r="U220">
        <f>--($I220=IF('الداشبورد'!$B$9="الكل",$I220,IF('الداشبورد'!$B$9="بدون حالة","P",'الداشبورد'!$B$9)))</f>
        <v/>
      </c>
      <c r="V220">
        <f>--($D220=IF('الداشبورد'!$B$10="الكل",$D220,'الداشبورد'!$B$10))</f>
        <v/>
      </c>
      <c r="W220">
        <f>--($G220=IF('الداشبورد'!$B$11="الكل",$G220,'الداشبورد'!$B$11))</f>
        <v/>
      </c>
      <c r="X220">
        <f>Q220*R220*S220*T220*U220*V220*W220*--($C220&lt;&gt;"")</f>
        <v/>
      </c>
    </row>
    <row r="221">
      <c r="A221" s="15" t="n">
        <v>3</v>
      </c>
      <c r="B221" s="15" t="inlineStr">
        <is>
          <t>V184394</t>
        </is>
      </c>
      <c r="C221" s="15" t="inlineStr">
        <is>
          <t>1385/26/03</t>
        </is>
      </c>
      <c r="D221" s="15" t="inlineStr">
        <is>
          <t>الشركة العربية للصناعة والتجارة الدولية</t>
        </is>
      </c>
      <c r="E221" s="15" t="inlineStr">
        <is>
          <t>LV</t>
        </is>
      </c>
      <c r="F221" s="15" t="inlineStr">
        <is>
          <t>0.6/1 KV 3*240+120</t>
        </is>
      </c>
      <c r="G221" s="15" t="inlineStr">
        <is>
          <t>EX03</t>
        </is>
      </c>
      <c r="H221" s="15" t="inlineStr">
        <is>
          <t>Wooden Drums</t>
        </is>
      </c>
      <c r="I221" s="15" t="inlineStr">
        <is>
          <t>OK</t>
        </is>
      </c>
      <c r="J221" s="15" t="inlineStr">
        <is>
          <t>A</t>
        </is>
      </c>
      <c r="K221" s="15" t="inlineStr">
        <is>
          <t>N</t>
        </is>
      </c>
      <c r="L221" s="15" t="n">
        <v>1015</v>
      </c>
      <c r="M221" s="16" t="n">
        <v>2.229955</v>
      </c>
      <c r="N221" s="16" t="n">
        <v>0</v>
      </c>
      <c r="O221" s="16" t="n">
        <v>0</v>
      </c>
      <c r="P221" s="16" t="n">
        <v>2.229955</v>
      </c>
      <c r="Q221">
        <f>--($A221=IF('الداشبورد'!$B$5="الكل",$A221,'الداشبورد'!$B$5))</f>
        <v/>
      </c>
      <c r="R221">
        <f>--($E221=IF('الداشبورد'!$B$6="الكل",$E221,'الداشبورد'!$B$6))</f>
        <v/>
      </c>
      <c r="S221">
        <f>--($K221=IF('الداشبورد'!$B$7="الكل",$K221,IF('الداشبورد'!$B$7="تصدير","Y","N")))</f>
        <v/>
      </c>
      <c r="T221">
        <f>--($J221=IF('الداشبورد'!$B$8="الكل",$J221,IF('الداشبورد'!$B$8="AL","A","C")))</f>
        <v/>
      </c>
      <c r="U221">
        <f>--($I221=IF('الداشبورد'!$B$9="الكل",$I221,IF('الداشبورد'!$B$9="بدون حالة","P",'الداشبورد'!$B$9)))</f>
        <v/>
      </c>
      <c r="V221">
        <f>--($D221=IF('الداشبورد'!$B$10="الكل",$D221,'الداشبورد'!$B$10))</f>
        <v/>
      </c>
      <c r="W221">
        <f>--($G221=IF('الداشبورد'!$B$11="الكل",$G221,'الداشبورد'!$B$11))</f>
        <v/>
      </c>
      <c r="X221">
        <f>Q221*R221*S221*T221*U221*V221*W221*--($C221&lt;&gt;"")</f>
        <v/>
      </c>
    </row>
    <row r="222">
      <c r="A222" s="15" t="n">
        <v>4</v>
      </c>
      <c r="B222" s="15" t="inlineStr">
        <is>
          <t>H183482</t>
        </is>
      </c>
      <c r="C222" s="15" t="inlineStr">
        <is>
          <t>1549/26/03</t>
        </is>
      </c>
      <c r="D222" s="15" t="inlineStr">
        <is>
          <t>Next Technologies Limited</t>
        </is>
      </c>
      <c r="E222" s="15" t="inlineStr">
        <is>
          <t>LV</t>
        </is>
      </c>
      <c r="F222" s="15" t="inlineStr">
        <is>
          <t>0.6/1KV 4X70</t>
        </is>
      </c>
      <c r="G222" s="15" t="inlineStr">
        <is>
          <t>EX03</t>
        </is>
      </c>
      <c r="H222" s="15" t="inlineStr">
        <is>
          <t>Wooden Drums</t>
        </is>
      </c>
      <c r="I222" s="15" t="inlineStr">
        <is>
          <t>OK</t>
        </is>
      </c>
      <c r="J222" s="15" t="inlineStr">
        <is>
          <t>C</t>
        </is>
      </c>
      <c r="K222" s="15" t="inlineStr">
        <is>
          <t>Y</t>
        </is>
      </c>
      <c r="L222" s="15" t="n">
        <v>98</v>
      </c>
      <c r="M222" s="16" t="n">
        <v>0.228046</v>
      </c>
      <c r="N222" s="16" t="n">
        <v>0</v>
      </c>
      <c r="O222" s="16" t="n">
        <v>0</v>
      </c>
      <c r="P222" s="16" t="n">
        <v>0.228046</v>
      </c>
      <c r="Q222">
        <f>--($A222=IF('الداشبورد'!$B$5="الكل",$A222,'الداشبورد'!$B$5))</f>
        <v/>
      </c>
      <c r="R222">
        <f>--($E222=IF('الداشبورد'!$B$6="الكل",$E222,'الداشبورد'!$B$6))</f>
        <v/>
      </c>
      <c r="S222">
        <f>--($K222=IF('الداشبورد'!$B$7="الكل",$K222,IF('الداشبورد'!$B$7="تصدير","Y","N")))</f>
        <v/>
      </c>
      <c r="T222">
        <f>--($J222=IF('الداشبورد'!$B$8="الكل",$J222,IF('الداشبورد'!$B$8="AL","A","C")))</f>
        <v/>
      </c>
      <c r="U222">
        <f>--($I222=IF('الداشبورد'!$B$9="الكل",$I222,IF('الداشبورد'!$B$9="بدون حالة","P",'الداشبورد'!$B$9)))</f>
        <v/>
      </c>
      <c r="V222">
        <f>--($D222=IF('الداشبورد'!$B$10="الكل",$D222,'الداشبورد'!$B$10))</f>
        <v/>
      </c>
      <c r="W222">
        <f>--($G222=IF('الداشبورد'!$B$11="الكل",$G222,'الداشبورد'!$B$11))</f>
        <v/>
      </c>
      <c r="X222">
        <f>Q222*R222*S222*T222*U222*V222*W222*--($C222&lt;&gt;"")</f>
        <v/>
      </c>
    </row>
    <row r="223">
      <c r="A223" s="15" t="n">
        <v>3</v>
      </c>
      <c r="B223" s="15" t="inlineStr">
        <is>
          <t>A183806</t>
        </is>
      </c>
      <c r="C223" s="15" t="inlineStr">
        <is>
          <t>1550/26/02</t>
        </is>
      </c>
      <c r="D223" s="15" t="inlineStr">
        <is>
          <t>Master Power Systems  Ltd</t>
        </is>
      </c>
      <c r="E223" s="15" t="inlineStr">
        <is>
          <t>LV</t>
        </is>
      </c>
      <c r="F223" s="15" t="inlineStr">
        <is>
          <t>450/750 V 1X70</t>
        </is>
      </c>
      <c r="G223" s="15" t="inlineStr">
        <is>
          <t>EX01</t>
        </is>
      </c>
      <c r="H223" s="15" t="inlineStr">
        <is>
          <t>Wooden Drums</t>
        </is>
      </c>
      <c r="I223" s="15" t="inlineStr">
        <is>
          <t>OK</t>
        </is>
      </c>
      <c r="J223" s="15" t="inlineStr">
        <is>
          <t>A</t>
        </is>
      </c>
      <c r="K223" s="15" t="inlineStr">
        <is>
          <t>Y</t>
        </is>
      </c>
      <c r="L223" s="15" t="n">
        <v>147</v>
      </c>
      <c r="M223" s="16" t="n">
        <v>0.025578</v>
      </c>
      <c r="N223" s="16" t="n">
        <v>0</v>
      </c>
      <c r="O223" s="16" t="n">
        <v>0</v>
      </c>
      <c r="P223" s="16" t="n">
        <v>0.025578</v>
      </c>
      <c r="Q223">
        <f>--($A223=IF('الداشبورد'!$B$5="الكل",$A223,'الداشبورد'!$B$5))</f>
        <v/>
      </c>
      <c r="R223">
        <f>--($E223=IF('الداشبورد'!$B$6="الكل",$E223,'الداشبورد'!$B$6))</f>
        <v/>
      </c>
      <c r="S223">
        <f>--($K223=IF('الداشبورد'!$B$7="الكل",$K223,IF('الداشبورد'!$B$7="تصدير","Y","N")))</f>
        <v/>
      </c>
      <c r="T223">
        <f>--($J223=IF('الداشبورد'!$B$8="الكل",$J223,IF('الداشبورد'!$B$8="AL","A","C")))</f>
        <v/>
      </c>
      <c r="U223">
        <f>--($I223=IF('الداشبورد'!$B$9="الكل",$I223,IF('الداشبورد'!$B$9="بدون حالة","P",'الداشبورد'!$B$9)))</f>
        <v/>
      </c>
      <c r="V223">
        <f>--($D223=IF('الداشبورد'!$B$10="الكل",$D223,'الداشبورد'!$B$10))</f>
        <v/>
      </c>
      <c r="W223">
        <f>--($G223=IF('الداشبورد'!$B$11="الكل",$G223,'الداشبورد'!$B$11))</f>
        <v/>
      </c>
      <c r="X223">
        <f>Q223*R223*S223*T223*U223*V223*W223*--($C223&lt;&gt;"")</f>
        <v/>
      </c>
    </row>
    <row r="224">
      <c r="A224" s="15" t="n">
        <v>1</v>
      </c>
      <c r="B224" s="15" t="inlineStr">
        <is>
          <t>S184267</t>
        </is>
      </c>
      <c r="C224" s="15" t="inlineStr">
        <is>
          <t>1279/26/01</t>
        </is>
      </c>
      <c r="D224" s="15" t="inlineStr">
        <is>
          <t>Eland Cables</t>
        </is>
      </c>
      <c r="E224" s="15" t="inlineStr">
        <is>
          <t>MV</t>
        </is>
      </c>
      <c r="F224" s="15" t="inlineStr">
        <is>
          <t>19/33 KV 3X1X185</t>
        </is>
      </c>
      <c r="G224" s="15" t="inlineStr">
        <is>
          <t>LX01</t>
        </is>
      </c>
      <c r="H224" s="15" t="inlineStr">
        <is>
          <t>Wooden Drums</t>
        </is>
      </c>
      <c r="I224" s="15" t="inlineStr">
        <is>
          <t>OK</t>
        </is>
      </c>
      <c r="J224" s="15" t="inlineStr">
        <is>
          <t>A</t>
        </is>
      </c>
      <c r="K224" s="15" t="inlineStr">
        <is>
          <t>Y</t>
        </is>
      </c>
      <c r="L224" s="15" t="n">
        <v>514</v>
      </c>
      <c r="M224" s="16" t="n">
        <v>0.7375900000000001</v>
      </c>
      <c r="N224" s="16" t="n">
        <v>0.492412</v>
      </c>
      <c r="O224" s="16" t="n">
        <v>0</v>
      </c>
      <c r="P224" s="16" t="n">
        <v>1.230002</v>
      </c>
      <c r="Q224">
        <f>--($A224=IF('الداشبورد'!$B$5="الكل",$A224,'الداشبورد'!$B$5))</f>
        <v/>
      </c>
      <c r="R224">
        <f>--($E224=IF('الداشبورد'!$B$6="الكل",$E224,'الداشبورد'!$B$6))</f>
        <v/>
      </c>
      <c r="S224">
        <f>--($K224=IF('الداشبورد'!$B$7="الكل",$K224,IF('الداشبورد'!$B$7="تصدير","Y","N")))</f>
        <v/>
      </c>
      <c r="T224">
        <f>--($J224=IF('الداشبورد'!$B$8="الكل",$J224,IF('الداشبورد'!$B$8="AL","A","C")))</f>
        <v/>
      </c>
      <c r="U224">
        <f>--($I224=IF('الداشبورد'!$B$9="الكل",$I224,IF('الداشبورد'!$B$9="بدون حالة","P",'الداشبورد'!$B$9)))</f>
        <v/>
      </c>
      <c r="V224">
        <f>--($D224=IF('الداشبورد'!$B$10="الكل",$D224,'الداشبورد'!$B$10))</f>
        <v/>
      </c>
      <c r="W224">
        <f>--($G224=IF('الداشبورد'!$B$11="الكل",$G224,'الداشبورد'!$B$11))</f>
        <v/>
      </c>
      <c r="X224">
        <f>Q224*R224*S224*T224*U224*V224*W224*--($C224&lt;&gt;"")</f>
        <v/>
      </c>
    </row>
    <row r="225">
      <c r="A225" s="15" t="n">
        <v>1</v>
      </c>
      <c r="B225" s="15" t="inlineStr">
        <is>
          <t>S184268</t>
        </is>
      </c>
      <c r="C225" s="15" t="inlineStr">
        <is>
          <t>1279/26/01</t>
        </is>
      </c>
      <c r="D225" s="15" t="inlineStr">
        <is>
          <t>Eland Cables</t>
        </is>
      </c>
      <c r="E225" s="15" t="inlineStr">
        <is>
          <t>MV</t>
        </is>
      </c>
      <c r="F225" s="15" t="inlineStr">
        <is>
          <t>19/33 KV 3X1X185</t>
        </is>
      </c>
      <c r="G225" s="15" t="inlineStr">
        <is>
          <t>LX01</t>
        </is>
      </c>
      <c r="H225" s="15" t="inlineStr">
        <is>
          <t>Wooden Drums</t>
        </is>
      </c>
      <c r="I225" s="15" t="inlineStr">
        <is>
          <t>OK</t>
        </is>
      </c>
      <c r="J225" s="15" t="inlineStr">
        <is>
          <t>A</t>
        </is>
      </c>
      <c r="K225" s="15" t="inlineStr">
        <is>
          <t>Y</t>
        </is>
      </c>
      <c r="L225" s="15" t="n">
        <v>514</v>
      </c>
      <c r="M225" s="16" t="n">
        <v>0.7375900000000001</v>
      </c>
      <c r="N225" s="16" t="n">
        <v>0.492412</v>
      </c>
      <c r="O225" s="16" t="n">
        <v>0</v>
      </c>
      <c r="P225" s="16" t="n">
        <v>1.230002</v>
      </c>
      <c r="Q225">
        <f>--($A225=IF('الداشبورد'!$B$5="الكل",$A225,'الداشبورد'!$B$5))</f>
        <v/>
      </c>
      <c r="R225">
        <f>--($E225=IF('الداشبورد'!$B$6="الكل",$E225,'الداشبورد'!$B$6))</f>
        <v/>
      </c>
      <c r="S225">
        <f>--($K225=IF('الداشبورد'!$B$7="الكل",$K225,IF('الداشبورد'!$B$7="تصدير","Y","N")))</f>
        <v/>
      </c>
      <c r="T225">
        <f>--($J225=IF('الداشبورد'!$B$8="الكل",$J225,IF('الداشبورد'!$B$8="AL","A","C")))</f>
        <v/>
      </c>
      <c r="U225">
        <f>--($I225=IF('الداشبورد'!$B$9="الكل",$I225,IF('الداشبورد'!$B$9="بدون حالة","P",'الداشبورد'!$B$9)))</f>
        <v/>
      </c>
      <c r="V225">
        <f>--($D225=IF('الداشبورد'!$B$10="الكل",$D225,'الداشبورد'!$B$10))</f>
        <v/>
      </c>
      <c r="W225">
        <f>--($G225=IF('الداشبورد'!$B$11="الكل",$G225,'الداشبورد'!$B$11))</f>
        <v/>
      </c>
      <c r="X225">
        <f>Q225*R225*S225*T225*U225*V225*W225*--($C225&lt;&gt;"")</f>
        <v/>
      </c>
    </row>
    <row r="226">
      <c r="A226" s="15" t="n">
        <v>2</v>
      </c>
      <c r="B226" s="15" t="inlineStr">
        <is>
          <t>Q184026</t>
        </is>
      </c>
      <c r="C226" s="15" t="inlineStr">
        <is>
          <t>1213/26/02</t>
        </is>
      </c>
      <c r="D226" s="15" t="inlineStr">
        <is>
          <t>Eland Cables</t>
        </is>
      </c>
      <c r="E226" s="15" t="inlineStr">
        <is>
          <t>MV</t>
        </is>
      </c>
      <c r="F226" s="15" t="inlineStr">
        <is>
          <t>18/30 KV 1X240</t>
        </is>
      </c>
      <c r="G226" s="15" t="inlineStr">
        <is>
          <t>EX06</t>
        </is>
      </c>
      <c r="H226" s="15" t="inlineStr">
        <is>
          <t>Wooden Drums</t>
        </is>
      </c>
      <c r="I226" s="15" t="inlineStr">
        <is>
          <t>OK</t>
        </is>
      </c>
      <c r="J226" s="15" t="inlineStr">
        <is>
          <t>A</t>
        </is>
      </c>
      <c r="K226" s="15" t="inlineStr">
        <is>
          <t>Y</t>
        </is>
      </c>
      <c r="L226" s="15" t="n">
        <v>2000</v>
      </c>
      <c r="M226" s="16" t="n">
        <v>1.244</v>
      </c>
      <c r="N226" s="16" t="n">
        <v>0.43</v>
      </c>
      <c r="O226" s="16" t="n">
        <v>0</v>
      </c>
      <c r="P226" s="16" t="n">
        <v>1.674</v>
      </c>
      <c r="Q226">
        <f>--($A226=IF('الداشبورد'!$B$5="الكل",$A226,'الداشبورد'!$B$5))</f>
        <v/>
      </c>
      <c r="R226">
        <f>--($E226=IF('الداشبورد'!$B$6="الكل",$E226,'الداشبورد'!$B$6))</f>
        <v/>
      </c>
      <c r="S226">
        <f>--($K226=IF('الداشبورد'!$B$7="الكل",$K226,IF('الداشبورد'!$B$7="تصدير","Y","N")))</f>
        <v/>
      </c>
      <c r="T226">
        <f>--($J226=IF('الداشبورد'!$B$8="الكل",$J226,IF('الداشبورد'!$B$8="AL","A","C")))</f>
        <v/>
      </c>
      <c r="U226">
        <f>--($I226=IF('الداشبورد'!$B$9="الكل",$I226,IF('الداشبورد'!$B$9="بدون حالة","P",'الداشبورد'!$B$9)))</f>
        <v/>
      </c>
      <c r="V226">
        <f>--($D226=IF('الداشبورد'!$B$10="الكل",$D226,'الداشبورد'!$B$10))</f>
        <v/>
      </c>
      <c r="W226">
        <f>--($G226=IF('الداشبورد'!$B$11="الكل",$G226,'الداشبورد'!$B$11))</f>
        <v/>
      </c>
      <c r="X226">
        <f>Q226*R226*S226*T226*U226*V226*W226*--($C226&lt;&gt;"")</f>
        <v/>
      </c>
    </row>
    <row r="227">
      <c r="A227" s="15" t="n">
        <v>3</v>
      </c>
      <c r="B227" s="15" t="inlineStr">
        <is>
          <t>N184408</t>
        </is>
      </c>
      <c r="C227" s="15" t="inlineStr">
        <is>
          <t>1403/26/01</t>
        </is>
      </c>
      <c r="D227" s="15" t="inlineStr">
        <is>
          <t>Eland Cables</t>
        </is>
      </c>
      <c r="E227" s="15" t="inlineStr">
        <is>
          <t>MV</t>
        </is>
      </c>
      <c r="F227" s="15" t="inlineStr">
        <is>
          <t>19/33 KV 1X300</t>
        </is>
      </c>
      <c r="G227" s="15" t="inlineStr">
        <is>
          <t>EX09</t>
        </is>
      </c>
      <c r="H227" s="15" t="inlineStr">
        <is>
          <t>Wooden Drums</t>
        </is>
      </c>
      <c r="I227" s="15" t="inlineStr">
        <is>
          <t>OK</t>
        </is>
      </c>
      <c r="J227" s="15" t="inlineStr">
        <is>
          <t>C</t>
        </is>
      </c>
      <c r="K227" s="15" t="inlineStr">
        <is>
          <t>Y</t>
        </is>
      </c>
      <c r="L227" s="15" t="n">
        <v>765</v>
      </c>
      <c r="M227" s="16" t="n">
        <v>1.985175</v>
      </c>
      <c r="N227" s="16" t="n">
        <v>0</v>
      </c>
      <c r="O227" s="16" t="n">
        <v>0.4490549999999999</v>
      </c>
      <c r="P227" s="16" t="n">
        <v>2.43423</v>
      </c>
      <c r="Q227">
        <f>--($A227=IF('الداشبورد'!$B$5="الكل",$A227,'الداشبورد'!$B$5))</f>
        <v/>
      </c>
      <c r="R227">
        <f>--($E227=IF('الداشبورد'!$B$6="الكل",$E227,'الداشبورد'!$B$6))</f>
        <v/>
      </c>
      <c r="S227">
        <f>--($K227=IF('الداشبورد'!$B$7="الكل",$K227,IF('الداشبورد'!$B$7="تصدير","Y","N")))</f>
        <v/>
      </c>
      <c r="T227">
        <f>--($J227=IF('الداشبورد'!$B$8="الكل",$J227,IF('الداشبورد'!$B$8="AL","A","C")))</f>
        <v/>
      </c>
      <c r="U227">
        <f>--($I227=IF('الداشبورد'!$B$9="الكل",$I227,IF('الداشبورد'!$B$9="بدون حالة","P",'الداشبورد'!$B$9)))</f>
        <v/>
      </c>
      <c r="V227">
        <f>--($D227=IF('الداشبورد'!$B$10="الكل",$D227,'الداشبورد'!$B$10))</f>
        <v/>
      </c>
      <c r="W227">
        <f>--($G227=IF('الداشبورد'!$B$11="الكل",$G227,'الداشبورد'!$B$11))</f>
        <v/>
      </c>
      <c r="X227">
        <f>Q227*R227*S227*T227*U227*V227*W227*--($C227&lt;&gt;"")</f>
        <v/>
      </c>
    </row>
    <row r="228">
      <c r="A228" s="15" t="n">
        <v>3</v>
      </c>
      <c r="B228" s="15" t="inlineStr">
        <is>
          <t>N184406</t>
        </is>
      </c>
      <c r="C228" s="15" t="inlineStr">
        <is>
          <t>1403/26/01</t>
        </is>
      </c>
      <c r="D228" s="15" t="inlineStr">
        <is>
          <t>Eland Cables</t>
        </is>
      </c>
      <c r="E228" s="15" t="inlineStr">
        <is>
          <t>MV</t>
        </is>
      </c>
      <c r="F228" s="15" t="inlineStr">
        <is>
          <t>19/33 KV 1X300</t>
        </is>
      </c>
      <c r="G228" s="15" t="inlineStr">
        <is>
          <t>EX09</t>
        </is>
      </c>
      <c r="H228" s="15" t="inlineStr">
        <is>
          <t>Wooden Drums</t>
        </is>
      </c>
      <c r="I228" s="15" t="inlineStr">
        <is>
          <t>OK</t>
        </is>
      </c>
      <c r="J228" s="15" t="inlineStr">
        <is>
          <t>C</t>
        </is>
      </c>
      <c r="K228" s="15" t="inlineStr">
        <is>
          <t>Y</t>
        </is>
      </c>
      <c r="L228" s="15" t="n">
        <v>833</v>
      </c>
      <c r="M228" s="16" t="n">
        <v>2.161635</v>
      </c>
      <c r="N228" s="16" t="n">
        <v>0</v>
      </c>
      <c r="O228" s="16" t="n">
        <v>0.4889709999999999</v>
      </c>
      <c r="P228" s="16" t="n">
        <v>2.650606</v>
      </c>
      <c r="Q228">
        <f>--($A228=IF('الداشبورد'!$B$5="الكل",$A228,'الداشبورد'!$B$5))</f>
        <v/>
      </c>
      <c r="R228">
        <f>--($E228=IF('الداشبورد'!$B$6="الكل",$E228,'الداشبورد'!$B$6))</f>
        <v/>
      </c>
      <c r="S228">
        <f>--($K228=IF('الداشبورد'!$B$7="الكل",$K228,IF('الداشبورد'!$B$7="تصدير","Y","N")))</f>
        <v/>
      </c>
      <c r="T228">
        <f>--($J228=IF('الداشبورد'!$B$8="الكل",$J228,IF('الداشبورد'!$B$8="AL","A","C")))</f>
        <v/>
      </c>
      <c r="U228">
        <f>--($I228=IF('الداشبورد'!$B$9="الكل",$I228,IF('الداشبورد'!$B$9="بدون حالة","P",'الداشبورد'!$B$9)))</f>
        <v/>
      </c>
      <c r="V228">
        <f>--($D228=IF('الداشبورد'!$B$10="الكل",$D228,'الداشبورد'!$B$10))</f>
        <v/>
      </c>
      <c r="W228">
        <f>--($G228=IF('الداشبورد'!$B$11="الكل",$G228,'الداشبورد'!$B$11))</f>
        <v/>
      </c>
      <c r="X228">
        <f>Q228*R228*S228*T228*U228*V228*W228*--($C228&lt;&gt;"")</f>
        <v/>
      </c>
    </row>
    <row r="229">
      <c r="A229" s="15" t="n">
        <v>4</v>
      </c>
      <c r="B229" s="15" t="inlineStr">
        <is>
          <t>P184488</t>
        </is>
      </c>
      <c r="C229" s="15" t="inlineStr">
        <is>
          <t>1338/26/01</t>
        </is>
      </c>
      <c r="D229" s="15" t="inlineStr">
        <is>
          <t>كونكورد للهندسة والمقاولات</t>
        </is>
      </c>
      <c r="E229" s="15" t="inlineStr">
        <is>
          <t>LV</t>
        </is>
      </c>
      <c r="F229" s="15" t="inlineStr">
        <is>
          <t>0.6/1 KV 3*240+120</t>
        </is>
      </c>
      <c r="G229" s="15" t="inlineStr">
        <is>
          <t>EX09</t>
        </is>
      </c>
      <c r="H229" s="15" t="inlineStr">
        <is>
          <t>Wooden Drums</t>
        </is>
      </c>
      <c r="I229" s="15" t="inlineStr">
        <is>
          <t>OK</t>
        </is>
      </c>
      <c r="J229" s="15" t="inlineStr">
        <is>
          <t>C</t>
        </is>
      </c>
      <c r="K229" s="15" t="inlineStr">
        <is>
          <t>N</t>
        </is>
      </c>
      <c r="L229" s="15" t="n">
        <v>485</v>
      </c>
      <c r="M229" s="16" t="n">
        <v>3.571055</v>
      </c>
      <c r="N229" s="16" t="n">
        <v>0</v>
      </c>
      <c r="O229" s="16" t="n">
        <v>0</v>
      </c>
      <c r="P229" s="16" t="n">
        <v>3.571055</v>
      </c>
      <c r="Q229">
        <f>--($A229=IF('الداشبورد'!$B$5="الكل",$A229,'الداشبورد'!$B$5))</f>
        <v/>
      </c>
      <c r="R229">
        <f>--($E229=IF('الداشبورد'!$B$6="الكل",$E229,'الداشبورد'!$B$6))</f>
        <v/>
      </c>
      <c r="S229">
        <f>--($K229=IF('الداشبورد'!$B$7="الكل",$K229,IF('الداشبورد'!$B$7="تصدير","Y","N")))</f>
        <v/>
      </c>
      <c r="T229">
        <f>--($J229=IF('الداشبورد'!$B$8="الكل",$J229,IF('الداشبورد'!$B$8="AL","A","C")))</f>
        <v/>
      </c>
      <c r="U229">
        <f>--($I229=IF('الداشبورد'!$B$9="الكل",$I229,IF('الداشبورد'!$B$9="بدون حالة","P",'الداشبورد'!$B$9)))</f>
        <v/>
      </c>
      <c r="V229">
        <f>--($D229=IF('الداشبورد'!$B$10="الكل",$D229,'الداشبورد'!$B$10))</f>
        <v/>
      </c>
      <c r="W229">
        <f>--($G229=IF('الداشبورد'!$B$11="الكل",$G229,'الداشبورد'!$B$11))</f>
        <v/>
      </c>
      <c r="X229">
        <f>Q229*R229*S229*T229*U229*V229*W229*--($C229&lt;&gt;"")</f>
        <v/>
      </c>
    </row>
    <row r="230">
      <c r="A230" s="15" t="n">
        <v>4</v>
      </c>
      <c r="B230" s="15" t="inlineStr">
        <is>
          <t>O184457</t>
        </is>
      </c>
      <c r="C230" s="15" t="inlineStr">
        <is>
          <t>1200/26/06</t>
        </is>
      </c>
      <c r="D230" s="15" t="inlineStr">
        <is>
          <t>INSELL</t>
        </is>
      </c>
      <c r="E230" s="15" t="inlineStr">
        <is>
          <t>MV</t>
        </is>
      </c>
      <c r="F230" s="15" t="inlineStr">
        <is>
          <t>12/20 KV 1X120/25</t>
        </is>
      </c>
      <c r="G230" s="15" t="inlineStr">
        <is>
          <t>EX06</t>
        </is>
      </c>
      <c r="H230" s="15" t="inlineStr">
        <is>
          <t>Wooden Drums</t>
        </is>
      </c>
      <c r="I230" s="15" t="inlineStr">
        <is>
          <t>OK</t>
        </is>
      </c>
      <c r="J230" s="15" t="inlineStr">
        <is>
          <t>A</t>
        </is>
      </c>
      <c r="K230" s="15" t="inlineStr">
        <is>
          <t>Y</t>
        </is>
      </c>
      <c r="L230" s="15" t="n">
        <v>2028</v>
      </c>
      <c r="M230" s="16" t="n">
        <v>0.6388200000000001</v>
      </c>
      <c r="N230" s="16" t="n">
        <v>0.46644</v>
      </c>
      <c r="O230" s="16" t="n">
        <v>0</v>
      </c>
      <c r="P230" s="16" t="n">
        <v>1.10526</v>
      </c>
      <c r="Q230">
        <f>--($A230=IF('الداشبورد'!$B$5="الكل",$A230,'الداشبورد'!$B$5))</f>
        <v/>
      </c>
      <c r="R230">
        <f>--($E230=IF('الداشبورد'!$B$6="الكل",$E230,'الداشبورد'!$B$6))</f>
        <v/>
      </c>
      <c r="S230">
        <f>--($K230=IF('الداشبورد'!$B$7="الكل",$K230,IF('الداشبورد'!$B$7="تصدير","Y","N")))</f>
        <v/>
      </c>
      <c r="T230">
        <f>--($J230=IF('الداشبورد'!$B$8="الكل",$J230,IF('الداشبورد'!$B$8="AL","A","C")))</f>
        <v/>
      </c>
      <c r="U230">
        <f>--($I230=IF('الداشبورد'!$B$9="الكل",$I230,IF('الداشبورد'!$B$9="بدون حالة","P",'الداشبورد'!$B$9)))</f>
        <v/>
      </c>
      <c r="V230">
        <f>--($D230=IF('الداشبورد'!$B$10="الكل",$D230,'الداشبورد'!$B$10))</f>
        <v/>
      </c>
      <c r="W230">
        <f>--($G230=IF('الداشبورد'!$B$11="الكل",$G230,'الداشبورد'!$B$11))</f>
        <v/>
      </c>
      <c r="X230">
        <f>Q230*R230*S230*T230*U230*V230*W230*--($C230&lt;&gt;"")</f>
        <v/>
      </c>
    </row>
    <row r="231">
      <c r="A231" s="15" t="n">
        <v>4</v>
      </c>
      <c r="B231" s="15" t="inlineStr">
        <is>
          <t>O184426</t>
        </is>
      </c>
      <c r="C231" s="15" t="inlineStr">
        <is>
          <t>1200/26/06</t>
        </is>
      </c>
      <c r="D231" s="15" t="inlineStr">
        <is>
          <t>INSELL</t>
        </is>
      </c>
      <c r="E231" s="15" t="inlineStr">
        <is>
          <t>MV</t>
        </is>
      </c>
      <c r="F231" s="15" t="inlineStr">
        <is>
          <t>12/20 KV 1X120/25</t>
        </is>
      </c>
      <c r="G231" s="15" t="inlineStr">
        <is>
          <t>EX06</t>
        </is>
      </c>
      <c r="H231" s="15" t="inlineStr">
        <is>
          <t>Wooden Drums</t>
        </is>
      </c>
      <c r="I231" s="15" t="inlineStr">
        <is>
          <t>OK</t>
        </is>
      </c>
      <c r="J231" s="15" t="inlineStr">
        <is>
          <t>A</t>
        </is>
      </c>
      <c r="K231" s="15" t="inlineStr">
        <is>
          <t>Y</t>
        </is>
      </c>
      <c r="L231" s="15" t="n">
        <v>2020</v>
      </c>
      <c r="M231" s="16" t="n">
        <v>0.6363</v>
      </c>
      <c r="N231" s="16" t="n">
        <v>0.4646</v>
      </c>
      <c r="O231" s="16" t="n">
        <v>0</v>
      </c>
      <c r="P231" s="16" t="n">
        <v>1.1009</v>
      </c>
      <c r="Q231">
        <f>--($A231=IF('الداشبورد'!$B$5="الكل",$A231,'الداشبورد'!$B$5))</f>
        <v/>
      </c>
      <c r="R231">
        <f>--($E231=IF('الداشبورد'!$B$6="الكل",$E231,'الداشبورد'!$B$6))</f>
        <v/>
      </c>
      <c r="S231">
        <f>--($K231=IF('الداشبورد'!$B$7="الكل",$K231,IF('الداشبورد'!$B$7="تصدير","Y","N")))</f>
        <v/>
      </c>
      <c r="T231">
        <f>--($J231=IF('الداشبورد'!$B$8="الكل",$J231,IF('الداشبورد'!$B$8="AL","A","C")))</f>
        <v/>
      </c>
      <c r="U231">
        <f>--($I231=IF('الداشبورد'!$B$9="الكل",$I231,IF('الداشبورد'!$B$9="بدون حالة","P",'الداشبورد'!$B$9)))</f>
        <v/>
      </c>
      <c r="V231">
        <f>--($D231=IF('الداشبورد'!$B$10="الكل",$D231,'الداشبورد'!$B$10))</f>
        <v/>
      </c>
      <c r="W231">
        <f>--($G231=IF('الداشبورد'!$B$11="الكل",$G231,'الداشبورد'!$B$11))</f>
        <v/>
      </c>
      <c r="X231">
        <f>Q231*R231*S231*T231*U231*V231*W231*--($C231&lt;&gt;"")</f>
        <v/>
      </c>
    </row>
    <row r="232">
      <c r="A232" s="15" t="n">
        <v>4</v>
      </c>
      <c r="B232" s="15" t="inlineStr">
        <is>
          <t>O184456</t>
        </is>
      </c>
      <c r="C232" s="15" t="inlineStr">
        <is>
          <t>1200/26/06</t>
        </is>
      </c>
      <c r="D232" s="15" t="inlineStr">
        <is>
          <t>INSELL</t>
        </is>
      </c>
      <c r="E232" s="15" t="inlineStr">
        <is>
          <t>MV</t>
        </is>
      </c>
      <c r="F232" s="15" t="inlineStr">
        <is>
          <t>12/20 KV 1X120/25</t>
        </is>
      </c>
      <c r="G232" s="15" t="inlineStr">
        <is>
          <t>EX06</t>
        </is>
      </c>
      <c r="H232" s="15" t="inlineStr">
        <is>
          <t>Wooden Drums</t>
        </is>
      </c>
      <c r="I232" s="15" t="inlineStr">
        <is>
          <t>OK</t>
        </is>
      </c>
      <c r="J232" s="15" t="inlineStr">
        <is>
          <t>A</t>
        </is>
      </c>
      <c r="K232" s="15" t="inlineStr">
        <is>
          <t>Y</t>
        </is>
      </c>
      <c r="L232" s="15" t="n">
        <v>2047</v>
      </c>
      <c r="M232" s="16" t="n">
        <v>0.644805</v>
      </c>
      <c r="N232" s="16" t="n">
        <v>0.47081</v>
      </c>
      <c r="O232" s="16" t="n">
        <v>0</v>
      </c>
      <c r="P232" s="16" t="n">
        <v>1.115615</v>
      </c>
      <c r="Q232">
        <f>--($A232=IF('الداشبورد'!$B$5="الكل",$A232,'الداشبورد'!$B$5))</f>
        <v/>
      </c>
      <c r="R232">
        <f>--($E232=IF('الداشبورد'!$B$6="الكل",$E232,'الداشبورد'!$B$6))</f>
        <v/>
      </c>
      <c r="S232">
        <f>--($K232=IF('الداشبورد'!$B$7="الكل",$K232,IF('الداشبورد'!$B$7="تصدير","Y","N")))</f>
        <v/>
      </c>
      <c r="T232">
        <f>--($J232=IF('الداشبورد'!$B$8="الكل",$J232,IF('الداشبورد'!$B$8="AL","A","C")))</f>
        <v/>
      </c>
      <c r="U232">
        <f>--($I232=IF('الداشبورد'!$B$9="الكل",$I232,IF('الداشبورد'!$B$9="بدون حالة","P",'الداشبورد'!$B$9)))</f>
        <v/>
      </c>
      <c r="V232">
        <f>--($D232=IF('الداشبورد'!$B$10="الكل",$D232,'الداشبورد'!$B$10))</f>
        <v/>
      </c>
      <c r="W232">
        <f>--($G232=IF('الداشبورد'!$B$11="الكل",$G232,'الداشبورد'!$B$11))</f>
        <v/>
      </c>
      <c r="X232">
        <f>Q232*R232*S232*T232*U232*V232*W232*--($C232&lt;&gt;"")</f>
        <v/>
      </c>
    </row>
    <row r="233">
      <c r="A233" s="15" t="n">
        <v>4</v>
      </c>
      <c r="B233" s="15" t="inlineStr">
        <is>
          <t>M184473</t>
        </is>
      </c>
      <c r="C233" s="15" t="inlineStr">
        <is>
          <t>1385/26/11</t>
        </is>
      </c>
      <c r="D233" s="15" t="inlineStr">
        <is>
          <t>الشركة العربية للصناعة والتجارة الدولية</t>
        </is>
      </c>
      <c r="E233" s="15" t="inlineStr">
        <is>
          <t>LV</t>
        </is>
      </c>
      <c r="F233" s="15" t="inlineStr">
        <is>
          <t>0.6/1 KV 4*25</t>
        </is>
      </c>
      <c r="G233" s="15" t="inlineStr">
        <is>
          <t>EX03</t>
        </is>
      </c>
      <c r="H233" s="15" t="inlineStr">
        <is>
          <t>Wooden Drums</t>
        </is>
      </c>
      <c r="I233" s="15" t="inlineStr">
        <is>
          <t>OK</t>
        </is>
      </c>
      <c r="J233" s="15" t="inlineStr">
        <is>
          <t>A</t>
        </is>
      </c>
      <c r="K233" s="15" t="inlineStr">
        <is>
          <t>N</t>
        </is>
      </c>
      <c r="L233" s="15" t="n">
        <v>2020</v>
      </c>
      <c r="M233" s="16" t="n">
        <v>0.52116</v>
      </c>
      <c r="N233" s="16" t="n">
        <v>0</v>
      </c>
      <c r="O233" s="16" t="n">
        <v>0</v>
      </c>
      <c r="P233" s="16" t="n">
        <v>0.52116</v>
      </c>
      <c r="Q233">
        <f>--($A233=IF('الداشبورد'!$B$5="الكل",$A233,'الداشبورد'!$B$5))</f>
        <v/>
      </c>
      <c r="R233">
        <f>--($E233=IF('الداشبورد'!$B$6="الكل",$E233,'الداشبورد'!$B$6))</f>
        <v/>
      </c>
      <c r="S233">
        <f>--($K233=IF('الداشبورد'!$B$7="الكل",$K233,IF('الداشبورد'!$B$7="تصدير","Y","N")))</f>
        <v/>
      </c>
      <c r="T233">
        <f>--($J233=IF('الداشبورد'!$B$8="الكل",$J233,IF('الداشبورد'!$B$8="AL","A","C")))</f>
        <v/>
      </c>
      <c r="U233">
        <f>--($I233=IF('الداشبورد'!$B$9="الكل",$I233,IF('الداشبورد'!$B$9="بدون حالة","P",'الداشبورد'!$B$9)))</f>
        <v/>
      </c>
      <c r="V233">
        <f>--($D233=IF('الداشبورد'!$B$10="الكل",$D233,'الداشبورد'!$B$10))</f>
        <v/>
      </c>
      <c r="W233">
        <f>--($G233=IF('الداشبورد'!$B$11="الكل",$G233,'الداشبورد'!$B$11))</f>
        <v/>
      </c>
      <c r="X233">
        <f>Q233*R233*S233*T233*U233*V233*W233*--($C233&lt;&gt;"")</f>
        <v/>
      </c>
    </row>
    <row r="234">
      <c r="A234" s="15" t="n">
        <v>4</v>
      </c>
      <c r="B234" s="15" t="inlineStr">
        <is>
          <t>M184472</t>
        </is>
      </c>
      <c r="C234" s="15" t="inlineStr">
        <is>
          <t>1385/26/11</t>
        </is>
      </c>
      <c r="D234" s="15" t="inlineStr">
        <is>
          <t>الشركة العربية للصناعة والتجارة الدولية</t>
        </is>
      </c>
      <c r="E234" s="15" t="inlineStr">
        <is>
          <t>LV</t>
        </is>
      </c>
      <c r="F234" s="15" t="inlineStr">
        <is>
          <t>0.6/1 KV 4*25</t>
        </is>
      </c>
      <c r="G234" s="15" t="inlineStr">
        <is>
          <t>EX03</t>
        </is>
      </c>
      <c r="H234" s="15" t="inlineStr">
        <is>
          <t>Wooden Drums</t>
        </is>
      </c>
      <c r="I234" s="15" t="inlineStr">
        <is>
          <t>OK</t>
        </is>
      </c>
      <c r="J234" s="15" t="inlineStr">
        <is>
          <t>A</t>
        </is>
      </c>
      <c r="K234" s="15" t="inlineStr">
        <is>
          <t>N</t>
        </is>
      </c>
      <c r="L234" s="15" t="n">
        <v>2013</v>
      </c>
      <c r="M234" s="16" t="n">
        <v>0.5193540000000001</v>
      </c>
      <c r="N234" s="16" t="n">
        <v>0</v>
      </c>
      <c r="O234" s="16" t="n">
        <v>0</v>
      </c>
      <c r="P234" s="16" t="n">
        <v>0.5193540000000001</v>
      </c>
      <c r="Q234">
        <f>--($A234=IF('الداشبورد'!$B$5="الكل",$A234,'الداشبورد'!$B$5))</f>
        <v/>
      </c>
      <c r="R234">
        <f>--($E234=IF('الداشبورد'!$B$6="الكل",$E234,'الداشبورد'!$B$6))</f>
        <v/>
      </c>
      <c r="S234">
        <f>--($K234=IF('الداشبورد'!$B$7="الكل",$K234,IF('الداشبورد'!$B$7="تصدير","Y","N")))</f>
        <v/>
      </c>
      <c r="T234">
        <f>--($J234=IF('الداشبورد'!$B$8="الكل",$J234,IF('الداشبورد'!$B$8="AL","A","C")))</f>
        <v/>
      </c>
      <c r="U234">
        <f>--($I234=IF('الداشبورد'!$B$9="الكل",$I234,IF('الداشبورد'!$B$9="بدون حالة","P",'الداشبورد'!$B$9)))</f>
        <v/>
      </c>
      <c r="V234">
        <f>--($D234=IF('الداشبورد'!$B$10="الكل",$D234,'الداشبورد'!$B$10))</f>
        <v/>
      </c>
      <c r="W234">
        <f>--($G234=IF('الداشبورد'!$B$11="الكل",$G234,'الداشبورد'!$B$11))</f>
        <v/>
      </c>
      <c r="X234">
        <f>Q234*R234*S234*T234*U234*V234*W234*--($C234&lt;&gt;"")</f>
        <v/>
      </c>
    </row>
    <row r="235">
      <c r="A235" s="15" t="n">
        <v>4</v>
      </c>
      <c r="B235" s="15" t="inlineStr">
        <is>
          <t>G184352</t>
        </is>
      </c>
      <c r="C235" s="15" t="inlineStr">
        <is>
          <t>1478/26/20</t>
        </is>
      </c>
      <c r="D235" s="15" t="inlineStr">
        <is>
          <t>Energya Power &amp; Telecom Solutions</t>
        </is>
      </c>
      <c r="E235" s="15" t="inlineStr">
        <is>
          <t>LV</t>
        </is>
      </c>
      <c r="F235" s="15" t="inlineStr">
        <is>
          <t>0.6/1 KV 3*50+25</t>
        </is>
      </c>
      <c r="G235" s="15" t="inlineStr">
        <is>
          <t>EX03</t>
        </is>
      </c>
      <c r="H235" s="15" t="inlineStr">
        <is>
          <t>Wooden Drums</t>
        </is>
      </c>
      <c r="I235" s="15" t="inlineStr">
        <is>
          <t>OK</t>
        </is>
      </c>
      <c r="J235" s="15" t="inlineStr">
        <is>
          <t>C</t>
        </is>
      </c>
      <c r="K235" s="15" t="inlineStr">
        <is>
          <t>N</t>
        </is>
      </c>
      <c r="L235" s="15" t="n">
        <v>213</v>
      </c>
      <c r="M235" s="16" t="n">
        <v>0.30246</v>
      </c>
      <c r="N235" s="16" t="n">
        <v>0</v>
      </c>
      <c r="O235" s="16" t="n">
        <v>0</v>
      </c>
      <c r="P235" s="16" t="n">
        <v>0.30246</v>
      </c>
      <c r="Q235">
        <f>--($A235=IF('الداشبورد'!$B$5="الكل",$A235,'الداشبورد'!$B$5))</f>
        <v/>
      </c>
      <c r="R235">
        <f>--($E235=IF('الداشبورد'!$B$6="الكل",$E235,'الداشبورد'!$B$6))</f>
        <v/>
      </c>
      <c r="S235">
        <f>--($K235=IF('الداشبورد'!$B$7="الكل",$K235,IF('الداشبورد'!$B$7="تصدير","Y","N")))</f>
        <v/>
      </c>
      <c r="T235">
        <f>--($J235=IF('الداشبورد'!$B$8="الكل",$J235,IF('الداشبورد'!$B$8="AL","A","C")))</f>
        <v/>
      </c>
      <c r="U235">
        <f>--($I235=IF('الداشبورد'!$B$9="الكل",$I235,IF('الداشبورد'!$B$9="بدون حالة","P",'الداشبورد'!$B$9)))</f>
        <v/>
      </c>
      <c r="V235">
        <f>--($D235=IF('الداشبورد'!$B$10="الكل",$D235,'الداشبورد'!$B$10))</f>
        <v/>
      </c>
      <c r="W235">
        <f>--($G235=IF('الداشبورد'!$B$11="الكل",$G235,'الداشبورد'!$B$11))</f>
        <v/>
      </c>
      <c r="X235">
        <f>Q235*R235*S235*T235*U235*V235*W235*--($C235&lt;&gt;"")</f>
        <v/>
      </c>
    </row>
    <row r="236">
      <c r="A236" s="15" t="n">
        <v>4</v>
      </c>
      <c r="B236" s="15" t="inlineStr">
        <is>
          <t>J184301</t>
        </is>
      </c>
      <c r="C236" s="15" t="inlineStr">
        <is>
          <t>1478/26/21</t>
        </is>
      </c>
      <c r="D236" s="15" t="inlineStr">
        <is>
          <t>Energya Power &amp; Telecom Solutions</t>
        </is>
      </c>
      <c r="E236" s="15" t="inlineStr">
        <is>
          <t>LV</t>
        </is>
      </c>
      <c r="F236" s="15" t="inlineStr">
        <is>
          <t>0.6/1 KV 3*70+35</t>
        </is>
      </c>
      <c r="G236" s="15" t="inlineStr">
        <is>
          <t>EX03</t>
        </is>
      </c>
      <c r="H236" s="15" t="inlineStr">
        <is>
          <t>Wooden Drums</t>
        </is>
      </c>
      <c r="I236" s="15" t="inlineStr">
        <is>
          <t>OK</t>
        </is>
      </c>
      <c r="J236" s="15" t="inlineStr">
        <is>
          <t>C</t>
        </is>
      </c>
      <c r="K236" s="15" t="inlineStr">
        <is>
          <t>N</t>
        </is>
      </c>
      <c r="L236" s="15" t="n">
        <v>364</v>
      </c>
      <c r="M236" s="16" t="n">
        <v>0.745472</v>
      </c>
      <c r="N236" s="16" t="n">
        <v>0</v>
      </c>
      <c r="O236" s="16" t="n">
        <v>0</v>
      </c>
      <c r="P236" s="16" t="n">
        <v>0.745472</v>
      </c>
      <c r="Q236">
        <f>--($A236=IF('الداشبورد'!$B$5="الكل",$A236,'الداشبورد'!$B$5))</f>
        <v/>
      </c>
      <c r="R236">
        <f>--($E236=IF('الداشبورد'!$B$6="الكل",$E236,'الداشبورد'!$B$6))</f>
        <v/>
      </c>
      <c r="S236">
        <f>--($K236=IF('الداشبورد'!$B$7="الكل",$K236,IF('الداشبورد'!$B$7="تصدير","Y","N")))</f>
        <v/>
      </c>
      <c r="T236">
        <f>--($J236=IF('الداشبورد'!$B$8="الكل",$J236,IF('الداشبورد'!$B$8="AL","A","C")))</f>
        <v/>
      </c>
      <c r="U236">
        <f>--($I236=IF('الداشبورد'!$B$9="الكل",$I236,IF('الداشبورد'!$B$9="بدون حالة","P",'الداشبورد'!$B$9)))</f>
        <v/>
      </c>
      <c r="V236">
        <f>--($D236=IF('الداشبورد'!$B$10="الكل",$D236,'الداشبورد'!$B$10))</f>
        <v/>
      </c>
      <c r="W236">
        <f>--($G236=IF('الداشبورد'!$B$11="الكل",$G236,'الداشبورد'!$B$11))</f>
        <v/>
      </c>
      <c r="X236">
        <f>Q236*R236*S236*T236*U236*V236*W236*--($C236&lt;&gt;"")</f>
        <v/>
      </c>
    </row>
    <row r="237">
      <c r="A237" s="15" t="n">
        <v>4</v>
      </c>
      <c r="B237" s="15" t="inlineStr">
        <is>
          <t>P184528</t>
        </is>
      </c>
      <c r="C237" s="15" t="inlineStr">
        <is>
          <t>1188/26/01</t>
        </is>
      </c>
      <c r="D237" s="15" t="inlineStr">
        <is>
          <t>Cleveland Cables Company</t>
        </is>
      </c>
      <c r="E237" s="15" t="inlineStr">
        <is>
          <t>MV</t>
        </is>
      </c>
      <c r="F237" s="15" t="inlineStr">
        <is>
          <t>18/30 KV 1*120</t>
        </is>
      </c>
      <c r="G237" s="15" t="inlineStr">
        <is>
          <t>EX05</t>
        </is>
      </c>
      <c r="H237" s="15" t="inlineStr">
        <is>
          <t>Wooden Drums</t>
        </is>
      </c>
      <c r="I237" s="15" t="inlineStr">
        <is>
          <t>OK</t>
        </is>
      </c>
      <c r="J237" s="15" t="inlineStr">
        <is>
          <t>A</t>
        </is>
      </c>
      <c r="K237" s="15" t="inlineStr">
        <is>
          <t>Y</t>
        </is>
      </c>
      <c r="L237" s="15" t="n">
        <v>1360</v>
      </c>
      <c r="M237" s="16" t="n">
        <v>0.4284</v>
      </c>
      <c r="N237" s="16" t="n">
        <v>0.20128</v>
      </c>
      <c r="O237" s="16" t="n">
        <v>0.7276</v>
      </c>
      <c r="P237" s="16" t="n">
        <v>1.35728</v>
      </c>
      <c r="Q237">
        <f>--($A237=IF('الداشبورد'!$B$5="الكل",$A237,'الداشبورد'!$B$5))</f>
        <v/>
      </c>
      <c r="R237">
        <f>--($E237=IF('الداشبورد'!$B$6="الكل",$E237,'الداشبورد'!$B$6))</f>
        <v/>
      </c>
      <c r="S237">
        <f>--($K237=IF('الداشبورد'!$B$7="الكل",$K237,IF('الداشبورد'!$B$7="تصدير","Y","N")))</f>
        <v/>
      </c>
      <c r="T237">
        <f>--($J237=IF('الداشبورد'!$B$8="الكل",$J237,IF('الداشبورد'!$B$8="AL","A","C")))</f>
        <v/>
      </c>
      <c r="U237">
        <f>--($I237=IF('الداشبورد'!$B$9="الكل",$I237,IF('الداشبورد'!$B$9="بدون حالة","P",'الداشبورد'!$B$9)))</f>
        <v/>
      </c>
      <c r="V237">
        <f>--($D237=IF('الداشبورد'!$B$10="الكل",$D237,'الداشبورد'!$B$10))</f>
        <v/>
      </c>
      <c r="W237">
        <f>--($G237=IF('الداشبورد'!$B$11="الكل",$G237,'الداشبورد'!$B$11))</f>
        <v/>
      </c>
      <c r="X237">
        <f>Q237*R237*S237*T237*U237*V237*W237*--($C237&lt;&gt;"")</f>
        <v/>
      </c>
    </row>
    <row r="238">
      <c r="A238" s="15" t="n">
        <v>4</v>
      </c>
      <c r="B238" s="15" t="inlineStr">
        <is>
          <t>D184441</t>
        </is>
      </c>
      <c r="C238" s="15" t="inlineStr">
        <is>
          <t>1310/26/01</t>
        </is>
      </c>
      <c r="D238" s="15" t="inlineStr">
        <is>
          <t>Cleveland Cables Company</t>
        </is>
      </c>
      <c r="E238" s="15" t="inlineStr">
        <is>
          <t>LV</t>
        </is>
      </c>
      <c r="F238" s="15" t="inlineStr">
        <is>
          <t>450/750 V 1X70</t>
        </is>
      </c>
      <c r="G238" s="15" t="inlineStr">
        <is>
          <t>EX01</t>
        </is>
      </c>
      <c r="H238" s="15" t="inlineStr">
        <is>
          <t>Wooden Drums</t>
        </is>
      </c>
      <c r="I238" s="15" t="inlineStr">
        <is>
          <t>OK</t>
        </is>
      </c>
      <c r="J238" s="15" t="inlineStr">
        <is>
          <t>C</t>
        </is>
      </c>
      <c r="K238" s="15" t="inlineStr">
        <is>
          <t>Y</t>
        </is>
      </c>
      <c r="L238" s="15" t="n">
        <v>1033</v>
      </c>
      <c r="M238" s="16" t="n">
        <v>0.6053379999999999</v>
      </c>
      <c r="N238" s="16" t="n">
        <v>0</v>
      </c>
      <c r="O238" s="16" t="n">
        <v>0</v>
      </c>
      <c r="P238" s="16" t="n">
        <v>0.6053379999999999</v>
      </c>
      <c r="Q238">
        <f>--($A238=IF('الداشبورد'!$B$5="الكل",$A238,'الداشبورد'!$B$5))</f>
        <v/>
      </c>
      <c r="R238">
        <f>--($E238=IF('الداشبورد'!$B$6="الكل",$E238,'الداشبورد'!$B$6))</f>
        <v/>
      </c>
      <c r="S238">
        <f>--($K238=IF('الداشبورد'!$B$7="الكل",$K238,IF('الداشبورد'!$B$7="تصدير","Y","N")))</f>
        <v/>
      </c>
      <c r="T238">
        <f>--($J238=IF('الداشبورد'!$B$8="الكل",$J238,IF('الداشبورد'!$B$8="AL","A","C")))</f>
        <v/>
      </c>
      <c r="U238">
        <f>--($I238=IF('الداشبورد'!$B$9="الكل",$I238,IF('الداشبورد'!$B$9="بدون حالة","P",'الداشبورد'!$B$9)))</f>
        <v/>
      </c>
      <c r="V238">
        <f>--($D238=IF('الداشبورد'!$B$10="الكل",$D238,'الداشبورد'!$B$10))</f>
        <v/>
      </c>
      <c r="W238">
        <f>--($G238=IF('الداشبورد'!$B$11="الكل",$G238,'الداشبورد'!$B$11))</f>
        <v/>
      </c>
      <c r="X238">
        <f>Q238*R238*S238*T238*U238*V238*W238*--($C238&lt;&gt;"")</f>
        <v/>
      </c>
    </row>
    <row r="239">
      <c r="A239" s="15" t="n">
        <v>3</v>
      </c>
      <c r="B239" s="15" t="inlineStr">
        <is>
          <t>K44</t>
        </is>
      </c>
      <c r="C239" s="15" t="inlineStr">
        <is>
          <t>1385/26/03</t>
        </is>
      </c>
      <c r="D239" s="15" t="inlineStr">
        <is>
          <t>الشركة العربية للصناعة والتجارة الدولية</t>
        </is>
      </c>
      <c r="E239" s="15" t="inlineStr">
        <is>
          <t>LV</t>
        </is>
      </c>
      <c r="F239" s="15" t="inlineStr">
        <is>
          <t>0.6/1 KV 3*240+120</t>
        </is>
      </c>
      <c r="G239" s="15" t="inlineStr">
        <is>
          <t>EX09</t>
        </is>
      </c>
      <c r="H239" s="15" t="inlineStr">
        <is>
          <t>Wooden Drums</t>
        </is>
      </c>
      <c r="I239" s="15" t="inlineStr">
        <is>
          <t>Hold</t>
        </is>
      </c>
      <c r="J239" s="15" t="inlineStr">
        <is>
          <t>A</t>
        </is>
      </c>
      <c r="K239" s="15" t="inlineStr">
        <is>
          <t>N</t>
        </is>
      </c>
      <c r="L239" s="15" t="n">
        <v>2023</v>
      </c>
      <c r="M239" s="16" t="n">
        <v>4.444531</v>
      </c>
      <c r="N239" s="16" t="n">
        <v>0</v>
      </c>
      <c r="O239" s="16" t="n">
        <v>0</v>
      </c>
      <c r="P239" s="16" t="n">
        <v>4.444531</v>
      </c>
      <c r="Q239">
        <f>--($A239=IF('الداشبورد'!$B$5="الكل",$A239,'الداشبورد'!$B$5))</f>
        <v/>
      </c>
      <c r="R239">
        <f>--($E239=IF('الداشبورد'!$B$6="الكل",$E239,'الداشبورد'!$B$6))</f>
        <v/>
      </c>
      <c r="S239">
        <f>--($K239=IF('الداشبورد'!$B$7="الكل",$K239,IF('الداشبورد'!$B$7="تصدير","Y","N")))</f>
        <v/>
      </c>
      <c r="T239">
        <f>--($J239=IF('الداشبورد'!$B$8="الكل",$J239,IF('الداشبورد'!$B$8="AL","A","C")))</f>
        <v/>
      </c>
      <c r="U239">
        <f>--($I239=IF('الداشبورد'!$B$9="الكل",$I239,IF('الداشبورد'!$B$9="بدون حالة","P",'الداشبورد'!$B$9)))</f>
        <v/>
      </c>
      <c r="V239">
        <f>--($D239=IF('الداشبورد'!$B$10="الكل",$D239,'الداشبورد'!$B$10))</f>
        <v/>
      </c>
      <c r="W239">
        <f>--($G239=IF('الداشبورد'!$B$11="الكل",$G239,'الداشبورد'!$B$11))</f>
        <v/>
      </c>
      <c r="X239">
        <f>Q239*R239*S239*T239*U239*V239*W239*--($C239&lt;&gt;"")</f>
        <v/>
      </c>
    </row>
    <row r="240">
      <c r="A240" s="15" t="n">
        <v>4</v>
      </c>
      <c r="B240" s="15" t="inlineStr">
        <is>
          <t>WITHOUT..</t>
        </is>
      </c>
      <c r="C240" s="15" t="inlineStr">
        <is>
          <t>1117/26/02</t>
        </is>
      </c>
      <c r="D240" s="15" t="inlineStr">
        <is>
          <t>Energya Power &amp; Telecom Solutions</t>
        </is>
      </c>
      <c r="E240" s="15" t="inlineStr">
        <is>
          <t>HV</t>
        </is>
      </c>
      <c r="F240" s="15" t="inlineStr">
        <is>
          <t>66KV 1X800 MM2</t>
        </is>
      </c>
      <c r="G240" s="15" t="inlineStr">
        <is>
          <t>EX06</t>
        </is>
      </c>
      <c r="H240" s="15" t="inlineStr">
        <is>
          <t>Iron Drums</t>
        </is>
      </c>
      <c r="I240" s="15" t="inlineStr">
        <is>
          <t>Hold</t>
        </is>
      </c>
      <c r="J240" s="15" t="inlineStr">
        <is>
          <t>C</t>
        </is>
      </c>
      <c r="K240" s="15" t="inlineStr">
        <is>
          <t>N</t>
        </is>
      </c>
      <c r="L240" s="15" t="n">
        <v>740</v>
      </c>
      <c r="M240" s="16" t="n">
        <v>5.291</v>
      </c>
      <c r="N240" s="16" t="n">
        <v>0</v>
      </c>
      <c r="O240" s="16" t="n">
        <v>0</v>
      </c>
      <c r="P240" s="16" t="n">
        <v>5.291</v>
      </c>
      <c r="Q240">
        <f>--($A240=IF('الداشبورد'!$B$5="الكل",$A240,'الداشبورد'!$B$5))</f>
        <v/>
      </c>
      <c r="R240">
        <f>--($E240=IF('الداشبورد'!$B$6="الكل",$E240,'الداشبورد'!$B$6))</f>
        <v/>
      </c>
      <c r="S240">
        <f>--($K240=IF('الداشبورد'!$B$7="الكل",$K240,IF('الداشبورد'!$B$7="تصدير","Y","N")))</f>
        <v/>
      </c>
      <c r="T240">
        <f>--($J240=IF('الداشبورد'!$B$8="الكل",$J240,IF('الداشبورد'!$B$8="AL","A","C")))</f>
        <v/>
      </c>
      <c r="U240">
        <f>--($I240=IF('الداشبورد'!$B$9="الكل",$I240,IF('الداشبورد'!$B$9="بدون حالة","P",'الداشبورد'!$B$9)))</f>
        <v/>
      </c>
      <c r="V240">
        <f>--($D240=IF('الداشبورد'!$B$10="الكل",$D240,'الداشبورد'!$B$10))</f>
        <v/>
      </c>
      <c r="W240">
        <f>--($G240=IF('الداشبورد'!$B$11="الكل",$G240,'الداشبورد'!$B$11))</f>
        <v/>
      </c>
      <c r="X240">
        <f>Q240*R240*S240*T240*U240*V240*W240*--($C240&lt;&gt;"")</f>
        <v/>
      </c>
    </row>
    <row r="241">
      <c r="A241" s="15" t="n">
        <v>4</v>
      </c>
      <c r="B241" s="15" t="inlineStr">
        <is>
          <t>F184364</t>
        </is>
      </c>
      <c r="C241" s="15" t="inlineStr">
        <is>
          <t>1376/26/01</t>
        </is>
      </c>
      <c r="D241" s="15" t="inlineStr">
        <is>
          <t>العالمية للكهرباء والتحكم</t>
        </is>
      </c>
      <c r="E241" s="15" t="inlineStr">
        <is>
          <t>LV</t>
        </is>
      </c>
      <c r="F241" s="15" t="inlineStr">
        <is>
          <t>0.6/1 KV 3X35+16</t>
        </is>
      </c>
      <c r="G241" s="15" t="inlineStr">
        <is>
          <t>EX13</t>
        </is>
      </c>
      <c r="H241" s="15" t="inlineStr">
        <is>
          <t>Wooden Drums</t>
        </is>
      </c>
      <c r="I241" s="15" t="inlineStr">
        <is>
          <t>OK</t>
        </is>
      </c>
      <c r="J241" s="15" t="inlineStr">
        <is>
          <t>C</t>
        </is>
      </c>
      <c r="K241" s="15" t="inlineStr">
        <is>
          <t>N</t>
        </is>
      </c>
      <c r="L241" s="15" t="n">
        <v>402</v>
      </c>
      <c r="M241" s="16" t="n">
        <v>0.415668</v>
      </c>
      <c r="N241" s="16" t="n">
        <v>0</v>
      </c>
      <c r="O241" s="16" t="n">
        <v>0</v>
      </c>
      <c r="P241" s="16" t="n">
        <v>0.415668</v>
      </c>
      <c r="Q241">
        <f>--($A241=IF('الداشبورد'!$B$5="الكل",$A241,'الداشبورد'!$B$5))</f>
        <v/>
      </c>
      <c r="R241">
        <f>--($E241=IF('الداشبورد'!$B$6="الكل",$E241,'الداشبورد'!$B$6))</f>
        <v/>
      </c>
      <c r="S241">
        <f>--($K241=IF('الداشبورد'!$B$7="الكل",$K241,IF('الداشبورد'!$B$7="تصدير","Y","N")))</f>
        <v/>
      </c>
      <c r="T241">
        <f>--($J241=IF('الداشبورد'!$B$8="الكل",$J241,IF('الداشبورد'!$B$8="AL","A","C")))</f>
        <v/>
      </c>
      <c r="U241">
        <f>--($I241=IF('الداشبورد'!$B$9="الكل",$I241,IF('الداشبورد'!$B$9="بدون حالة","P",'الداشبورد'!$B$9)))</f>
        <v/>
      </c>
      <c r="V241">
        <f>--($D241=IF('الداشبورد'!$B$10="الكل",$D241,'الداشبورد'!$B$10))</f>
        <v/>
      </c>
      <c r="W241">
        <f>--($G241=IF('الداشبورد'!$B$11="الكل",$G241,'الداشبورد'!$B$11))</f>
        <v/>
      </c>
      <c r="X241">
        <f>Q241*R241*S241*T241*U241*V241*W241*--($C241&lt;&gt;"")</f>
        <v/>
      </c>
    </row>
    <row r="242">
      <c r="A242" s="15" t="n">
        <v>4</v>
      </c>
      <c r="B242" s="15" t="inlineStr">
        <is>
          <t>F184363</t>
        </is>
      </c>
      <c r="C242" s="15" t="inlineStr">
        <is>
          <t>1520/26/04</t>
        </is>
      </c>
      <c r="D242" s="15" t="inlineStr">
        <is>
          <t>سكاي للموانىء</t>
        </is>
      </c>
      <c r="E242" s="15" t="inlineStr">
        <is>
          <t>LV</t>
        </is>
      </c>
      <c r="F242" s="15" t="inlineStr">
        <is>
          <t>0.6/1 KV 3X35+16</t>
        </is>
      </c>
      <c r="G242" s="15" t="inlineStr">
        <is>
          <t>EX13</t>
        </is>
      </c>
      <c r="H242" s="15" t="inlineStr">
        <is>
          <t>Wooden Drums</t>
        </is>
      </c>
      <c r="I242" s="15" t="inlineStr">
        <is>
          <t>OK</t>
        </is>
      </c>
      <c r="J242" s="15" t="inlineStr">
        <is>
          <t>C</t>
        </is>
      </c>
      <c r="K242" s="15" t="inlineStr">
        <is>
          <t>N</t>
        </is>
      </c>
      <c r="L242" s="15" t="n">
        <v>282</v>
      </c>
      <c r="M242" s="16" t="n">
        <v>0.291588</v>
      </c>
      <c r="N242" s="16" t="n">
        <v>0</v>
      </c>
      <c r="O242" s="16" t="n">
        <v>0</v>
      </c>
      <c r="P242" s="16" t="n">
        <v>0.291588</v>
      </c>
      <c r="Q242">
        <f>--($A242=IF('الداشبورد'!$B$5="الكل",$A242,'الداشبورد'!$B$5))</f>
        <v/>
      </c>
      <c r="R242">
        <f>--($E242=IF('الداشبورد'!$B$6="الكل",$E242,'الداشبورد'!$B$6))</f>
        <v/>
      </c>
      <c r="S242">
        <f>--($K242=IF('الداشبورد'!$B$7="الكل",$K242,IF('الداشبورد'!$B$7="تصدير","Y","N")))</f>
        <v/>
      </c>
      <c r="T242">
        <f>--($J242=IF('الداشبورد'!$B$8="الكل",$J242,IF('الداشبورد'!$B$8="AL","A","C")))</f>
        <v/>
      </c>
      <c r="U242">
        <f>--($I242=IF('الداشبورد'!$B$9="الكل",$I242,IF('الداشبورد'!$B$9="بدون حالة","P",'الداشبورد'!$B$9)))</f>
        <v/>
      </c>
      <c r="V242">
        <f>--($D242=IF('الداشبورد'!$B$10="الكل",$D242,'الداشبورد'!$B$10))</f>
        <v/>
      </c>
      <c r="W242">
        <f>--($G242=IF('الداشبورد'!$B$11="الكل",$G242,'الداشبورد'!$B$11))</f>
        <v/>
      </c>
      <c r="X242">
        <f>Q242*R242*S242*T242*U242*V242*W242*--($C242&lt;&gt;"")</f>
        <v/>
      </c>
    </row>
    <row r="243">
      <c r="A243" s="15" t="n">
        <v>4</v>
      </c>
      <c r="B243" s="15" t="inlineStr">
        <is>
          <t>G183069</t>
        </is>
      </c>
      <c r="C243" s="15" t="inlineStr">
        <is>
          <t>1338/26/09</t>
        </is>
      </c>
      <c r="D243" s="15" t="inlineStr">
        <is>
          <t>كونكورد للهندسة والمقاولات</t>
        </is>
      </c>
      <c r="E243" s="15" t="inlineStr">
        <is>
          <t>LV</t>
        </is>
      </c>
      <c r="F243" s="15" t="inlineStr">
        <is>
          <t>0.6/1 KV 3X35+16</t>
        </is>
      </c>
      <c r="G243" s="15" t="inlineStr">
        <is>
          <t>EX13</t>
        </is>
      </c>
      <c r="H243" s="15" t="inlineStr">
        <is>
          <t>Wooden Drums</t>
        </is>
      </c>
      <c r="I243" s="15" t="inlineStr">
        <is>
          <t>OK</t>
        </is>
      </c>
      <c r="J243" s="15" t="inlineStr">
        <is>
          <t>C</t>
        </is>
      </c>
      <c r="K243" s="15" t="inlineStr">
        <is>
          <t>N</t>
        </is>
      </c>
      <c r="L243" s="15" t="n">
        <v>103</v>
      </c>
      <c r="M243" s="16" t="n">
        <v>0.106502</v>
      </c>
      <c r="N243" s="16" t="n">
        <v>0</v>
      </c>
      <c r="O243" s="16" t="n">
        <v>0</v>
      </c>
      <c r="P243" s="16" t="n">
        <v>0.106502</v>
      </c>
      <c r="Q243">
        <f>--($A243=IF('الداشبورد'!$B$5="الكل",$A243,'الداشبورد'!$B$5))</f>
        <v/>
      </c>
      <c r="R243">
        <f>--($E243=IF('الداشبورد'!$B$6="الكل",$E243,'الداشبورد'!$B$6))</f>
        <v/>
      </c>
      <c r="S243">
        <f>--($K243=IF('الداشبورد'!$B$7="الكل",$K243,IF('الداشبورد'!$B$7="تصدير","Y","N")))</f>
        <v/>
      </c>
      <c r="T243">
        <f>--($J243=IF('الداشبورد'!$B$8="الكل",$J243,IF('الداشبورد'!$B$8="AL","A","C")))</f>
        <v/>
      </c>
      <c r="U243">
        <f>--($I243=IF('الداشبورد'!$B$9="الكل",$I243,IF('الداشبورد'!$B$9="بدون حالة","P",'الداشبورد'!$B$9)))</f>
        <v/>
      </c>
      <c r="V243">
        <f>--($D243=IF('الداشبورد'!$B$10="الكل",$D243,'الداشبورد'!$B$10))</f>
        <v/>
      </c>
      <c r="W243">
        <f>--($G243=IF('الداشبورد'!$B$11="الكل",$G243,'الداشبورد'!$B$11))</f>
        <v/>
      </c>
      <c r="X243">
        <f>Q243*R243*S243*T243*U243*V243*W243*--($C243&lt;&gt;"")</f>
        <v/>
      </c>
    </row>
    <row r="244">
      <c r="A244" s="15" t="n">
        <v>4</v>
      </c>
      <c r="B244" s="15" t="inlineStr">
        <is>
          <t>K184465</t>
        </is>
      </c>
      <c r="C244" s="15" t="inlineStr">
        <is>
          <t>1462/26/05</t>
        </is>
      </c>
      <c r="D244" s="15" t="inlineStr">
        <is>
          <t>Vigo trgovina d.o.o.</t>
        </is>
      </c>
      <c r="E244" s="15" t="inlineStr">
        <is>
          <t>LV</t>
        </is>
      </c>
      <c r="F244" s="15" t="inlineStr">
        <is>
          <t>0.6/1 KV 4X10</t>
        </is>
      </c>
      <c r="G244" s="15" t="inlineStr">
        <is>
          <t>EX13</t>
        </is>
      </c>
      <c r="H244" s="15" t="inlineStr">
        <is>
          <t>Wooden Drums</t>
        </is>
      </c>
      <c r="I244" s="15" t="inlineStr">
        <is>
          <t>OK</t>
        </is>
      </c>
      <c r="J244" s="15" t="inlineStr">
        <is>
          <t>C</t>
        </is>
      </c>
      <c r="K244" s="15" t="inlineStr">
        <is>
          <t>Y</t>
        </is>
      </c>
      <c r="L244" s="15" t="n">
        <v>3050</v>
      </c>
      <c r="M244" s="16" t="n">
        <v>1.0797</v>
      </c>
      <c r="N244" s="16" t="n">
        <v>0</v>
      </c>
      <c r="O244" s="16" t="n">
        <v>0</v>
      </c>
      <c r="P244" s="16" t="n">
        <v>1.0797</v>
      </c>
      <c r="Q244">
        <f>--($A244=IF('الداشبورد'!$B$5="الكل",$A244,'الداشبورد'!$B$5))</f>
        <v/>
      </c>
      <c r="R244">
        <f>--($E244=IF('الداشبورد'!$B$6="الكل",$E244,'الداشبورد'!$B$6))</f>
        <v/>
      </c>
      <c r="S244">
        <f>--($K244=IF('الداشبورد'!$B$7="الكل",$K244,IF('الداشبورد'!$B$7="تصدير","Y","N")))</f>
        <v/>
      </c>
      <c r="T244">
        <f>--($J244=IF('الداشبورد'!$B$8="الكل",$J244,IF('الداشبورد'!$B$8="AL","A","C")))</f>
        <v/>
      </c>
      <c r="U244">
        <f>--($I244=IF('الداشبورد'!$B$9="الكل",$I244,IF('الداشبورد'!$B$9="بدون حالة","P",'الداشبورد'!$B$9)))</f>
        <v/>
      </c>
      <c r="V244">
        <f>--($D244=IF('الداشبورد'!$B$10="الكل",$D244,'الداشبورد'!$B$10))</f>
        <v/>
      </c>
      <c r="W244">
        <f>--($G244=IF('الداشبورد'!$B$11="الكل",$G244,'الداشبورد'!$B$11))</f>
        <v/>
      </c>
      <c r="X244">
        <f>Q244*R244*S244*T244*U244*V244*W244*--($C244&lt;&gt;"")</f>
        <v/>
      </c>
    </row>
    <row r="245">
      <c r="A245" s="15" t="n">
        <v>4</v>
      </c>
      <c r="B245" s="15" t="inlineStr">
        <is>
          <t>F184469</t>
        </is>
      </c>
      <c r="C245" s="15" t="inlineStr">
        <is>
          <t>1462/26/05</t>
        </is>
      </c>
      <c r="D245" s="15" t="inlineStr">
        <is>
          <t>Vigo trgovina d.o.o.</t>
        </is>
      </c>
      <c r="E245" s="15" t="inlineStr">
        <is>
          <t>LV</t>
        </is>
      </c>
      <c r="F245" s="15" t="inlineStr">
        <is>
          <t>0.6/1 KV 4X10</t>
        </is>
      </c>
      <c r="G245" s="15" t="inlineStr">
        <is>
          <t>EX13</t>
        </is>
      </c>
      <c r="H245" s="15" t="inlineStr">
        <is>
          <t>Wooden Drums</t>
        </is>
      </c>
      <c r="I245" s="15" t="inlineStr">
        <is>
          <t>OK</t>
        </is>
      </c>
      <c r="J245" s="15" t="inlineStr">
        <is>
          <t>C</t>
        </is>
      </c>
      <c r="K245" s="15" t="inlineStr">
        <is>
          <t>Y</t>
        </is>
      </c>
      <c r="L245" s="15" t="n">
        <v>515</v>
      </c>
      <c r="M245" s="16" t="n">
        <v>0.18231</v>
      </c>
      <c r="N245" s="16" t="n">
        <v>0</v>
      </c>
      <c r="O245" s="16" t="n">
        <v>0</v>
      </c>
      <c r="P245" s="16" t="n">
        <v>0.18231</v>
      </c>
      <c r="Q245">
        <f>--($A245=IF('الداشبورد'!$B$5="الكل",$A245,'الداشبورد'!$B$5))</f>
        <v/>
      </c>
      <c r="R245">
        <f>--($E245=IF('الداشبورد'!$B$6="الكل",$E245,'الداشبورد'!$B$6))</f>
        <v/>
      </c>
      <c r="S245">
        <f>--($K245=IF('الداشبورد'!$B$7="الكل",$K245,IF('الداشبورد'!$B$7="تصدير","Y","N")))</f>
        <v/>
      </c>
      <c r="T245">
        <f>--($J245=IF('الداشبورد'!$B$8="الكل",$J245,IF('الداشبورد'!$B$8="AL","A","C")))</f>
        <v/>
      </c>
      <c r="U245">
        <f>--($I245=IF('الداشبورد'!$B$9="الكل",$I245,IF('الداشبورد'!$B$9="بدون حالة","P",'الداشبورد'!$B$9)))</f>
        <v/>
      </c>
      <c r="V245">
        <f>--($D245=IF('الداشبورد'!$B$10="الكل",$D245,'الداشبورد'!$B$10))</f>
        <v/>
      </c>
      <c r="W245">
        <f>--($G245=IF('الداشبورد'!$B$11="الكل",$G245,'الداشبورد'!$B$11))</f>
        <v/>
      </c>
      <c r="X245">
        <f>Q245*R245*S245*T245*U245*V245*W245*--($C245&lt;&gt;"")</f>
        <v/>
      </c>
    </row>
    <row r="246">
      <c r="A246" s="15" t="n">
        <v>4</v>
      </c>
      <c r="B246" s="15" t="inlineStr">
        <is>
          <t>F184466</t>
        </is>
      </c>
      <c r="C246" s="15" t="inlineStr">
        <is>
          <t>1462/26/05</t>
        </is>
      </c>
      <c r="D246" s="15" t="inlineStr">
        <is>
          <t>Vigo trgovina d.o.o.</t>
        </is>
      </c>
      <c r="E246" s="15" t="inlineStr">
        <is>
          <t>LV</t>
        </is>
      </c>
      <c r="F246" s="15" t="inlineStr">
        <is>
          <t>0.6/1 KV 4X10</t>
        </is>
      </c>
      <c r="G246" s="15" t="inlineStr">
        <is>
          <t>EX13</t>
        </is>
      </c>
      <c r="H246" s="15" t="inlineStr">
        <is>
          <t>Wooden Drums</t>
        </is>
      </c>
      <c r="I246" s="15" t="inlineStr">
        <is>
          <t>OK</t>
        </is>
      </c>
      <c r="J246" s="15" t="inlineStr">
        <is>
          <t>C</t>
        </is>
      </c>
      <c r="K246" s="15" t="inlineStr">
        <is>
          <t>Y</t>
        </is>
      </c>
      <c r="L246" s="15" t="n">
        <v>520</v>
      </c>
      <c r="M246" s="16" t="n">
        <v>0.18408</v>
      </c>
      <c r="N246" s="16" t="n">
        <v>0</v>
      </c>
      <c r="O246" s="16" t="n">
        <v>0</v>
      </c>
      <c r="P246" s="16" t="n">
        <v>0.18408</v>
      </c>
      <c r="Q246">
        <f>--($A246=IF('الداشبورد'!$B$5="الكل",$A246,'الداشبورد'!$B$5))</f>
        <v/>
      </c>
      <c r="R246">
        <f>--($E246=IF('الداشبورد'!$B$6="الكل",$E246,'الداشبورد'!$B$6))</f>
        <v/>
      </c>
      <c r="S246">
        <f>--($K246=IF('الداشبورد'!$B$7="الكل",$K246,IF('الداشبورد'!$B$7="تصدير","Y","N")))</f>
        <v/>
      </c>
      <c r="T246">
        <f>--($J246=IF('الداشبورد'!$B$8="الكل",$J246,IF('الداشبورد'!$B$8="AL","A","C")))</f>
        <v/>
      </c>
      <c r="U246">
        <f>--($I246=IF('الداشبورد'!$B$9="الكل",$I246,IF('الداشبورد'!$B$9="بدون حالة","P",'الداشبورد'!$B$9)))</f>
        <v/>
      </c>
      <c r="V246">
        <f>--($D246=IF('الداشبورد'!$B$10="الكل",$D246,'الداشبورد'!$B$10))</f>
        <v/>
      </c>
      <c r="W246">
        <f>--($G246=IF('الداشبورد'!$B$11="الكل",$G246,'الداشبورد'!$B$11))</f>
        <v/>
      </c>
      <c r="X246">
        <f>Q246*R246*S246*T246*U246*V246*W246*--($C246&lt;&gt;"")</f>
        <v/>
      </c>
    </row>
    <row r="247">
      <c r="A247" s="15" t="n">
        <v>4</v>
      </c>
      <c r="B247" s="15" t="inlineStr">
        <is>
          <t>F184509</t>
        </is>
      </c>
      <c r="C247" s="15" t="inlineStr">
        <is>
          <t>1462/26/05</t>
        </is>
      </c>
      <c r="D247" s="15" t="inlineStr">
        <is>
          <t>Vigo trgovina d.o.o.</t>
        </is>
      </c>
      <c r="E247" s="15" t="inlineStr">
        <is>
          <t>LV</t>
        </is>
      </c>
      <c r="F247" s="15" t="inlineStr">
        <is>
          <t>0.6/1 KV 4X10</t>
        </is>
      </c>
      <c r="G247" s="15" t="inlineStr">
        <is>
          <t>EX13</t>
        </is>
      </c>
      <c r="H247" s="15" t="inlineStr">
        <is>
          <t>Wooden Drums</t>
        </is>
      </c>
      <c r="I247" s="15" t="inlineStr">
        <is>
          <t>OK</t>
        </is>
      </c>
      <c r="J247" s="15" t="inlineStr">
        <is>
          <t>C</t>
        </is>
      </c>
      <c r="K247" s="15" t="inlineStr">
        <is>
          <t>Y</t>
        </is>
      </c>
      <c r="L247" s="15" t="n">
        <v>520</v>
      </c>
      <c r="M247" s="16" t="n">
        <v>0.18408</v>
      </c>
      <c r="N247" s="16" t="n">
        <v>0</v>
      </c>
      <c r="O247" s="16" t="n">
        <v>0</v>
      </c>
      <c r="P247" s="16" t="n">
        <v>0.18408</v>
      </c>
      <c r="Q247">
        <f>--($A247=IF('الداشبورد'!$B$5="الكل",$A247,'الداشبورد'!$B$5))</f>
        <v/>
      </c>
      <c r="R247">
        <f>--($E247=IF('الداشبورد'!$B$6="الكل",$E247,'الداشبورد'!$B$6))</f>
        <v/>
      </c>
      <c r="S247">
        <f>--($K247=IF('الداشبورد'!$B$7="الكل",$K247,IF('الداشبورد'!$B$7="تصدير","Y","N")))</f>
        <v/>
      </c>
      <c r="T247">
        <f>--($J247=IF('الداشبورد'!$B$8="الكل",$J247,IF('الداشبورد'!$B$8="AL","A","C")))</f>
        <v/>
      </c>
      <c r="U247">
        <f>--($I247=IF('الداشبورد'!$B$9="الكل",$I247,IF('الداشبورد'!$B$9="بدون حالة","P",'الداشبورد'!$B$9)))</f>
        <v/>
      </c>
      <c r="V247">
        <f>--($D247=IF('الداشبورد'!$B$10="الكل",$D247,'الداشبورد'!$B$10))</f>
        <v/>
      </c>
      <c r="W247">
        <f>--($G247=IF('الداشبورد'!$B$11="الكل",$G247,'الداشبورد'!$B$11))</f>
        <v/>
      </c>
      <c r="X247">
        <f>Q247*R247*S247*T247*U247*V247*W247*--($C247&lt;&gt;"")</f>
        <v/>
      </c>
    </row>
    <row r="248">
      <c r="A248" s="15" t="n">
        <v>4</v>
      </c>
      <c r="B248" s="15" t="inlineStr">
        <is>
          <t>F184508</t>
        </is>
      </c>
      <c r="C248" s="15" t="inlineStr">
        <is>
          <t>1462/26/05</t>
        </is>
      </c>
      <c r="D248" s="15" t="inlineStr">
        <is>
          <t>Vigo trgovina d.o.o.</t>
        </is>
      </c>
      <c r="E248" s="15" t="inlineStr">
        <is>
          <t>LV</t>
        </is>
      </c>
      <c r="F248" s="15" t="inlineStr">
        <is>
          <t>0.6/1 KV 4X10</t>
        </is>
      </c>
      <c r="G248" s="15" t="inlineStr">
        <is>
          <t>EX13</t>
        </is>
      </c>
      <c r="H248" s="15" t="inlineStr">
        <is>
          <t>Wooden Drums</t>
        </is>
      </c>
      <c r="I248" s="15" t="inlineStr">
        <is>
          <t>OK</t>
        </is>
      </c>
      <c r="J248" s="15" t="inlineStr">
        <is>
          <t>C</t>
        </is>
      </c>
      <c r="K248" s="15" t="inlineStr">
        <is>
          <t>Y</t>
        </is>
      </c>
      <c r="L248" s="15" t="n">
        <v>520</v>
      </c>
      <c r="M248" s="16" t="n">
        <v>0.18408</v>
      </c>
      <c r="N248" s="16" t="n">
        <v>0</v>
      </c>
      <c r="O248" s="16" t="n">
        <v>0</v>
      </c>
      <c r="P248" s="16" t="n">
        <v>0.18408</v>
      </c>
      <c r="Q248">
        <f>--($A248=IF('الداشبورد'!$B$5="الكل",$A248,'الداشبورد'!$B$5))</f>
        <v/>
      </c>
      <c r="R248">
        <f>--($E248=IF('الداشبورد'!$B$6="الكل",$E248,'الداشبورد'!$B$6))</f>
        <v/>
      </c>
      <c r="S248">
        <f>--($K248=IF('الداشبورد'!$B$7="الكل",$K248,IF('الداشبورد'!$B$7="تصدير","Y","N")))</f>
        <v/>
      </c>
      <c r="T248">
        <f>--($J248=IF('الداشبورد'!$B$8="الكل",$J248,IF('الداشبورد'!$B$8="AL","A","C")))</f>
        <v/>
      </c>
      <c r="U248">
        <f>--($I248=IF('الداشبورد'!$B$9="الكل",$I248,IF('الداشبورد'!$B$9="بدون حالة","P",'الداشبورد'!$B$9)))</f>
        <v/>
      </c>
      <c r="V248">
        <f>--($D248=IF('الداشبورد'!$B$10="الكل",$D248,'الداشبورد'!$B$10))</f>
        <v/>
      </c>
      <c r="W248">
        <f>--($G248=IF('الداشبورد'!$B$11="الكل",$G248,'الداشبورد'!$B$11))</f>
        <v/>
      </c>
      <c r="X248">
        <f>Q248*R248*S248*T248*U248*V248*W248*--($C248&lt;&gt;"")</f>
        <v/>
      </c>
    </row>
    <row r="249">
      <c r="A249" s="15" t="n">
        <v>4</v>
      </c>
      <c r="B249" s="15" t="inlineStr">
        <is>
          <t>F184507</t>
        </is>
      </c>
      <c r="C249" s="15" t="inlineStr">
        <is>
          <t>1462/26/05</t>
        </is>
      </c>
      <c r="D249" s="15" t="inlineStr">
        <is>
          <t>Vigo trgovina d.o.o.</t>
        </is>
      </c>
      <c r="E249" s="15" t="inlineStr">
        <is>
          <t>LV</t>
        </is>
      </c>
      <c r="F249" s="15" t="inlineStr">
        <is>
          <t>0.6/1 KV 4X10</t>
        </is>
      </c>
      <c r="G249" s="15" t="inlineStr">
        <is>
          <t>EX13</t>
        </is>
      </c>
      <c r="H249" s="15" t="inlineStr">
        <is>
          <t>Wooden Drums</t>
        </is>
      </c>
      <c r="I249" s="15" t="inlineStr">
        <is>
          <t>OK</t>
        </is>
      </c>
      <c r="J249" s="15" t="inlineStr">
        <is>
          <t>C</t>
        </is>
      </c>
      <c r="K249" s="15" t="inlineStr">
        <is>
          <t>Y</t>
        </is>
      </c>
      <c r="L249" s="15" t="n">
        <v>520</v>
      </c>
      <c r="M249" s="16" t="n">
        <v>0.18408</v>
      </c>
      <c r="N249" s="16" t="n">
        <v>0</v>
      </c>
      <c r="O249" s="16" t="n">
        <v>0</v>
      </c>
      <c r="P249" s="16" t="n">
        <v>0.18408</v>
      </c>
      <c r="Q249">
        <f>--($A249=IF('الداشبورد'!$B$5="الكل",$A249,'الداشبورد'!$B$5))</f>
        <v/>
      </c>
      <c r="R249">
        <f>--($E249=IF('الداشبورد'!$B$6="الكل",$E249,'الداشبورد'!$B$6))</f>
        <v/>
      </c>
      <c r="S249">
        <f>--($K249=IF('الداشبورد'!$B$7="الكل",$K249,IF('الداشبورد'!$B$7="تصدير","Y","N")))</f>
        <v/>
      </c>
      <c r="T249">
        <f>--($J249=IF('الداشبورد'!$B$8="الكل",$J249,IF('الداشبورد'!$B$8="AL","A","C")))</f>
        <v/>
      </c>
      <c r="U249">
        <f>--($I249=IF('الداشبورد'!$B$9="الكل",$I249,IF('الداشبورد'!$B$9="بدون حالة","P",'الداشبورد'!$B$9)))</f>
        <v/>
      </c>
      <c r="V249">
        <f>--($D249=IF('الداشبورد'!$B$10="الكل",$D249,'الداشبورد'!$B$10))</f>
        <v/>
      </c>
      <c r="W249">
        <f>--($G249=IF('الداشبورد'!$B$11="الكل",$G249,'الداشبورد'!$B$11))</f>
        <v/>
      </c>
      <c r="X249">
        <f>Q249*R249*S249*T249*U249*V249*W249*--($C249&lt;&gt;"")</f>
        <v/>
      </c>
    </row>
    <row r="250">
      <c r="A250" s="15" t="n">
        <v>4</v>
      </c>
      <c r="B250" s="15" t="inlineStr">
        <is>
          <t>F184506</t>
        </is>
      </c>
      <c r="C250" s="15" t="inlineStr">
        <is>
          <t>1462/26/05</t>
        </is>
      </c>
      <c r="D250" s="15" t="inlineStr">
        <is>
          <t>Vigo trgovina d.o.o.</t>
        </is>
      </c>
      <c r="E250" s="15" t="inlineStr">
        <is>
          <t>LV</t>
        </is>
      </c>
      <c r="F250" s="15" t="inlineStr">
        <is>
          <t>0.6/1 KV 4X10</t>
        </is>
      </c>
      <c r="G250" s="15" t="inlineStr">
        <is>
          <t>EX13</t>
        </is>
      </c>
      <c r="H250" s="15" t="inlineStr">
        <is>
          <t>Wooden Drums</t>
        </is>
      </c>
      <c r="I250" s="15" t="inlineStr">
        <is>
          <t>OK</t>
        </is>
      </c>
      <c r="J250" s="15" t="inlineStr">
        <is>
          <t>C</t>
        </is>
      </c>
      <c r="K250" s="15" t="inlineStr">
        <is>
          <t>Y</t>
        </is>
      </c>
      <c r="L250" s="15" t="n">
        <v>520</v>
      </c>
      <c r="M250" s="16" t="n">
        <v>0.18408</v>
      </c>
      <c r="N250" s="16" t="n">
        <v>0</v>
      </c>
      <c r="O250" s="16" t="n">
        <v>0</v>
      </c>
      <c r="P250" s="16" t="n">
        <v>0.18408</v>
      </c>
      <c r="Q250">
        <f>--($A250=IF('الداشبورد'!$B$5="الكل",$A250,'الداشبورد'!$B$5))</f>
        <v/>
      </c>
      <c r="R250">
        <f>--($E250=IF('الداشبورد'!$B$6="الكل",$E250,'الداشبورد'!$B$6))</f>
        <v/>
      </c>
      <c r="S250">
        <f>--($K250=IF('الداشبورد'!$B$7="الكل",$K250,IF('الداشبورد'!$B$7="تصدير","Y","N")))</f>
        <v/>
      </c>
      <c r="T250">
        <f>--($J250=IF('الداشبورد'!$B$8="الكل",$J250,IF('الداشبورد'!$B$8="AL","A","C")))</f>
        <v/>
      </c>
      <c r="U250">
        <f>--($I250=IF('الداشبورد'!$B$9="الكل",$I250,IF('الداشبورد'!$B$9="بدون حالة","P",'الداشبورد'!$B$9)))</f>
        <v/>
      </c>
      <c r="V250">
        <f>--($D250=IF('الداشبورد'!$B$10="الكل",$D250,'الداشبورد'!$B$10))</f>
        <v/>
      </c>
      <c r="W250">
        <f>--($G250=IF('الداشبورد'!$B$11="الكل",$G250,'الداشبورد'!$B$11))</f>
        <v/>
      </c>
      <c r="X250">
        <f>Q250*R250*S250*T250*U250*V250*W250*--($C250&lt;&gt;"")</f>
        <v/>
      </c>
    </row>
    <row r="251">
      <c r="A251" s="15" t="n">
        <v>4</v>
      </c>
      <c r="B251" s="15" t="inlineStr">
        <is>
          <t>F184471</t>
        </is>
      </c>
      <c r="C251" s="15" t="inlineStr">
        <is>
          <t>1462/26/05</t>
        </is>
      </c>
      <c r="D251" s="15" t="inlineStr">
        <is>
          <t>Vigo trgovina d.o.o.</t>
        </is>
      </c>
      <c r="E251" s="15" t="inlineStr">
        <is>
          <t>LV</t>
        </is>
      </c>
      <c r="F251" s="15" t="inlineStr">
        <is>
          <t>0.6/1 KV 4X10</t>
        </is>
      </c>
      <c r="G251" s="15" t="inlineStr">
        <is>
          <t>EX13</t>
        </is>
      </c>
      <c r="H251" s="15" t="inlineStr">
        <is>
          <t>Wooden Drums</t>
        </is>
      </c>
      <c r="I251" s="15" t="inlineStr">
        <is>
          <t>OK</t>
        </is>
      </c>
      <c r="J251" s="15" t="inlineStr">
        <is>
          <t>C</t>
        </is>
      </c>
      <c r="K251" s="15" t="inlineStr">
        <is>
          <t>Y</t>
        </is>
      </c>
      <c r="L251" s="15" t="n">
        <v>520</v>
      </c>
      <c r="M251" s="16" t="n">
        <v>0.18408</v>
      </c>
      <c r="N251" s="16" t="n">
        <v>0</v>
      </c>
      <c r="O251" s="16" t="n">
        <v>0</v>
      </c>
      <c r="P251" s="16" t="n">
        <v>0.18408</v>
      </c>
      <c r="Q251">
        <f>--($A251=IF('الداشبورد'!$B$5="الكل",$A251,'الداشبورد'!$B$5))</f>
        <v/>
      </c>
      <c r="R251">
        <f>--($E251=IF('الداشبورد'!$B$6="الكل",$E251,'الداشبورد'!$B$6))</f>
        <v/>
      </c>
      <c r="S251">
        <f>--($K251=IF('الداشبورد'!$B$7="الكل",$K251,IF('الداشبورد'!$B$7="تصدير","Y","N")))</f>
        <v/>
      </c>
      <c r="T251">
        <f>--($J251=IF('الداشبورد'!$B$8="الكل",$J251,IF('الداشبورد'!$B$8="AL","A","C")))</f>
        <v/>
      </c>
      <c r="U251">
        <f>--($I251=IF('الداشبورد'!$B$9="الكل",$I251,IF('الداشبورد'!$B$9="بدون حالة","P",'الداشبورد'!$B$9)))</f>
        <v/>
      </c>
      <c r="V251">
        <f>--($D251=IF('الداشبورد'!$B$10="الكل",$D251,'الداشبورد'!$B$10))</f>
        <v/>
      </c>
      <c r="W251">
        <f>--($G251=IF('الداشبورد'!$B$11="الكل",$G251,'الداشبورد'!$B$11))</f>
        <v/>
      </c>
      <c r="X251">
        <f>Q251*R251*S251*T251*U251*V251*W251*--($C251&lt;&gt;"")</f>
        <v/>
      </c>
    </row>
    <row r="252">
      <c r="A252" s="15" t="n">
        <v>4</v>
      </c>
      <c r="B252" s="15" t="inlineStr">
        <is>
          <t>F184467</t>
        </is>
      </c>
      <c r="C252" s="15" t="inlineStr">
        <is>
          <t>1462/26/05</t>
        </is>
      </c>
      <c r="D252" s="15" t="inlineStr">
        <is>
          <t>Vigo trgovina d.o.o.</t>
        </is>
      </c>
      <c r="E252" s="15" t="inlineStr">
        <is>
          <t>LV</t>
        </is>
      </c>
      <c r="F252" s="15" t="inlineStr">
        <is>
          <t>0.6/1 KV 4X10</t>
        </is>
      </c>
      <c r="G252" s="15" t="inlineStr">
        <is>
          <t>EX13</t>
        </is>
      </c>
      <c r="H252" s="15" t="inlineStr">
        <is>
          <t>Wooden Drums</t>
        </is>
      </c>
      <c r="I252" s="15" t="inlineStr">
        <is>
          <t>OK</t>
        </is>
      </c>
      <c r="J252" s="15" t="inlineStr">
        <is>
          <t>C</t>
        </is>
      </c>
      <c r="K252" s="15" t="inlineStr">
        <is>
          <t>Y</t>
        </is>
      </c>
      <c r="L252" s="15" t="n">
        <v>520</v>
      </c>
      <c r="M252" s="16" t="n">
        <v>0.18408</v>
      </c>
      <c r="N252" s="16" t="n">
        <v>0</v>
      </c>
      <c r="O252" s="16" t="n">
        <v>0</v>
      </c>
      <c r="P252" s="16" t="n">
        <v>0.18408</v>
      </c>
      <c r="Q252">
        <f>--($A252=IF('الداشبورد'!$B$5="الكل",$A252,'الداشبورد'!$B$5))</f>
        <v/>
      </c>
      <c r="R252">
        <f>--($E252=IF('الداشبورد'!$B$6="الكل",$E252,'الداشبورد'!$B$6))</f>
        <v/>
      </c>
      <c r="S252">
        <f>--($K252=IF('الداشبورد'!$B$7="الكل",$K252,IF('الداشبورد'!$B$7="تصدير","Y","N")))</f>
        <v/>
      </c>
      <c r="T252">
        <f>--($J252=IF('الداشبورد'!$B$8="الكل",$J252,IF('الداشبورد'!$B$8="AL","A","C")))</f>
        <v/>
      </c>
      <c r="U252">
        <f>--($I252=IF('الداشبورد'!$B$9="الكل",$I252,IF('الداشبورد'!$B$9="بدون حالة","P",'الداشبورد'!$B$9)))</f>
        <v/>
      </c>
      <c r="V252">
        <f>--($D252=IF('الداشبورد'!$B$10="الكل",$D252,'الداشبورد'!$B$10))</f>
        <v/>
      </c>
      <c r="W252">
        <f>--($G252=IF('الداشبورد'!$B$11="الكل",$G252,'الداشبورد'!$B$11))</f>
        <v/>
      </c>
      <c r="X252">
        <f>Q252*R252*S252*T252*U252*V252*W252*--($C252&lt;&gt;"")</f>
        <v/>
      </c>
    </row>
    <row r="253">
      <c r="A253" s="15" t="n">
        <v>4</v>
      </c>
      <c r="B253" s="15" t="inlineStr">
        <is>
          <t>F184468</t>
        </is>
      </c>
      <c r="C253" s="15" t="inlineStr">
        <is>
          <t>1462/26/05</t>
        </is>
      </c>
      <c r="D253" s="15" t="inlineStr">
        <is>
          <t>Vigo trgovina d.o.o.</t>
        </is>
      </c>
      <c r="E253" s="15" t="inlineStr">
        <is>
          <t>LV</t>
        </is>
      </c>
      <c r="F253" s="15" t="inlineStr">
        <is>
          <t>0.6/1 KV 4X10</t>
        </is>
      </c>
      <c r="G253" s="15" t="inlineStr">
        <is>
          <t>EX13</t>
        </is>
      </c>
      <c r="H253" s="15" t="inlineStr">
        <is>
          <t>Wooden Drums</t>
        </is>
      </c>
      <c r="I253" s="15" t="inlineStr">
        <is>
          <t>OK</t>
        </is>
      </c>
      <c r="J253" s="15" t="inlineStr">
        <is>
          <t>C</t>
        </is>
      </c>
      <c r="K253" s="15" t="inlineStr">
        <is>
          <t>Y</t>
        </is>
      </c>
      <c r="L253" s="15" t="n">
        <v>520</v>
      </c>
      <c r="M253" s="16" t="n">
        <v>0.18408</v>
      </c>
      <c r="N253" s="16" t="n">
        <v>0</v>
      </c>
      <c r="O253" s="16" t="n">
        <v>0</v>
      </c>
      <c r="P253" s="16" t="n">
        <v>0.18408</v>
      </c>
      <c r="Q253">
        <f>--($A253=IF('الداشبورد'!$B$5="الكل",$A253,'الداشبورد'!$B$5))</f>
        <v/>
      </c>
      <c r="R253">
        <f>--($E253=IF('الداشبورد'!$B$6="الكل",$E253,'الداشبورد'!$B$6))</f>
        <v/>
      </c>
      <c r="S253">
        <f>--($K253=IF('الداشبورد'!$B$7="الكل",$K253,IF('الداشبورد'!$B$7="تصدير","Y","N")))</f>
        <v/>
      </c>
      <c r="T253">
        <f>--($J253=IF('الداشبورد'!$B$8="الكل",$J253,IF('الداشبورد'!$B$8="AL","A","C")))</f>
        <v/>
      </c>
      <c r="U253">
        <f>--($I253=IF('الداشبورد'!$B$9="الكل",$I253,IF('الداشبورد'!$B$9="بدون حالة","P",'الداشبورد'!$B$9)))</f>
        <v/>
      </c>
      <c r="V253">
        <f>--($D253=IF('الداشبورد'!$B$10="الكل",$D253,'الداشبورد'!$B$10))</f>
        <v/>
      </c>
      <c r="W253">
        <f>--($G253=IF('الداشبورد'!$B$11="الكل",$G253,'الداشبورد'!$B$11))</f>
        <v/>
      </c>
      <c r="X253">
        <f>Q253*R253*S253*T253*U253*V253*W253*--($C253&lt;&gt;"")</f>
        <v/>
      </c>
    </row>
    <row r="254">
      <c r="A254" s="15" t="n">
        <v>4</v>
      </c>
      <c r="B254" s="15" t="inlineStr">
        <is>
          <t>F184470</t>
        </is>
      </c>
      <c r="C254" s="15" t="inlineStr">
        <is>
          <t>1462/26/05</t>
        </is>
      </c>
      <c r="D254" s="15" t="inlineStr">
        <is>
          <t>Vigo trgovina d.o.o.</t>
        </is>
      </c>
      <c r="E254" s="15" t="inlineStr">
        <is>
          <t>LV</t>
        </is>
      </c>
      <c r="F254" s="15" t="inlineStr">
        <is>
          <t>0.6/1 KV 4X10</t>
        </is>
      </c>
      <c r="G254" s="15" t="inlineStr">
        <is>
          <t>EX13</t>
        </is>
      </c>
      <c r="H254" s="15" t="inlineStr">
        <is>
          <t>Wooden Drums</t>
        </is>
      </c>
      <c r="I254" s="15" t="inlineStr">
        <is>
          <t>OK</t>
        </is>
      </c>
      <c r="J254" s="15" t="inlineStr">
        <is>
          <t>C</t>
        </is>
      </c>
      <c r="K254" s="15" t="inlineStr">
        <is>
          <t>Y</t>
        </is>
      </c>
      <c r="L254" s="15" t="n">
        <v>525</v>
      </c>
      <c r="M254" s="16" t="n">
        <v>0.18585</v>
      </c>
      <c r="N254" s="16" t="n">
        <v>0</v>
      </c>
      <c r="O254" s="16" t="n">
        <v>0</v>
      </c>
      <c r="P254" s="16" t="n">
        <v>0.18585</v>
      </c>
      <c r="Q254">
        <f>--($A254=IF('الداشبورد'!$B$5="الكل",$A254,'الداشبورد'!$B$5))</f>
        <v/>
      </c>
      <c r="R254">
        <f>--($E254=IF('الداشبورد'!$B$6="الكل",$E254,'الداشبورد'!$B$6))</f>
        <v/>
      </c>
      <c r="S254">
        <f>--($K254=IF('الداشبورد'!$B$7="الكل",$K254,IF('الداشبورد'!$B$7="تصدير","Y","N")))</f>
        <v/>
      </c>
      <c r="T254">
        <f>--($J254=IF('الداشبورد'!$B$8="الكل",$J254,IF('الداشبورد'!$B$8="AL","A","C")))</f>
        <v/>
      </c>
      <c r="U254">
        <f>--($I254=IF('الداشبورد'!$B$9="الكل",$I254,IF('الداشبورد'!$B$9="بدون حالة","P",'الداشبورد'!$B$9)))</f>
        <v/>
      </c>
      <c r="V254">
        <f>--($D254=IF('الداشبورد'!$B$10="الكل",$D254,'الداشبورد'!$B$10))</f>
        <v/>
      </c>
      <c r="W254">
        <f>--($G254=IF('الداشبورد'!$B$11="الكل",$G254,'الداشبورد'!$B$11))</f>
        <v/>
      </c>
      <c r="X254">
        <f>Q254*R254*S254*T254*U254*V254*W254*--($C254&lt;&gt;"")</f>
        <v/>
      </c>
    </row>
    <row r="255">
      <c r="A255" s="15" t="n">
        <v>4</v>
      </c>
      <c r="B255" s="15" t="inlineStr">
        <is>
          <t>F184549</t>
        </is>
      </c>
      <c r="C255" s="15" t="inlineStr">
        <is>
          <t>1469/26/01</t>
        </is>
      </c>
      <c r="D255" s="15" t="inlineStr">
        <is>
          <t>Vigo trgovina d.o.o.</t>
        </is>
      </c>
      <c r="E255" s="15" t="inlineStr">
        <is>
          <t>LV</t>
        </is>
      </c>
      <c r="F255" s="15" t="inlineStr">
        <is>
          <t>0.6/1 KV 5X10</t>
        </is>
      </c>
      <c r="G255" s="15" t="inlineStr">
        <is>
          <t>EX13</t>
        </is>
      </c>
      <c r="H255" s="15" t="inlineStr">
        <is>
          <t>Wooden Drums</t>
        </is>
      </c>
      <c r="I255" s="15" t="inlineStr">
        <is>
          <t>OK</t>
        </is>
      </c>
      <c r="J255" s="15" t="inlineStr">
        <is>
          <t>C</t>
        </is>
      </c>
      <c r="K255" s="15" t="inlineStr">
        <is>
          <t>Y</t>
        </is>
      </c>
      <c r="L255" s="15" t="n">
        <v>502</v>
      </c>
      <c r="M255" s="16" t="n">
        <v>0.227406</v>
      </c>
      <c r="N255" s="16" t="n">
        <v>0</v>
      </c>
      <c r="O255" s="16" t="n">
        <v>0</v>
      </c>
      <c r="P255" s="16" t="n">
        <v>0.227406</v>
      </c>
      <c r="Q255">
        <f>--($A255=IF('الداشبورد'!$B$5="الكل",$A255,'الداشبورد'!$B$5))</f>
        <v/>
      </c>
      <c r="R255">
        <f>--($E255=IF('الداشبورد'!$B$6="الكل",$E255,'الداشبورد'!$B$6))</f>
        <v/>
      </c>
      <c r="S255">
        <f>--($K255=IF('الداشبورد'!$B$7="الكل",$K255,IF('الداشبورد'!$B$7="تصدير","Y","N")))</f>
        <v/>
      </c>
      <c r="T255">
        <f>--($J255=IF('الداشبورد'!$B$8="الكل",$J255,IF('الداشبورد'!$B$8="AL","A","C")))</f>
        <v/>
      </c>
      <c r="U255">
        <f>--($I255=IF('الداشبورد'!$B$9="الكل",$I255,IF('الداشبورد'!$B$9="بدون حالة","P",'الداشبورد'!$B$9)))</f>
        <v/>
      </c>
      <c r="V255">
        <f>--($D255=IF('الداشبورد'!$B$10="الكل",$D255,'الداشبورد'!$B$10))</f>
        <v/>
      </c>
      <c r="W255">
        <f>--($G255=IF('الداشبورد'!$B$11="الكل",$G255,'الداشبورد'!$B$11))</f>
        <v/>
      </c>
      <c r="X255">
        <f>Q255*R255*S255*T255*U255*V255*W255*--($C255&lt;&gt;"")</f>
        <v/>
      </c>
    </row>
    <row r="256">
      <c r="A256" s="15" t="n">
        <v>4</v>
      </c>
      <c r="B256" s="15" t="inlineStr">
        <is>
          <t>F184547</t>
        </is>
      </c>
      <c r="C256" s="15" t="inlineStr">
        <is>
          <t>1469/26/01</t>
        </is>
      </c>
      <c r="D256" s="15" t="inlineStr">
        <is>
          <t>Vigo trgovina d.o.o.</t>
        </is>
      </c>
      <c r="E256" s="15" t="inlineStr">
        <is>
          <t>LV</t>
        </is>
      </c>
      <c r="F256" s="15" t="inlineStr">
        <is>
          <t>0.6/1 KV 5X10</t>
        </is>
      </c>
      <c r="G256" s="15" t="inlineStr">
        <is>
          <t>EX13</t>
        </is>
      </c>
      <c r="H256" s="15" t="inlineStr">
        <is>
          <t>Wooden Drums</t>
        </is>
      </c>
      <c r="I256" s="15" t="inlineStr">
        <is>
          <t>OK</t>
        </is>
      </c>
      <c r="J256" s="15" t="inlineStr">
        <is>
          <t>C</t>
        </is>
      </c>
      <c r="K256" s="15" t="inlineStr">
        <is>
          <t>Y</t>
        </is>
      </c>
      <c r="L256" s="15" t="n">
        <v>502</v>
      </c>
      <c r="M256" s="16" t="n">
        <v>0.227406</v>
      </c>
      <c r="N256" s="16" t="n">
        <v>0</v>
      </c>
      <c r="O256" s="16" t="n">
        <v>0</v>
      </c>
      <c r="P256" s="16" t="n">
        <v>0.227406</v>
      </c>
      <c r="Q256">
        <f>--($A256=IF('الداشبورد'!$B$5="الكل",$A256,'الداشبورد'!$B$5))</f>
        <v/>
      </c>
      <c r="R256">
        <f>--($E256=IF('الداشبورد'!$B$6="الكل",$E256,'الداشبورد'!$B$6))</f>
        <v/>
      </c>
      <c r="S256">
        <f>--($K256=IF('الداشبورد'!$B$7="الكل",$K256,IF('الداشبورد'!$B$7="تصدير","Y","N")))</f>
        <v/>
      </c>
      <c r="T256">
        <f>--($J256=IF('الداشبورد'!$B$8="الكل",$J256,IF('الداشبورد'!$B$8="AL","A","C")))</f>
        <v/>
      </c>
      <c r="U256">
        <f>--($I256=IF('الداشبورد'!$B$9="الكل",$I256,IF('الداشبورد'!$B$9="بدون حالة","P",'الداشبورد'!$B$9)))</f>
        <v/>
      </c>
      <c r="V256">
        <f>--($D256=IF('الداشبورد'!$B$10="الكل",$D256,'الداشبورد'!$B$10))</f>
        <v/>
      </c>
      <c r="W256">
        <f>--($G256=IF('الداشبورد'!$B$11="الكل",$G256,'الداشبورد'!$B$11))</f>
        <v/>
      </c>
      <c r="X256">
        <f>Q256*R256*S256*T256*U256*V256*W256*--($C256&lt;&gt;"")</f>
        <v/>
      </c>
    </row>
    <row r="257">
      <c r="A257" s="15" t="n">
        <v>4</v>
      </c>
      <c r="B257" s="15" t="inlineStr">
        <is>
          <t>F184551</t>
        </is>
      </c>
      <c r="C257" s="15" t="inlineStr">
        <is>
          <t>1469/26/01</t>
        </is>
      </c>
      <c r="D257" s="15" t="inlineStr">
        <is>
          <t>Vigo trgovina d.o.o.</t>
        </is>
      </c>
      <c r="E257" s="15" t="inlineStr">
        <is>
          <t>LV</t>
        </is>
      </c>
      <c r="F257" s="15" t="inlineStr">
        <is>
          <t>0.6/1 KV 5X10</t>
        </is>
      </c>
      <c r="G257" s="15" t="inlineStr">
        <is>
          <t>EX13</t>
        </is>
      </c>
      <c r="H257" s="15" t="inlineStr">
        <is>
          <t>Wooden Drums</t>
        </is>
      </c>
      <c r="I257" s="15" t="inlineStr">
        <is>
          <t>OK</t>
        </is>
      </c>
      <c r="J257" s="15" t="inlineStr">
        <is>
          <t>C</t>
        </is>
      </c>
      <c r="K257" s="15" t="inlineStr">
        <is>
          <t>Y</t>
        </is>
      </c>
      <c r="L257" s="15" t="n">
        <v>502</v>
      </c>
      <c r="M257" s="16" t="n">
        <v>0.227406</v>
      </c>
      <c r="N257" s="16" t="n">
        <v>0</v>
      </c>
      <c r="O257" s="16" t="n">
        <v>0</v>
      </c>
      <c r="P257" s="16" t="n">
        <v>0.227406</v>
      </c>
      <c r="Q257">
        <f>--($A257=IF('الداشبورد'!$B$5="الكل",$A257,'الداشبورد'!$B$5))</f>
        <v/>
      </c>
      <c r="R257">
        <f>--($E257=IF('الداشبورد'!$B$6="الكل",$E257,'الداشبورد'!$B$6))</f>
        <v/>
      </c>
      <c r="S257">
        <f>--($K257=IF('الداشبورد'!$B$7="الكل",$K257,IF('الداشبورد'!$B$7="تصدير","Y","N")))</f>
        <v/>
      </c>
      <c r="T257">
        <f>--($J257=IF('الداشبورد'!$B$8="الكل",$J257,IF('الداشبورد'!$B$8="AL","A","C")))</f>
        <v/>
      </c>
      <c r="U257">
        <f>--($I257=IF('الداشبورد'!$B$9="الكل",$I257,IF('الداشبورد'!$B$9="بدون حالة","P",'الداشبورد'!$B$9)))</f>
        <v/>
      </c>
      <c r="V257">
        <f>--($D257=IF('الداشبورد'!$B$10="الكل",$D257,'الداشبورد'!$B$10))</f>
        <v/>
      </c>
      <c r="W257">
        <f>--($G257=IF('الداشبورد'!$B$11="الكل",$G257,'الداشبورد'!$B$11))</f>
        <v/>
      </c>
      <c r="X257">
        <f>Q257*R257*S257*T257*U257*V257*W257*--($C257&lt;&gt;"")</f>
        <v/>
      </c>
    </row>
    <row r="258">
      <c r="A258" s="15" t="n">
        <v>4</v>
      </c>
      <c r="B258" s="15" t="inlineStr">
        <is>
          <t>F184550</t>
        </is>
      </c>
      <c r="C258" s="15" t="inlineStr">
        <is>
          <t>1469/26/01</t>
        </is>
      </c>
      <c r="D258" s="15" t="inlineStr">
        <is>
          <t>Vigo trgovina d.o.o.</t>
        </is>
      </c>
      <c r="E258" s="15" t="inlineStr">
        <is>
          <t>LV</t>
        </is>
      </c>
      <c r="F258" s="15" t="inlineStr">
        <is>
          <t>0.6/1 KV 5X10</t>
        </is>
      </c>
      <c r="G258" s="15" t="inlineStr">
        <is>
          <t>EX13</t>
        </is>
      </c>
      <c r="H258" s="15" t="inlineStr">
        <is>
          <t>Wooden Drums</t>
        </is>
      </c>
      <c r="I258" s="15" t="inlineStr">
        <is>
          <t>OK</t>
        </is>
      </c>
      <c r="J258" s="15" t="inlineStr">
        <is>
          <t>C</t>
        </is>
      </c>
      <c r="K258" s="15" t="inlineStr">
        <is>
          <t>Y</t>
        </is>
      </c>
      <c r="L258" s="15" t="n">
        <v>502</v>
      </c>
      <c r="M258" s="16" t="n">
        <v>0.227406</v>
      </c>
      <c r="N258" s="16" t="n">
        <v>0</v>
      </c>
      <c r="O258" s="16" t="n">
        <v>0</v>
      </c>
      <c r="P258" s="16" t="n">
        <v>0.227406</v>
      </c>
      <c r="Q258">
        <f>--($A258=IF('الداشبورد'!$B$5="الكل",$A258,'الداشبورد'!$B$5))</f>
        <v/>
      </c>
      <c r="R258">
        <f>--($E258=IF('الداشبورد'!$B$6="الكل",$E258,'الداشبورد'!$B$6))</f>
        <v/>
      </c>
      <c r="S258">
        <f>--($K258=IF('الداشبورد'!$B$7="الكل",$K258,IF('الداشبورد'!$B$7="تصدير","Y","N")))</f>
        <v/>
      </c>
      <c r="T258">
        <f>--($J258=IF('الداشبورد'!$B$8="الكل",$J258,IF('الداشبورد'!$B$8="AL","A","C")))</f>
        <v/>
      </c>
      <c r="U258">
        <f>--($I258=IF('الداشبورد'!$B$9="الكل",$I258,IF('الداشبورد'!$B$9="بدون حالة","P",'الداشبورد'!$B$9)))</f>
        <v/>
      </c>
      <c r="V258">
        <f>--($D258=IF('الداشبورد'!$B$10="الكل",$D258,'الداشبورد'!$B$10))</f>
        <v/>
      </c>
      <c r="W258">
        <f>--($G258=IF('الداشبورد'!$B$11="الكل",$G258,'الداشبورد'!$B$11))</f>
        <v/>
      </c>
      <c r="X258">
        <f>Q258*R258*S258*T258*U258*V258*W258*--($C258&lt;&gt;"")</f>
        <v/>
      </c>
    </row>
    <row r="259">
      <c r="A259" s="15" t="n">
        <v>4</v>
      </c>
      <c r="B259" s="15" t="inlineStr">
        <is>
          <t>F184548</t>
        </is>
      </c>
      <c r="C259" s="15" t="inlineStr">
        <is>
          <t>1469/26/01</t>
        </is>
      </c>
      <c r="D259" s="15" t="inlineStr">
        <is>
          <t>Vigo trgovina d.o.o.</t>
        </is>
      </c>
      <c r="E259" s="15" t="inlineStr">
        <is>
          <t>LV</t>
        </is>
      </c>
      <c r="F259" s="15" t="inlineStr">
        <is>
          <t>0.6/1 KV 5X10</t>
        </is>
      </c>
      <c r="G259" s="15" t="inlineStr">
        <is>
          <t>EX13</t>
        </is>
      </c>
      <c r="H259" s="15" t="inlineStr">
        <is>
          <t>Wooden Drums</t>
        </is>
      </c>
      <c r="I259" s="15" t="inlineStr">
        <is>
          <t>OK</t>
        </is>
      </c>
      <c r="J259" s="15" t="inlineStr">
        <is>
          <t>C</t>
        </is>
      </c>
      <c r="K259" s="15" t="inlineStr">
        <is>
          <t>Y</t>
        </is>
      </c>
      <c r="L259" s="15" t="n">
        <v>503</v>
      </c>
      <c r="M259" s="16" t="n">
        <v>0.227859</v>
      </c>
      <c r="N259" s="16" t="n">
        <v>0</v>
      </c>
      <c r="O259" s="16" t="n">
        <v>0</v>
      </c>
      <c r="P259" s="16" t="n">
        <v>0.227859</v>
      </c>
      <c r="Q259">
        <f>--($A259=IF('الداشبورد'!$B$5="الكل",$A259,'الداشبورد'!$B$5))</f>
        <v/>
      </c>
      <c r="R259">
        <f>--($E259=IF('الداشبورد'!$B$6="الكل",$E259,'الداشبورد'!$B$6))</f>
        <v/>
      </c>
      <c r="S259">
        <f>--($K259=IF('الداشبورد'!$B$7="الكل",$K259,IF('الداشبورد'!$B$7="تصدير","Y","N")))</f>
        <v/>
      </c>
      <c r="T259">
        <f>--($J259=IF('الداشبورد'!$B$8="الكل",$J259,IF('الداشبورد'!$B$8="AL","A","C")))</f>
        <v/>
      </c>
      <c r="U259">
        <f>--($I259=IF('الداشبورد'!$B$9="الكل",$I259,IF('الداشبورد'!$B$9="بدون حالة","P",'الداشبورد'!$B$9)))</f>
        <v/>
      </c>
      <c r="V259">
        <f>--($D259=IF('الداشبورد'!$B$10="الكل",$D259,'الداشبورد'!$B$10))</f>
        <v/>
      </c>
      <c r="W259">
        <f>--($G259=IF('الداشبورد'!$B$11="الكل",$G259,'الداشبورد'!$B$11))</f>
        <v/>
      </c>
      <c r="X259">
        <f>Q259*R259*S259*T259*U259*V259*W259*--($C259&lt;&gt;"")</f>
        <v/>
      </c>
    </row>
    <row r="260">
      <c r="A260" s="15" t="n">
        <v>4</v>
      </c>
      <c r="B260" s="15" t="inlineStr">
        <is>
          <t>F184546</t>
        </is>
      </c>
      <c r="C260" s="15" t="inlineStr">
        <is>
          <t>1469/26/01</t>
        </is>
      </c>
      <c r="D260" s="15" t="inlineStr">
        <is>
          <t>Vigo trgovina d.o.o.</t>
        </is>
      </c>
      <c r="E260" s="15" t="inlineStr">
        <is>
          <t>LV</t>
        </is>
      </c>
      <c r="F260" s="15" t="inlineStr">
        <is>
          <t>0.6/1 KV 5X10</t>
        </is>
      </c>
      <c r="G260" s="15" t="inlineStr">
        <is>
          <t>EX13</t>
        </is>
      </c>
      <c r="H260" s="15" t="inlineStr">
        <is>
          <t>Wooden Drums</t>
        </is>
      </c>
      <c r="I260" s="15" t="inlineStr">
        <is>
          <t>OK</t>
        </is>
      </c>
      <c r="J260" s="15" t="inlineStr">
        <is>
          <t>C</t>
        </is>
      </c>
      <c r="K260" s="15" t="inlineStr">
        <is>
          <t>Y</t>
        </is>
      </c>
      <c r="L260" s="15" t="n">
        <v>502</v>
      </c>
      <c r="M260" s="16" t="n">
        <v>0.227406</v>
      </c>
      <c r="N260" s="16" t="n">
        <v>0</v>
      </c>
      <c r="O260" s="16" t="n">
        <v>0</v>
      </c>
      <c r="P260" s="16" t="n">
        <v>0.227406</v>
      </c>
      <c r="Q260">
        <f>--($A260=IF('الداشبورد'!$B$5="الكل",$A260,'الداشبورد'!$B$5))</f>
        <v/>
      </c>
      <c r="R260">
        <f>--($E260=IF('الداشبورد'!$B$6="الكل",$E260,'الداشبورد'!$B$6))</f>
        <v/>
      </c>
      <c r="S260">
        <f>--($K260=IF('الداشبورد'!$B$7="الكل",$K260,IF('الداشبورد'!$B$7="تصدير","Y","N")))</f>
        <v/>
      </c>
      <c r="T260">
        <f>--($J260=IF('الداشبورد'!$B$8="الكل",$J260,IF('الداشبورد'!$B$8="AL","A","C")))</f>
        <v/>
      </c>
      <c r="U260">
        <f>--($I260=IF('الداشبورد'!$B$9="الكل",$I260,IF('الداشبورد'!$B$9="بدون حالة","P",'الداشبورد'!$B$9)))</f>
        <v/>
      </c>
      <c r="V260">
        <f>--($D260=IF('الداشبورد'!$B$10="الكل",$D260,'الداشبورد'!$B$10))</f>
        <v/>
      </c>
      <c r="W260">
        <f>--($G260=IF('الداشبورد'!$B$11="الكل",$G260,'الداشبورد'!$B$11))</f>
        <v/>
      </c>
      <c r="X260">
        <f>Q260*R260*S260*T260*U260*V260*W260*--($C260&lt;&gt;"")</f>
        <v/>
      </c>
    </row>
    <row r="261">
      <c r="A261" s="15" t="n">
        <v>4</v>
      </c>
      <c r="B261" s="15" t="inlineStr">
        <is>
          <t>F184561</t>
        </is>
      </c>
      <c r="C261" s="15" t="inlineStr">
        <is>
          <t>1469/26/01</t>
        </is>
      </c>
      <c r="D261" s="15" t="inlineStr">
        <is>
          <t>Vigo trgovina d.o.o.</t>
        </is>
      </c>
      <c r="E261" s="15" t="inlineStr">
        <is>
          <t>LV</t>
        </is>
      </c>
      <c r="F261" s="15" t="inlineStr">
        <is>
          <t>0.6/1 KV 5X10</t>
        </is>
      </c>
      <c r="G261" s="15" t="inlineStr">
        <is>
          <t>EX13</t>
        </is>
      </c>
      <c r="H261" s="15" t="inlineStr">
        <is>
          <t>Wooden Drums</t>
        </is>
      </c>
      <c r="I261" s="15" t="inlineStr">
        <is>
          <t>OK</t>
        </is>
      </c>
      <c r="J261" s="15" t="inlineStr">
        <is>
          <t>C</t>
        </is>
      </c>
      <c r="K261" s="15" t="inlineStr">
        <is>
          <t>Y</t>
        </is>
      </c>
      <c r="L261" s="15" t="n">
        <v>502</v>
      </c>
      <c r="M261" s="16" t="n">
        <v>0.227406</v>
      </c>
      <c r="N261" s="16" t="n">
        <v>0</v>
      </c>
      <c r="O261" s="16" t="n">
        <v>0</v>
      </c>
      <c r="P261" s="16" t="n">
        <v>0.227406</v>
      </c>
      <c r="Q261">
        <f>--($A261=IF('الداشبورد'!$B$5="الكل",$A261,'الداشبورد'!$B$5))</f>
        <v/>
      </c>
      <c r="R261">
        <f>--($E261=IF('الداشبورد'!$B$6="الكل",$E261,'الداشبورد'!$B$6))</f>
        <v/>
      </c>
      <c r="S261">
        <f>--($K261=IF('الداشبورد'!$B$7="الكل",$K261,IF('الداشبورد'!$B$7="تصدير","Y","N")))</f>
        <v/>
      </c>
      <c r="T261">
        <f>--($J261=IF('الداشبورد'!$B$8="الكل",$J261,IF('الداشبورد'!$B$8="AL","A","C")))</f>
        <v/>
      </c>
      <c r="U261">
        <f>--($I261=IF('الداشبورد'!$B$9="الكل",$I261,IF('الداشبورد'!$B$9="بدون حالة","P",'الداشبورد'!$B$9)))</f>
        <v/>
      </c>
      <c r="V261">
        <f>--($D261=IF('الداشبورد'!$B$10="الكل",$D261,'الداشبورد'!$B$10))</f>
        <v/>
      </c>
      <c r="W261">
        <f>--($G261=IF('الداشبورد'!$B$11="الكل",$G261,'الداشبورد'!$B$11))</f>
        <v/>
      </c>
      <c r="X261">
        <f>Q261*R261*S261*T261*U261*V261*W261*--($C261&lt;&gt;"")</f>
        <v/>
      </c>
    </row>
    <row r="262">
      <c r="A262" s="15" t="n">
        <v>4</v>
      </c>
      <c r="B262" s="15" t="inlineStr">
        <is>
          <t>F184558</t>
        </is>
      </c>
      <c r="C262" s="15" t="inlineStr">
        <is>
          <t>1469/26/01</t>
        </is>
      </c>
      <c r="D262" s="15" t="inlineStr">
        <is>
          <t>Vigo trgovina d.o.o.</t>
        </is>
      </c>
      <c r="E262" s="15" t="inlineStr">
        <is>
          <t>LV</t>
        </is>
      </c>
      <c r="F262" s="15" t="inlineStr">
        <is>
          <t>0.6/1 KV 5X10</t>
        </is>
      </c>
      <c r="G262" s="15" t="inlineStr">
        <is>
          <t>EX13</t>
        </is>
      </c>
      <c r="H262" s="15" t="inlineStr">
        <is>
          <t>Wooden Drums</t>
        </is>
      </c>
      <c r="I262" s="15" t="inlineStr">
        <is>
          <t>OK</t>
        </is>
      </c>
      <c r="J262" s="15" t="inlineStr">
        <is>
          <t>C</t>
        </is>
      </c>
      <c r="K262" s="15" t="inlineStr">
        <is>
          <t>Y</t>
        </is>
      </c>
      <c r="L262" s="15" t="n">
        <v>502</v>
      </c>
      <c r="M262" s="16" t="n">
        <v>0.227406</v>
      </c>
      <c r="N262" s="16" t="n">
        <v>0</v>
      </c>
      <c r="O262" s="16" t="n">
        <v>0</v>
      </c>
      <c r="P262" s="16" t="n">
        <v>0.227406</v>
      </c>
      <c r="Q262">
        <f>--($A262=IF('الداشبورد'!$B$5="الكل",$A262,'الداشبورد'!$B$5))</f>
        <v/>
      </c>
      <c r="R262">
        <f>--($E262=IF('الداشبورد'!$B$6="الكل",$E262,'الداشبورد'!$B$6))</f>
        <v/>
      </c>
      <c r="S262">
        <f>--($K262=IF('الداشبورد'!$B$7="الكل",$K262,IF('الداشبورد'!$B$7="تصدير","Y","N")))</f>
        <v/>
      </c>
      <c r="T262">
        <f>--($J262=IF('الداشبورد'!$B$8="الكل",$J262,IF('الداشبورد'!$B$8="AL","A","C")))</f>
        <v/>
      </c>
      <c r="U262">
        <f>--($I262=IF('الداشبورد'!$B$9="الكل",$I262,IF('الداشبورد'!$B$9="بدون حالة","P",'الداشبورد'!$B$9)))</f>
        <v/>
      </c>
      <c r="V262">
        <f>--($D262=IF('الداشبورد'!$B$10="الكل",$D262,'الداشبورد'!$B$10))</f>
        <v/>
      </c>
      <c r="W262">
        <f>--($G262=IF('الداشبورد'!$B$11="الكل",$G262,'الداشبورد'!$B$11))</f>
        <v/>
      </c>
      <c r="X262">
        <f>Q262*R262*S262*T262*U262*V262*W262*--($C262&lt;&gt;"")</f>
        <v/>
      </c>
    </row>
    <row r="263">
      <c r="A263" s="15" t="n">
        <v>4</v>
      </c>
      <c r="B263" s="15" t="inlineStr">
        <is>
          <t>F184560</t>
        </is>
      </c>
      <c r="C263" s="15" t="inlineStr">
        <is>
          <t>1469/26/01</t>
        </is>
      </c>
      <c r="D263" s="15" t="inlineStr">
        <is>
          <t>Vigo trgovina d.o.o.</t>
        </is>
      </c>
      <c r="E263" s="15" t="inlineStr">
        <is>
          <t>LV</t>
        </is>
      </c>
      <c r="F263" s="15" t="inlineStr">
        <is>
          <t>0.6/1 KV 5X10</t>
        </is>
      </c>
      <c r="G263" s="15" t="inlineStr">
        <is>
          <t>EX13</t>
        </is>
      </c>
      <c r="H263" s="15" t="inlineStr">
        <is>
          <t>Wooden Drums</t>
        </is>
      </c>
      <c r="I263" s="15" t="inlineStr">
        <is>
          <t>OK</t>
        </is>
      </c>
      <c r="J263" s="15" t="inlineStr">
        <is>
          <t>C</t>
        </is>
      </c>
      <c r="K263" s="15" t="inlineStr">
        <is>
          <t>Y</t>
        </is>
      </c>
      <c r="L263" s="15" t="n">
        <v>502</v>
      </c>
      <c r="M263" s="16" t="n">
        <v>0.227406</v>
      </c>
      <c r="N263" s="16" t="n">
        <v>0</v>
      </c>
      <c r="O263" s="16" t="n">
        <v>0</v>
      </c>
      <c r="P263" s="16" t="n">
        <v>0.227406</v>
      </c>
      <c r="Q263">
        <f>--($A263=IF('الداشبورد'!$B$5="الكل",$A263,'الداشبورد'!$B$5))</f>
        <v/>
      </c>
      <c r="R263">
        <f>--($E263=IF('الداشبورد'!$B$6="الكل",$E263,'الداشبورد'!$B$6))</f>
        <v/>
      </c>
      <c r="S263">
        <f>--($K263=IF('الداشبورد'!$B$7="الكل",$K263,IF('الداشبورد'!$B$7="تصدير","Y","N")))</f>
        <v/>
      </c>
      <c r="T263">
        <f>--($J263=IF('الداشبورد'!$B$8="الكل",$J263,IF('الداشبورد'!$B$8="AL","A","C")))</f>
        <v/>
      </c>
      <c r="U263">
        <f>--($I263=IF('الداشبورد'!$B$9="الكل",$I263,IF('الداشبورد'!$B$9="بدون حالة","P",'الداشبورد'!$B$9)))</f>
        <v/>
      </c>
      <c r="V263">
        <f>--($D263=IF('الداشبورد'!$B$10="الكل",$D263,'الداشبورد'!$B$10))</f>
        <v/>
      </c>
      <c r="W263">
        <f>--($G263=IF('الداشبورد'!$B$11="الكل",$G263,'الداشبورد'!$B$11))</f>
        <v/>
      </c>
      <c r="X263">
        <f>Q263*R263*S263*T263*U263*V263*W263*--($C263&lt;&gt;"")</f>
        <v/>
      </c>
    </row>
    <row r="264">
      <c r="A264" s="15" t="n">
        <v>4</v>
      </c>
      <c r="B264" s="15" t="inlineStr">
        <is>
          <t>F184559</t>
        </is>
      </c>
      <c r="C264" s="15" t="inlineStr">
        <is>
          <t>1469/26/01</t>
        </is>
      </c>
      <c r="D264" s="15" t="inlineStr">
        <is>
          <t>Vigo trgovina d.o.o.</t>
        </is>
      </c>
      <c r="E264" s="15" t="inlineStr">
        <is>
          <t>LV</t>
        </is>
      </c>
      <c r="F264" s="15" t="inlineStr">
        <is>
          <t>0.6/1 KV 5X10</t>
        </is>
      </c>
      <c r="G264" s="15" t="inlineStr">
        <is>
          <t>EX13</t>
        </is>
      </c>
      <c r="H264" s="15" t="inlineStr">
        <is>
          <t>Wooden Drums</t>
        </is>
      </c>
      <c r="I264" s="15" t="inlineStr">
        <is>
          <t>OK</t>
        </is>
      </c>
      <c r="J264" s="15" t="inlineStr">
        <is>
          <t>C</t>
        </is>
      </c>
      <c r="K264" s="15" t="inlineStr">
        <is>
          <t>Y</t>
        </is>
      </c>
      <c r="L264" s="15" t="n">
        <v>502</v>
      </c>
      <c r="M264" s="16" t="n">
        <v>0.227406</v>
      </c>
      <c r="N264" s="16" t="n">
        <v>0</v>
      </c>
      <c r="O264" s="16" t="n">
        <v>0</v>
      </c>
      <c r="P264" s="16" t="n">
        <v>0.227406</v>
      </c>
      <c r="Q264">
        <f>--($A264=IF('الداشبورد'!$B$5="الكل",$A264,'الداشبورد'!$B$5))</f>
        <v/>
      </c>
      <c r="R264">
        <f>--($E264=IF('الداشبورد'!$B$6="الكل",$E264,'الداشبورد'!$B$6))</f>
        <v/>
      </c>
      <c r="S264">
        <f>--($K264=IF('الداشبورد'!$B$7="الكل",$K264,IF('الداشبورد'!$B$7="تصدير","Y","N")))</f>
        <v/>
      </c>
      <c r="T264">
        <f>--($J264=IF('الداشبورد'!$B$8="الكل",$J264,IF('الداشبورد'!$B$8="AL","A","C")))</f>
        <v/>
      </c>
      <c r="U264">
        <f>--($I264=IF('الداشبورد'!$B$9="الكل",$I264,IF('الداشبورد'!$B$9="بدون حالة","P",'الداشبورد'!$B$9)))</f>
        <v/>
      </c>
      <c r="V264">
        <f>--($D264=IF('الداشبورد'!$B$10="الكل",$D264,'الداشبورد'!$B$10))</f>
        <v/>
      </c>
      <c r="W264">
        <f>--($G264=IF('الداشبورد'!$B$11="الكل",$G264,'الداشبورد'!$B$11))</f>
        <v/>
      </c>
      <c r="X264">
        <f>Q264*R264*S264*T264*U264*V264*W264*--($C264&lt;&gt;"")</f>
        <v/>
      </c>
    </row>
    <row r="265">
      <c r="A265" s="15" t="n">
        <v>4</v>
      </c>
      <c r="B265" s="15" t="inlineStr">
        <is>
          <t>F184563</t>
        </is>
      </c>
      <c r="C265" s="15" t="inlineStr">
        <is>
          <t>1469/26/01</t>
        </is>
      </c>
      <c r="D265" s="15" t="inlineStr">
        <is>
          <t>Vigo trgovina d.o.o.</t>
        </is>
      </c>
      <c r="E265" s="15" t="inlineStr">
        <is>
          <t>LV</t>
        </is>
      </c>
      <c r="F265" s="15" t="inlineStr">
        <is>
          <t>0.6/1 KV 5X10</t>
        </is>
      </c>
      <c r="G265" s="15" t="inlineStr">
        <is>
          <t>EX13</t>
        </is>
      </c>
      <c r="H265" s="15" t="inlineStr">
        <is>
          <t>Wooden Drums</t>
        </is>
      </c>
      <c r="I265" s="15" t="inlineStr">
        <is>
          <t>OK</t>
        </is>
      </c>
      <c r="J265" s="15" t="inlineStr">
        <is>
          <t>C</t>
        </is>
      </c>
      <c r="K265" s="15" t="inlineStr">
        <is>
          <t>Y</t>
        </is>
      </c>
      <c r="L265" s="15" t="n">
        <v>502</v>
      </c>
      <c r="M265" s="16" t="n">
        <v>0.227406</v>
      </c>
      <c r="N265" s="16" t="n">
        <v>0</v>
      </c>
      <c r="O265" s="16" t="n">
        <v>0</v>
      </c>
      <c r="P265" s="16" t="n">
        <v>0.227406</v>
      </c>
      <c r="Q265">
        <f>--($A265=IF('الداشبورد'!$B$5="الكل",$A265,'الداشبورد'!$B$5))</f>
        <v/>
      </c>
      <c r="R265">
        <f>--($E265=IF('الداشبورد'!$B$6="الكل",$E265,'الداشبورد'!$B$6))</f>
        <v/>
      </c>
      <c r="S265">
        <f>--($K265=IF('الداشبورد'!$B$7="الكل",$K265,IF('الداشبورد'!$B$7="تصدير","Y","N")))</f>
        <v/>
      </c>
      <c r="T265">
        <f>--($J265=IF('الداشبورد'!$B$8="الكل",$J265,IF('الداشبورد'!$B$8="AL","A","C")))</f>
        <v/>
      </c>
      <c r="U265">
        <f>--($I265=IF('الداشبورد'!$B$9="الكل",$I265,IF('الداشبورد'!$B$9="بدون حالة","P",'الداشبورد'!$B$9)))</f>
        <v/>
      </c>
      <c r="V265">
        <f>--($D265=IF('الداشبورد'!$B$10="الكل",$D265,'الداشبورد'!$B$10))</f>
        <v/>
      </c>
      <c r="W265">
        <f>--($G265=IF('الداشبورد'!$B$11="الكل",$G265,'الداشبورد'!$B$11))</f>
        <v/>
      </c>
      <c r="X265">
        <f>Q265*R265*S265*T265*U265*V265*W265*--($C265&lt;&gt;"")</f>
        <v/>
      </c>
    </row>
    <row r="266">
      <c r="A266" s="15" t="n">
        <v>4</v>
      </c>
      <c r="B266" s="15" t="inlineStr">
        <is>
          <t>F184562</t>
        </is>
      </c>
      <c r="C266" s="15" t="inlineStr">
        <is>
          <t>1469/26/01</t>
        </is>
      </c>
      <c r="D266" s="15" t="inlineStr">
        <is>
          <t>Vigo trgovina d.o.o.</t>
        </is>
      </c>
      <c r="E266" s="15" t="inlineStr">
        <is>
          <t>LV</t>
        </is>
      </c>
      <c r="F266" s="15" t="inlineStr">
        <is>
          <t>0.6/1 KV 5X10</t>
        </is>
      </c>
      <c r="G266" s="15" t="inlineStr">
        <is>
          <t>EX13</t>
        </is>
      </c>
      <c r="H266" s="15" t="inlineStr">
        <is>
          <t>Wooden Drums</t>
        </is>
      </c>
      <c r="I266" s="15" t="inlineStr">
        <is>
          <t>OK</t>
        </is>
      </c>
      <c r="J266" s="15" t="inlineStr">
        <is>
          <t>C</t>
        </is>
      </c>
      <c r="K266" s="15" t="inlineStr">
        <is>
          <t>Y</t>
        </is>
      </c>
      <c r="L266" s="15" t="n">
        <v>525</v>
      </c>
      <c r="M266" s="16" t="n">
        <v>0.237825</v>
      </c>
      <c r="N266" s="16" t="n">
        <v>0</v>
      </c>
      <c r="O266" s="16" t="n">
        <v>0</v>
      </c>
      <c r="P266" s="16" t="n">
        <v>0.237825</v>
      </c>
      <c r="Q266">
        <f>--($A266=IF('الداشبورد'!$B$5="الكل",$A266,'الداشبورد'!$B$5))</f>
        <v/>
      </c>
      <c r="R266">
        <f>--($E266=IF('الداشبورد'!$B$6="الكل",$E266,'الداشبورد'!$B$6))</f>
        <v/>
      </c>
      <c r="S266">
        <f>--($K266=IF('الداشبورد'!$B$7="الكل",$K266,IF('الداشبورد'!$B$7="تصدير","Y","N")))</f>
        <v/>
      </c>
      <c r="T266">
        <f>--($J266=IF('الداشبورد'!$B$8="الكل",$J266,IF('الداشبورد'!$B$8="AL","A","C")))</f>
        <v/>
      </c>
      <c r="U266">
        <f>--($I266=IF('الداشبورد'!$B$9="الكل",$I266,IF('الداشبورد'!$B$9="بدون حالة","P",'الداشبورد'!$B$9)))</f>
        <v/>
      </c>
      <c r="V266">
        <f>--($D266=IF('الداشبورد'!$B$10="الكل",$D266,'الداشبورد'!$B$10))</f>
        <v/>
      </c>
      <c r="W266">
        <f>--($G266=IF('الداشبورد'!$B$11="الكل",$G266,'الداشبورد'!$B$11))</f>
        <v/>
      </c>
      <c r="X266">
        <f>Q266*R266*S266*T266*U266*V266*W266*--($C266&lt;&gt;"")</f>
        <v/>
      </c>
    </row>
    <row r="267">
      <c r="A267" s="15" t="n">
        <v>4</v>
      </c>
      <c r="B267" s="15" t="inlineStr">
        <is>
          <t>C184342</t>
        </is>
      </c>
      <c r="C267" s="15" t="inlineStr">
        <is>
          <t>1303/26/02</t>
        </is>
      </c>
      <c r="D267" s="15" t="inlineStr">
        <is>
          <t>Tabarak Company For Engineering &amp; Construction</t>
        </is>
      </c>
      <c r="E267" s="15" t="inlineStr">
        <is>
          <t>CC</t>
        </is>
      </c>
      <c r="F267" s="15" t="inlineStr">
        <is>
          <t>0.6/1 KV 2X2.5</t>
        </is>
      </c>
      <c r="G267" s="15" t="inlineStr">
        <is>
          <t>EX14</t>
        </is>
      </c>
      <c r="H267" s="15" t="inlineStr">
        <is>
          <t>Wooden Drums</t>
        </is>
      </c>
      <c r="I267" s="15" t="inlineStr">
        <is>
          <t>OK</t>
        </is>
      </c>
      <c r="J267" s="15" t="inlineStr">
        <is>
          <t>C</t>
        </is>
      </c>
      <c r="K267" s="15" t="inlineStr">
        <is>
          <t>N</t>
        </is>
      </c>
      <c r="L267" s="15" t="n">
        <v>490</v>
      </c>
      <c r="M267" s="16" t="n">
        <v>0.02156</v>
      </c>
      <c r="N267" s="16" t="n">
        <v>0</v>
      </c>
      <c r="O267" s="16" t="n">
        <v>0</v>
      </c>
      <c r="P267" s="16" t="n">
        <v>0.02156</v>
      </c>
      <c r="Q267">
        <f>--($A267=IF('الداشبورد'!$B$5="الكل",$A267,'الداشبورد'!$B$5))</f>
        <v/>
      </c>
      <c r="R267">
        <f>--($E267=IF('الداشبورد'!$B$6="الكل",$E267,'الداشبورد'!$B$6))</f>
        <v/>
      </c>
      <c r="S267">
        <f>--($K267=IF('الداشبورد'!$B$7="الكل",$K267,IF('الداشبورد'!$B$7="تصدير","Y","N")))</f>
        <v/>
      </c>
      <c r="T267">
        <f>--($J267=IF('الداشبورد'!$B$8="الكل",$J267,IF('الداشبورد'!$B$8="AL","A","C")))</f>
        <v/>
      </c>
      <c r="U267">
        <f>--($I267=IF('الداشبورد'!$B$9="الكل",$I267,IF('الداشبورد'!$B$9="بدون حالة","P",'الداشبورد'!$B$9)))</f>
        <v/>
      </c>
      <c r="V267">
        <f>--($D267=IF('الداشبورد'!$B$10="الكل",$D267,'الداشبورد'!$B$10))</f>
        <v/>
      </c>
      <c r="W267">
        <f>--($G267=IF('الداشبورد'!$B$11="الكل",$G267,'الداشبورد'!$B$11))</f>
        <v/>
      </c>
      <c r="X267">
        <f>Q267*R267*S267*T267*U267*V267*W267*--($C267&lt;&gt;"")</f>
        <v/>
      </c>
    </row>
    <row r="268">
      <c r="A268" s="15" t="n">
        <v>4</v>
      </c>
      <c r="B268" s="15" t="inlineStr">
        <is>
          <t>C184340</t>
        </is>
      </c>
      <c r="C268" s="15" t="inlineStr">
        <is>
          <t>1301/26/02</t>
        </is>
      </c>
      <c r="D268" s="15" t="inlineStr">
        <is>
          <t>Tabarak Company For Engineering &amp; Construction</t>
        </is>
      </c>
      <c r="E268" s="15" t="inlineStr">
        <is>
          <t>CC</t>
        </is>
      </c>
      <c r="F268" s="15" t="inlineStr">
        <is>
          <t>0.6/1 KV 2X2.5</t>
        </is>
      </c>
      <c r="G268" s="15" t="inlineStr">
        <is>
          <t>EX14</t>
        </is>
      </c>
      <c r="H268" s="15" t="inlineStr">
        <is>
          <t>Wooden Drums</t>
        </is>
      </c>
      <c r="I268" s="15" t="inlineStr">
        <is>
          <t>OK</t>
        </is>
      </c>
      <c r="J268" s="15" t="inlineStr">
        <is>
          <t>C</t>
        </is>
      </c>
      <c r="K268" s="15" t="inlineStr">
        <is>
          <t>N</t>
        </is>
      </c>
      <c r="L268" s="15" t="n">
        <v>502</v>
      </c>
      <c r="M268" s="16" t="n">
        <v>0.022088</v>
      </c>
      <c r="N268" s="16" t="n">
        <v>0</v>
      </c>
      <c r="O268" s="16" t="n">
        <v>0</v>
      </c>
      <c r="P268" s="16" t="n">
        <v>0.022088</v>
      </c>
      <c r="Q268">
        <f>--($A268=IF('الداشبورد'!$B$5="الكل",$A268,'الداشبورد'!$B$5))</f>
        <v/>
      </c>
      <c r="R268">
        <f>--($E268=IF('الداشبورد'!$B$6="الكل",$E268,'الداشبورد'!$B$6))</f>
        <v/>
      </c>
      <c r="S268">
        <f>--($K268=IF('الداشبورد'!$B$7="الكل",$K268,IF('الداشبورد'!$B$7="تصدير","Y","N")))</f>
        <v/>
      </c>
      <c r="T268">
        <f>--($J268=IF('الداشبورد'!$B$8="الكل",$J268,IF('الداشبورد'!$B$8="AL","A","C")))</f>
        <v/>
      </c>
      <c r="U268">
        <f>--($I268=IF('الداشبورد'!$B$9="الكل",$I268,IF('الداشبورد'!$B$9="بدون حالة","P",'الداشبورد'!$B$9)))</f>
        <v/>
      </c>
      <c r="V268">
        <f>--($D268=IF('الداشبورد'!$B$10="الكل",$D268,'الداشبورد'!$B$10))</f>
        <v/>
      </c>
      <c r="W268">
        <f>--($G268=IF('الداشبورد'!$B$11="الكل",$G268,'الداشبورد'!$B$11))</f>
        <v/>
      </c>
      <c r="X268">
        <f>Q268*R268*S268*T268*U268*V268*W268*--($C268&lt;&gt;"")</f>
        <v/>
      </c>
    </row>
    <row r="269">
      <c r="A269" s="15" t="n">
        <v>4</v>
      </c>
      <c r="B269" s="15" t="inlineStr">
        <is>
          <t>F179279</t>
        </is>
      </c>
      <c r="C269" s="15" t="inlineStr">
        <is>
          <t>1549/26/06</t>
        </is>
      </c>
      <c r="D269" s="15" t="inlineStr">
        <is>
          <t>Next Technologies Limited</t>
        </is>
      </c>
      <c r="E269" s="15" t="inlineStr">
        <is>
          <t>LV</t>
        </is>
      </c>
      <c r="F269" s="15" t="inlineStr">
        <is>
          <t>0.6/1 KV 4*16</t>
        </is>
      </c>
      <c r="G269" s="15" t="inlineStr">
        <is>
          <t>EX14</t>
        </is>
      </c>
      <c r="H269" s="15" t="inlineStr">
        <is>
          <t>Wooden Drums</t>
        </is>
      </c>
      <c r="I269" s="15" t="inlineStr">
        <is>
          <t>OK</t>
        </is>
      </c>
      <c r="J269" s="15" t="inlineStr">
        <is>
          <t>C</t>
        </is>
      </c>
      <c r="K269" s="15" t="inlineStr">
        <is>
          <t>Y</t>
        </is>
      </c>
      <c r="L269" s="15" t="n">
        <v>496</v>
      </c>
      <c r="M269" s="16" t="n">
        <v>0.27032</v>
      </c>
      <c r="N269" s="16" t="n">
        <v>0</v>
      </c>
      <c r="O269" s="16" t="n">
        <v>0</v>
      </c>
      <c r="P269" s="16" t="n">
        <v>0.27032</v>
      </c>
      <c r="Q269">
        <f>--($A269=IF('الداشبورد'!$B$5="الكل",$A269,'الداشبورد'!$B$5))</f>
        <v/>
      </c>
      <c r="R269">
        <f>--($E269=IF('الداشبورد'!$B$6="الكل",$E269,'الداشبورد'!$B$6))</f>
        <v/>
      </c>
      <c r="S269">
        <f>--($K269=IF('الداشبورد'!$B$7="الكل",$K269,IF('الداشبورد'!$B$7="تصدير","Y","N")))</f>
        <v/>
      </c>
      <c r="T269">
        <f>--($J269=IF('الداشبورد'!$B$8="الكل",$J269,IF('الداشبورد'!$B$8="AL","A","C")))</f>
        <v/>
      </c>
      <c r="U269">
        <f>--($I269=IF('الداشبورد'!$B$9="الكل",$I269,IF('الداشبورد'!$B$9="بدون حالة","P",'الداشبورد'!$B$9)))</f>
        <v/>
      </c>
      <c r="V269">
        <f>--($D269=IF('الداشبورد'!$B$10="الكل",$D269,'الداشبورد'!$B$10))</f>
        <v/>
      </c>
      <c r="W269">
        <f>--($G269=IF('الداشبورد'!$B$11="الكل",$G269,'الداشبورد'!$B$11))</f>
        <v/>
      </c>
      <c r="X269">
        <f>Q269*R269*S269*T269*U269*V269*W269*--($C269&lt;&gt;"")</f>
        <v/>
      </c>
    </row>
    <row r="270">
      <c r="A270" s="15" t="n">
        <v>4</v>
      </c>
      <c r="B270" s="15" t="inlineStr">
        <is>
          <t>D182219</t>
        </is>
      </c>
      <c r="C270" s="15" t="inlineStr">
        <is>
          <t>1460/26/05</t>
        </is>
      </c>
      <c r="D270" s="15" t="inlineStr">
        <is>
          <t>الاسكندرية للإنشاءات</t>
        </is>
      </c>
      <c r="E270" s="15" t="inlineStr">
        <is>
          <t>LV</t>
        </is>
      </c>
      <c r="F270" s="15" t="inlineStr">
        <is>
          <t>0.6/1 KV 4X10</t>
        </is>
      </c>
      <c r="G270" s="15" t="inlineStr">
        <is>
          <t>EX14</t>
        </is>
      </c>
      <c r="H270" s="15" t="inlineStr">
        <is>
          <t>Wooden Drums</t>
        </is>
      </c>
      <c r="I270" s="15" t="inlineStr">
        <is>
          <t>OK</t>
        </is>
      </c>
      <c r="J270" s="15" t="inlineStr">
        <is>
          <t>C</t>
        </is>
      </c>
      <c r="K270" s="15" t="inlineStr">
        <is>
          <t>N</t>
        </is>
      </c>
      <c r="L270" s="15" t="n">
        <v>103</v>
      </c>
      <c r="M270" s="16" t="n">
        <v>0.03471100000000001</v>
      </c>
      <c r="N270" s="16" t="n">
        <v>0</v>
      </c>
      <c r="O270" s="16" t="n">
        <v>0</v>
      </c>
      <c r="P270" s="16" t="n">
        <v>0.03471100000000001</v>
      </c>
      <c r="Q270">
        <f>--($A270=IF('الداشبورد'!$B$5="الكل",$A270,'الداشبورد'!$B$5))</f>
        <v/>
      </c>
      <c r="R270">
        <f>--($E270=IF('الداشبورد'!$B$6="الكل",$E270,'الداشبورد'!$B$6))</f>
        <v/>
      </c>
      <c r="S270">
        <f>--($K270=IF('الداشبورد'!$B$7="الكل",$K270,IF('الداشبورد'!$B$7="تصدير","Y","N")))</f>
        <v/>
      </c>
      <c r="T270">
        <f>--($J270=IF('الداشبورد'!$B$8="الكل",$J270,IF('الداشبورد'!$B$8="AL","A","C")))</f>
        <v/>
      </c>
      <c r="U270">
        <f>--($I270=IF('الداشبورد'!$B$9="الكل",$I270,IF('الداشبورد'!$B$9="بدون حالة","P",'الداشبورد'!$B$9)))</f>
        <v/>
      </c>
      <c r="V270">
        <f>--($D270=IF('الداشبورد'!$B$10="الكل",$D270,'الداشبورد'!$B$10))</f>
        <v/>
      </c>
      <c r="W270">
        <f>--($G270=IF('الداشبورد'!$B$11="الكل",$G270,'الداشبورد'!$B$11))</f>
        <v/>
      </c>
      <c r="X270">
        <f>Q270*R270*S270*T270*U270*V270*W270*--($C270&lt;&gt;"")</f>
        <v/>
      </c>
    </row>
    <row r="271">
      <c r="A271" s="15" t="n">
        <v>4</v>
      </c>
      <c r="B271" s="15" t="inlineStr">
        <is>
          <t>E184505</t>
        </is>
      </c>
      <c r="C271" s="15" t="inlineStr">
        <is>
          <t>1624/26/06</t>
        </is>
      </c>
      <c r="D271" s="15" t="inlineStr">
        <is>
          <t>شركة انوار المدينة لاستيراد المواد الكهربائية</t>
        </is>
      </c>
      <c r="E271" s="15" t="inlineStr">
        <is>
          <t>LV</t>
        </is>
      </c>
      <c r="F271" s="15" t="inlineStr">
        <is>
          <t>0.6/1kv 4*16</t>
        </is>
      </c>
      <c r="G271" s="15" t="inlineStr">
        <is>
          <t>EX14</t>
        </is>
      </c>
      <c r="H271" s="15" t="inlineStr">
        <is>
          <t>Wooden Drums</t>
        </is>
      </c>
      <c r="I271" s="15" t="inlineStr">
        <is>
          <t>OK</t>
        </is>
      </c>
      <c r="J271" s="15" t="inlineStr">
        <is>
          <t>A</t>
        </is>
      </c>
      <c r="K271" s="15" t="inlineStr">
        <is>
          <t>Y</t>
        </is>
      </c>
      <c r="L271" s="15" t="n">
        <v>103</v>
      </c>
      <c r="M271" s="16" t="n">
        <v>0.016995</v>
      </c>
      <c r="N271" s="16" t="n">
        <v>0</v>
      </c>
      <c r="O271" s="16" t="n">
        <v>0</v>
      </c>
      <c r="P271" s="16" t="n">
        <v>0.016995</v>
      </c>
      <c r="Q271">
        <f>--($A271=IF('الداشبورد'!$B$5="الكل",$A271,'الداشبورد'!$B$5))</f>
        <v/>
      </c>
      <c r="R271">
        <f>--($E271=IF('الداشبورد'!$B$6="الكل",$E271,'الداشبورد'!$B$6))</f>
        <v/>
      </c>
      <c r="S271">
        <f>--($K271=IF('الداشبورد'!$B$7="الكل",$K271,IF('الداشبورد'!$B$7="تصدير","Y","N")))</f>
        <v/>
      </c>
      <c r="T271">
        <f>--($J271=IF('الداشبورد'!$B$8="الكل",$J271,IF('الداشبورد'!$B$8="AL","A","C")))</f>
        <v/>
      </c>
      <c r="U271">
        <f>--($I271=IF('الداشبورد'!$B$9="الكل",$I271,IF('الداشبورد'!$B$9="بدون حالة","P",'الداشبورد'!$B$9)))</f>
        <v/>
      </c>
      <c r="V271">
        <f>--($D271=IF('الداشبورد'!$B$10="الكل",$D271,'الداشبورد'!$B$10))</f>
        <v/>
      </c>
      <c r="W271">
        <f>--($G271=IF('الداشبورد'!$B$11="الكل",$G271,'الداشبورد'!$B$11))</f>
        <v/>
      </c>
      <c r="X271">
        <f>Q271*R271*S271*T271*U271*V271*W271*--($C271&lt;&gt;"")</f>
        <v/>
      </c>
    </row>
    <row r="272">
      <c r="A272" s="15" t="n">
        <v>4</v>
      </c>
      <c r="B272" s="15" t="inlineStr">
        <is>
          <t>O184529</t>
        </is>
      </c>
      <c r="C272" s="15" t="inlineStr">
        <is>
          <t>1462/26/10</t>
        </is>
      </c>
      <c r="D272" s="15" t="inlineStr">
        <is>
          <t>Vigo trgovina d.o.o.</t>
        </is>
      </c>
      <c r="E272" s="15" t="inlineStr">
        <is>
          <t>LV</t>
        </is>
      </c>
      <c r="F272" s="15" t="inlineStr">
        <is>
          <t>0.6/1 KV 5X10</t>
        </is>
      </c>
      <c r="G272" s="15" t="inlineStr">
        <is>
          <t>EX13</t>
        </is>
      </c>
      <c r="H272" s="15" t="inlineStr">
        <is>
          <t>Wooden Drums</t>
        </is>
      </c>
      <c r="I272" s="15" t="inlineStr">
        <is>
          <t>OK</t>
        </is>
      </c>
      <c r="J272" s="15" t="inlineStr">
        <is>
          <t>C</t>
        </is>
      </c>
      <c r="K272" s="15" t="inlineStr">
        <is>
          <t>Y</t>
        </is>
      </c>
      <c r="L272" s="15" t="n">
        <v>3005</v>
      </c>
      <c r="M272" s="16" t="n">
        <v>1.361265</v>
      </c>
      <c r="N272" s="16" t="n">
        <v>0</v>
      </c>
      <c r="O272" s="16" t="n">
        <v>0</v>
      </c>
      <c r="P272" s="16" t="n">
        <v>1.361265</v>
      </c>
      <c r="Q272">
        <f>--($A272=IF('الداشبورد'!$B$5="الكل",$A272,'الداشبورد'!$B$5))</f>
        <v/>
      </c>
      <c r="R272">
        <f>--($E272=IF('الداشبورد'!$B$6="الكل",$E272,'الداشبورد'!$B$6))</f>
        <v/>
      </c>
      <c r="S272">
        <f>--($K272=IF('الداشبورد'!$B$7="الكل",$K272,IF('الداشبورد'!$B$7="تصدير","Y","N")))</f>
        <v/>
      </c>
      <c r="T272">
        <f>--($J272=IF('الداشبورد'!$B$8="الكل",$J272,IF('الداشبورد'!$B$8="AL","A","C")))</f>
        <v/>
      </c>
      <c r="U272">
        <f>--($I272=IF('الداشبورد'!$B$9="الكل",$I272,IF('الداشبورد'!$B$9="بدون حالة","P",'الداشبورد'!$B$9)))</f>
        <v/>
      </c>
      <c r="V272">
        <f>--($D272=IF('الداشبورد'!$B$10="الكل",$D272,'الداشبورد'!$B$10))</f>
        <v/>
      </c>
      <c r="W272">
        <f>--($G272=IF('الداشبورد'!$B$11="الكل",$G272,'الداشبورد'!$B$11))</f>
        <v/>
      </c>
      <c r="X272">
        <f>Q272*R272*S272*T272*U272*V272*W272*--($C272&lt;&gt;"")</f>
        <v/>
      </c>
    </row>
    <row r="273">
      <c r="A273" s="15" t="n">
        <v>4</v>
      </c>
      <c r="B273" s="15" t="inlineStr">
        <is>
          <t>G184544</t>
        </is>
      </c>
      <c r="C273" s="15" t="inlineStr">
        <is>
          <t>1462/26/10</t>
        </is>
      </c>
      <c r="D273" s="15" t="inlineStr">
        <is>
          <t>Vigo trgovina d.o.o.</t>
        </is>
      </c>
      <c r="E273" s="15" t="inlineStr">
        <is>
          <t>LV</t>
        </is>
      </c>
      <c r="F273" s="15" t="inlineStr">
        <is>
          <t>0.6/1 KV 5X10</t>
        </is>
      </c>
      <c r="G273" s="15" t="inlineStr">
        <is>
          <t>EX13</t>
        </is>
      </c>
      <c r="H273" s="15" t="inlineStr">
        <is>
          <t>Wooden Drums</t>
        </is>
      </c>
      <c r="I273" s="15" t="inlineStr">
        <is>
          <t>OK</t>
        </is>
      </c>
      <c r="J273" s="15" t="inlineStr">
        <is>
          <t>C</t>
        </is>
      </c>
      <c r="K273" s="15" t="inlineStr">
        <is>
          <t>Y</t>
        </is>
      </c>
      <c r="L273" s="15" t="n">
        <v>525</v>
      </c>
      <c r="M273" s="16" t="n">
        <v>0.237825</v>
      </c>
      <c r="N273" s="16" t="n">
        <v>0</v>
      </c>
      <c r="O273" s="16" t="n">
        <v>0</v>
      </c>
      <c r="P273" s="16" t="n">
        <v>0.237825</v>
      </c>
      <c r="Q273">
        <f>--($A273=IF('الداشبورد'!$B$5="الكل",$A273,'الداشبورد'!$B$5))</f>
        <v/>
      </c>
      <c r="R273">
        <f>--($E273=IF('الداشبورد'!$B$6="الكل",$E273,'الداشبورد'!$B$6))</f>
        <v/>
      </c>
      <c r="S273">
        <f>--($K273=IF('الداشبورد'!$B$7="الكل",$K273,IF('الداشبورد'!$B$7="تصدير","Y","N")))</f>
        <v/>
      </c>
      <c r="T273">
        <f>--($J273=IF('الداشبورد'!$B$8="الكل",$J273,IF('الداشبورد'!$B$8="AL","A","C")))</f>
        <v/>
      </c>
      <c r="U273">
        <f>--($I273=IF('الداشبورد'!$B$9="الكل",$I273,IF('الداشبورد'!$B$9="بدون حالة","P",'الداشبورد'!$B$9)))</f>
        <v/>
      </c>
      <c r="V273">
        <f>--($D273=IF('الداشبورد'!$B$10="الكل",$D273,'الداشبورد'!$B$10))</f>
        <v/>
      </c>
      <c r="W273">
        <f>--($G273=IF('الداشبورد'!$B$11="الكل",$G273,'الداشبورد'!$B$11))</f>
        <v/>
      </c>
      <c r="X273">
        <f>Q273*R273*S273*T273*U273*V273*W273*--($C273&lt;&gt;"")</f>
        <v/>
      </c>
    </row>
    <row r="274">
      <c r="A274" s="15" t="n">
        <v>4</v>
      </c>
      <c r="B274" s="15" t="inlineStr">
        <is>
          <t>G184542</t>
        </is>
      </c>
      <c r="C274" s="15" t="inlineStr">
        <is>
          <t>1462/26/10</t>
        </is>
      </c>
      <c r="D274" s="15" t="inlineStr">
        <is>
          <t>Vigo trgovina d.o.o.</t>
        </is>
      </c>
      <c r="E274" s="15" t="inlineStr">
        <is>
          <t>LV</t>
        </is>
      </c>
      <c r="F274" s="15" t="inlineStr">
        <is>
          <t>0.6/1 KV 5X10</t>
        </is>
      </c>
      <c r="G274" s="15" t="inlineStr">
        <is>
          <t>EX13</t>
        </is>
      </c>
      <c r="H274" s="15" t="inlineStr">
        <is>
          <t>Wooden Drums</t>
        </is>
      </c>
      <c r="I274" s="15" t="inlineStr">
        <is>
          <t>OK</t>
        </is>
      </c>
      <c r="J274" s="15" t="inlineStr">
        <is>
          <t>C</t>
        </is>
      </c>
      <c r="K274" s="15" t="inlineStr">
        <is>
          <t>Y</t>
        </is>
      </c>
      <c r="L274" s="15" t="n">
        <v>524</v>
      </c>
      <c r="M274" s="16" t="n">
        <v>0.237372</v>
      </c>
      <c r="N274" s="16" t="n">
        <v>0</v>
      </c>
      <c r="O274" s="16" t="n">
        <v>0</v>
      </c>
      <c r="P274" s="16" t="n">
        <v>0.237372</v>
      </c>
      <c r="Q274">
        <f>--($A274=IF('الداشبورد'!$B$5="الكل",$A274,'الداشبورد'!$B$5))</f>
        <v/>
      </c>
      <c r="R274">
        <f>--($E274=IF('الداشبورد'!$B$6="الكل",$E274,'الداشبورد'!$B$6))</f>
        <v/>
      </c>
      <c r="S274">
        <f>--($K274=IF('الداشبورد'!$B$7="الكل",$K274,IF('الداشبورد'!$B$7="تصدير","Y","N")))</f>
        <v/>
      </c>
      <c r="T274">
        <f>--($J274=IF('الداشبورد'!$B$8="الكل",$J274,IF('الداشبورد'!$B$8="AL","A","C")))</f>
        <v/>
      </c>
      <c r="U274">
        <f>--($I274=IF('الداشبورد'!$B$9="الكل",$I274,IF('الداشبورد'!$B$9="بدون حالة","P",'الداشبورد'!$B$9)))</f>
        <v/>
      </c>
      <c r="V274">
        <f>--($D274=IF('الداشبورد'!$B$10="الكل",$D274,'الداشبورد'!$B$10))</f>
        <v/>
      </c>
      <c r="W274">
        <f>--($G274=IF('الداشبورد'!$B$11="الكل",$G274,'الداشبورد'!$B$11))</f>
        <v/>
      </c>
      <c r="X274">
        <f>Q274*R274*S274*T274*U274*V274*W274*--($C274&lt;&gt;"")</f>
        <v/>
      </c>
    </row>
    <row r="275">
      <c r="A275" s="15" t="n">
        <v>4</v>
      </c>
      <c r="B275" s="15" t="inlineStr">
        <is>
          <t>G184530</t>
        </is>
      </c>
      <c r="C275" s="15" t="inlineStr">
        <is>
          <t>1462/26/10</t>
        </is>
      </c>
      <c r="D275" s="15" t="inlineStr">
        <is>
          <t>Vigo trgovina d.o.o.</t>
        </is>
      </c>
      <c r="E275" s="15" t="inlineStr">
        <is>
          <t>LV</t>
        </is>
      </c>
      <c r="F275" s="15" t="inlineStr">
        <is>
          <t>0.6/1 KV 5X10</t>
        </is>
      </c>
      <c r="G275" s="15" t="inlineStr">
        <is>
          <t>EX13</t>
        </is>
      </c>
      <c r="H275" s="15" t="inlineStr">
        <is>
          <t>Wooden Drums</t>
        </is>
      </c>
      <c r="I275" s="15" t="inlineStr">
        <is>
          <t>OK</t>
        </is>
      </c>
      <c r="J275" s="15" t="inlineStr">
        <is>
          <t>C</t>
        </is>
      </c>
      <c r="K275" s="15" t="inlineStr">
        <is>
          <t>Y</t>
        </is>
      </c>
      <c r="L275" s="15" t="n">
        <v>505</v>
      </c>
      <c r="M275" s="16" t="n">
        <v>0.228765</v>
      </c>
      <c r="N275" s="16" t="n">
        <v>0</v>
      </c>
      <c r="O275" s="16" t="n">
        <v>0</v>
      </c>
      <c r="P275" s="16" t="n">
        <v>0.228765</v>
      </c>
      <c r="Q275">
        <f>--($A275=IF('الداشبورد'!$B$5="الكل",$A275,'الداشبورد'!$B$5))</f>
        <v/>
      </c>
      <c r="R275">
        <f>--($E275=IF('الداشبورد'!$B$6="الكل",$E275,'الداشبورد'!$B$6))</f>
        <v/>
      </c>
      <c r="S275">
        <f>--($K275=IF('الداشبورد'!$B$7="الكل",$K275,IF('الداشبورد'!$B$7="تصدير","Y","N")))</f>
        <v/>
      </c>
      <c r="T275">
        <f>--($J275=IF('الداشبورد'!$B$8="الكل",$J275,IF('الداشبورد'!$B$8="AL","A","C")))</f>
        <v/>
      </c>
      <c r="U275">
        <f>--($I275=IF('الداشبورد'!$B$9="الكل",$I275,IF('الداشبورد'!$B$9="بدون حالة","P",'الداشبورد'!$B$9)))</f>
        <v/>
      </c>
      <c r="V275">
        <f>--($D275=IF('الداشبورد'!$B$10="الكل",$D275,'الداشبورد'!$B$10))</f>
        <v/>
      </c>
      <c r="W275">
        <f>--($G275=IF('الداشبورد'!$B$11="الكل",$G275,'الداشبورد'!$B$11))</f>
        <v/>
      </c>
      <c r="X275">
        <f>Q275*R275*S275*T275*U275*V275*W275*--($C275&lt;&gt;"")</f>
        <v/>
      </c>
    </row>
    <row r="276">
      <c r="A276" s="15" t="n">
        <v>4</v>
      </c>
      <c r="B276" s="15" t="inlineStr">
        <is>
          <t>G184543</t>
        </is>
      </c>
      <c r="C276" s="15" t="inlineStr">
        <is>
          <t>1462/26/10</t>
        </is>
      </c>
      <c r="D276" s="15" t="inlineStr">
        <is>
          <t>Vigo trgovina d.o.o.</t>
        </is>
      </c>
      <c r="E276" s="15" t="inlineStr">
        <is>
          <t>LV</t>
        </is>
      </c>
      <c r="F276" s="15" t="inlineStr">
        <is>
          <t>0.6/1 KV 5X10</t>
        </is>
      </c>
      <c r="G276" s="15" t="inlineStr">
        <is>
          <t>EX13</t>
        </is>
      </c>
      <c r="H276" s="15" t="inlineStr">
        <is>
          <t>Wooden Drums</t>
        </is>
      </c>
      <c r="I276" s="15" t="inlineStr">
        <is>
          <t>OK</t>
        </is>
      </c>
      <c r="J276" s="15" t="inlineStr">
        <is>
          <t>C</t>
        </is>
      </c>
      <c r="K276" s="15" t="inlineStr">
        <is>
          <t>Y</t>
        </is>
      </c>
      <c r="L276" s="15" t="n">
        <v>505</v>
      </c>
      <c r="M276" s="16" t="n">
        <v>0.228765</v>
      </c>
      <c r="N276" s="16" t="n">
        <v>0</v>
      </c>
      <c r="O276" s="16" t="n">
        <v>0</v>
      </c>
      <c r="P276" s="16" t="n">
        <v>0.228765</v>
      </c>
      <c r="Q276">
        <f>--($A276=IF('الداشبورد'!$B$5="الكل",$A276,'الداشبورد'!$B$5))</f>
        <v/>
      </c>
      <c r="R276">
        <f>--($E276=IF('الداشبورد'!$B$6="الكل",$E276,'الداشبورد'!$B$6))</f>
        <v/>
      </c>
      <c r="S276">
        <f>--($K276=IF('الداشبورد'!$B$7="الكل",$K276,IF('الداشبورد'!$B$7="تصدير","Y","N")))</f>
        <v/>
      </c>
      <c r="T276">
        <f>--($J276=IF('الداشبورد'!$B$8="الكل",$J276,IF('الداشبورد'!$B$8="AL","A","C")))</f>
        <v/>
      </c>
      <c r="U276">
        <f>--($I276=IF('الداشبورد'!$B$9="الكل",$I276,IF('الداشبورد'!$B$9="بدون حالة","P",'الداشبورد'!$B$9)))</f>
        <v/>
      </c>
      <c r="V276">
        <f>--($D276=IF('الداشبورد'!$B$10="الكل",$D276,'الداشبورد'!$B$10))</f>
        <v/>
      </c>
      <c r="W276">
        <f>--($G276=IF('الداشبورد'!$B$11="الكل",$G276,'الداشبورد'!$B$11))</f>
        <v/>
      </c>
      <c r="X276">
        <f>Q276*R276*S276*T276*U276*V276*W276*--($C276&lt;&gt;"")</f>
        <v/>
      </c>
    </row>
    <row r="277">
      <c r="A277" s="15" t="n">
        <v>4</v>
      </c>
      <c r="B277" s="15" t="inlineStr">
        <is>
          <t>G184557</t>
        </is>
      </c>
      <c r="C277" s="15" t="inlineStr">
        <is>
          <t>1462/26/10</t>
        </is>
      </c>
      <c r="D277" s="15" t="inlineStr">
        <is>
          <t>Vigo trgovina d.o.o.</t>
        </is>
      </c>
      <c r="E277" s="15" t="inlineStr">
        <is>
          <t>LV</t>
        </is>
      </c>
      <c r="F277" s="15" t="inlineStr">
        <is>
          <t>0.6/1 KV 5X10</t>
        </is>
      </c>
      <c r="G277" s="15" t="inlineStr">
        <is>
          <t>EX13</t>
        </is>
      </c>
      <c r="H277" s="15" t="inlineStr">
        <is>
          <t>Wooden Drums</t>
        </is>
      </c>
      <c r="I277" s="15" t="inlineStr">
        <is>
          <t>OK</t>
        </is>
      </c>
      <c r="J277" s="15" t="inlineStr">
        <is>
          <t>C</t>
        </is>
      </c>
      <c r="K277" s="15" t="inlineStr">
        <is>
          <t>Y</t>
        </is>
      </c>
      <c r="L277" s="15" t="n">
        <v>505</v>
      </c>
      <c r="M277" s="16" t="n">
        <v>0.228765</v>
      </c>
      <c r="N277" s="16" t="n">
        <v>0</v>
      </c>
      <c r="O277" s="16" t="n">
        <v>0</v>
      </c>
      <c r="P277" s="16" t="n">
        <v>0.228765</v>
      </c>
      <c r="Q277">
        <f>--($A277=IF('الداشبورد'!$B$5="الكل",$A277,'الداشبورد'!$B$5))</f>
        <v/>
      </c>
      <c r="R277">
        <f>--($E277=IF('الداشبورد'!$B$6="الكل",$E277,'الداشبورد'!$B$6))</f>
        <v/>
      </c>
      <c r="S277">
        <f>--($K277=IF('الداشبورد'!$B$7="الكل",$K277,IF('الداشبورد'!$B$7="تصدير","Y","N")))</f>
        <v/>
      </c>
      <c r="T277">
        <f>--($J277=IF('الداشبورد'!$B$8="الكل",$J277,IF('الداشبورد'!$B$8="AL","A","C")))</f>
        <v/>
      </c>
      <c r="U277">
        <f>--($I277=IF('الداشبورد'!$B$9="الكل",$I277,IF('الداشبورد'!$B$9="بدون حالة","P",'الداشبورد'!$B$9)))</f>
        <v/>
      </c>
      <c r="V277">
        <f>--($D277=IF('الداشبورد'!$B$10="الكل",$D277,'الداشبورد'!$B$10))</f>
        <v/>
      </c>
      <c r="W277">
        <f>--($G277=IF('الداشبورد'!$B$11="الكل",$G277,'الداشبورد'!$B$11))</f>
        <v/>
      </c>
      <c r="X277">
        <f>Q277*R277*S277*T277*U277*V277*W277*--($C277&lt;&gt;"")</f>
        <v/>
      </c>
    </row>
    <row r="278">
      <c r="A278" s="15" t="n">
        <v>4</v>
      </c>
      <c r="B278" s="15" t="inlineStr">
        <is>
          <t>G184574</t>
        </is>
      </c>
      <c r="C278" s="15" t="inlineStr">
        <is>
          <t>1642/26/02</t>
        </is>
      </c>
      <c r="D278" s="15" t="inlineStr">
        <is>
          <t>Eland Cables</t>
        </is>
      </c>
      <c r="E278" s="15" t="inlineStr">
        <is>
          <t>LV</t>
        </is>
      </c>
      <c r="F278" s="15" t="inlineStr">
        <is>
          <t>0.6/1 KV 1*400</t>
        </is>
      </c>
      <c r="G278" s="15" t="inlineStr">
        <is>
          <t>EX03</t>
        </is>
      </c>
      <c r="H278" s="15" t="inlineStr">
        <is>
          <t>Wooden Drums</t>
        </is>
      </c>
      <c r="I278" s="15" t="inlineStr">
        <is>
          <t>Hold</t>
        </is>
      </c>
      <c r="J278" s="15" t="inlineStr">
        <is>
          <t>C</t>
        </is>
      </c>
      <c r="K278" s="15" t="inlineStr">
        <is>
          <t>Y</t>
        </is>
      </c>
      <c r="L278" s="15" t="n">
        <v>315</v>
      </c>
      <c r="M278" s="16" t="n">
        <v>1.0584</v>
      </c>
      <c r="N278" s="16" t="n">
        <v>0</v>
      </c>
      <c r="O278" s="16" t="n">
        <v>0</v>
      </c>
      <c r="P278" s="16" t="n">
        <v>1.0584</v>
      </c>
      <c r="Q278">
        <f>--($A278=IF('الداشبورد'!$B$5="الكل",$A278,'الداشبورد'!$B$5))</f>
        <v/>
      </c>
      <c r="R278">
        <f>--($E278=IF('الداشبورد'!$B$6="الكل",$E278,'الداشبورد'!$B$6))</f>
        <v/>
      </c>
      <c r="S278">
        <f>--($K278=IF('الداشبورد'!$B$7="الكل",$K278,IF('الداشبورد'!$B$7="تصدير","Y","N")))</f>
        <v/>
      </c>
      <c r="T278">
        <f>--($J278=IF('الداشبورد'!$B$8="الكل",$J278,IF('الداشبورد'!$B$8="AL","A","C")))</f>
        <v/>
      </c>
      <c r="U278">
        <f>--($I278=IF('الداشبورد'!$B$9="الكل",$I278,IF('الداشبورد'!$B$9="بدون حالة","P",'الداشبورد'!$B$9)))</f>
        <v/>
      </c>
      <c r="V278">
        <f>--($D278=IF('الداشبورد'!$B$10="الكل",$D278,'الداشبورد'!$B$10))</f>
        <v/>
      </c>
      <c r="W278">
        <f>--($G278=IF('الداشبورد'!$B$11="الكل",$G278,'الداشبورد'!$B$11))</f>
        <v/>
      </c>
      <c r="X278">
        <f>Q278*R278*S278*T278*U278*V278*W278*--($C278&lt;&gt;"")</f>
        <v/>
      </c>
    </row>
    <row r="279">
      <c r="A279" s="15" t="n">
        <v>4</v>
      </c>
      <c r="B279" s="15" t="inlineStr">
        <is>
          <t>P138</t>
        </is>
      </c>
      <c r="C279" s="15" t="inlineStr">
        <is>
          <t>1642/26/02</t>
        </is>
      </c>
      <c r="D279" s="15" t="inlineStr">
        <is>
          <t>Eland Cables</t>
        </is>
      </c>
      <c r="E279" s="15" t="inlineStr">
        <is>
          <t>LV</t>
        </is>
      </c>
      <c r="F279" s="15" t="inlineStr">
        <is>
          <t>0.6/1 KV 1*400</t>
        </is>
      </c>
      <c r="G279" s="15" t="inlineStr">
        <is>
          <t>EX03</t>
        </is>
      </c>
      <c r="H279" s="15" t="inlineStr">
        <is>
          <t>Wooden Drums</t>
        </is>
      </c>
      <c r="I279" s="15" t="inlineStr">
        <is>
          <t>Hold</t>
        </is>
      </c>
      <c r="J279" s="15" t="inlineStr">
        <is>
          <t>C</t>
        </is>
      </c>
      <c r="K279" s="15" t="inlineStr">
        <is>
          <t>Y</t>
        </is>
      </c>
      <c r="L279" s="15" t="n">
        <v>315</v>
      </c>
      <c r="M279" s="16" t="n">
        <v>1.0584</v>
      </c>
      <c r="N279" s="16" t="n">
        <v>0</v>
      </c>
      <c r="O279" s="16" t="n">
        <v>0</v>
      </c>
      <c r="P279" s="16" t="n">
        <v>1.0584</v>
      </c>
      <c r="Q279">
        <f>--($A279=IF('الداشبورد'!$B$5="الكل",$A279,'الداشبورد'!$B$5))</f>
        <v/>
      </c>
      <c r="R279">
        <f>--($E279=IF('الداشبورد'!$B$6="الكل",$E279,'الداشبورد'!$B$6))</f>
        <v/>
      </c>
      <c r="S279">
        <f>--($K279=IF('الداشبورد'!$B$7="الكل",$K279,IF('الداشبورد'!$B$7="تصدير","Y","N")))</f>
        <v/>
      </c>
      <c r="T279">
        <f>--($J279=IF('الداشبورد'!$B$8="الكل",$J279,IF('الداشبورد'!$B$8="AL","A","C")))</f>
        <v/>
      </c>
      <c r="U279">
        <f>--($I279=IF('الداشبورد'!$B$9="الكل",$I279,IF('الداشبورد'!$B$9="بدون حالة","P",'الداشبورد'!$B$9)))</f>
        <v/>
      </c>
      <c r="V279">
        <f>--($D279=IF('الداشبورد'!$B$10="الكل",$D279,'الداشبورد'!$B$10))</f>
        <v/>
      </c>
      <c r="W279">
        <f>--($G279=IF('الداشبورد'!$B$11="الكل",$G279,'الداشبورد'!$B$11))</f>
        <v/>
      </c>
      <c r="X279">
        <f>Q279*R279*S279*T279*U279*V279*W279*--($C279&lt;&gt;"")</f>
        <v/>
      </c>
    </row>
    <row r="280">
      <c r="A280" s="15" t="n">
        <v>4</v>
      </c>
      <c r="B280" s="15" t="inlineStr">
        <is>
          <t>G184578</t>
        </is>
      </c>
      <c r="C280" s="15" t="inlineStr">
        <is>
          <t>1642/26/02</t>
        </is>
      </c>
      <c r="D280" s="15" t="inlineStr">
        <is>
          <t>Eland Cables</t>
        </is>
      </c>
      <c r="E280" s="15" t="inlineStr">
        <is>
          <t>LV</t>
        </is>
      </c>
      <c r="F280" s="15" t="inlineStr">
        <is>
          <t>0.6/1 KV 1*400</t>
        </is>
      </c>
      <c r="G280" s="15" t="inlineStr">
        <is>
          <t>EX03</t>
        </is>
      </c>
      <c r="H280" s="15" t="inlineStr">
        <is>
          <t>Wooden Drums</t>
        </is>
      </c>
      <c r="I280" s="15" t="inlineStr">
        <is>
          <t>OK</t>
        </is>
      </c>
      <c r="J280" s="15" t="inlineStr">
        <is>
          <t>C</t>
        </is>
      </c>
      <c r="K280" s="15" t="inlineStr">
        <is>
          <t>Y</t>
        </is>
      </c>
      <c r="L280" s="15" t="n">
        <v>311</v>
      </c>
      <c r="M280" s="16" t="n">
        <v>1.04496</v>
      </c>
      <c r="N280" s="16" t="n">
        <v>0</v>
      </c>
      <c r="O280" s="16" t="n">
        <v>0</v>
      </c>
      <c r="P280" s="16" t="n">
        <v>1.04496</v>
      </c>
      <c r="Q280">
        <f>--($A280=IF('الداشبورد'!$B$5="الكل",$A280,'الداشبورد'!$B$5))</f>
        <v/>
      </c>
      <c r="R280">
        <f>--($E280=IF('الداشبورد'!$B$6="الكل",$E280,'الداشبورد'!$B$6))</f>
        <v/>
      </c>
      <c r="S280">
        <f>--($K280=IF('الداشبورد'!$B$7="الكل",$K280,IF('الداشبورد'!$B$7="تصدير","Y","N")))</f>
        <v/>
      </c>
      <c r="T280">
        <f>--($J280=IF('الداشبورد'!$B$8="الكل",$J280,IF('الداشبورد'!$B$8="AL","A","C")))</f>
        <v/>
      </c>
      <c r="U280">
        <f>--($I280=IF('الداشبورد'!$B$9="الكل",$I280,IF('الداشبورد'!$B$9="بدون حالة","P",'الداشبورد'!$B$9)))</f>
        <v/>
      </c>
      <c r="V280">
        <f>--($D280=IF('الداشبورد'!$B$10="الكل",$D280,'الداشبورد'!$B$10))</f>
        <v/>
      </c>
      <c r="W280">
        <f>--($G280=IF('الداشبورد'!$B$11="الكل",$G280,'الداشبورد'!$B$11))</f>
        <v/>
      </c>
      <c r="X280">
        <f>Q280*R280*S280*T280*U280*V280*W280*--($C280&lt;&gt;"")</f>
        <v/>
      </c>
    </row>
    <row r="281">
      <c r="A281" s="15" t="n">
        <v>4</v>
      </c>
      <c r="B281" s="15" t="inlineStr">
        <is>
          <t>J184300</t>
        </is>
      </c>
      <c r="C281" s="15" t="inlineStr">
        <is>
          <t>1754/26/01</t>
        </is>
      </c>
      <c r="D281" s="15" t="inlineStr">
        <is>
          <t>جيزه للانظمه مناطق حره</t>
        </is>
      </c>
      <c r="E281" s="15" t="inlineStr">
        <is>
          <t>IC</t>
        </is>
      </c>
      <c r="F281" s="15" t="inlineStr">
        <is>
          <t>500 V 1X2X1.5</t>
        </is>
      </c>
      <c r="G281" s="15" t="inlineStr">
        <is>
          <t>EX14</t>
        </is>
      </c>
      <c r="H281" s="15" t="inlineStr">
        <is>
          <t>Wooden Drums</t>
        </is>
      </c>
      <c r="I281" s="15" t="inlineStr">
        <is>
          <t>OK</t>
        </is>
      </c>
      <c r="J281" s="15" t="inlineStr">
        <is>
          <t>C</t>
        </is>
      </c>
      <c r="K281" s="15" t="inlineStr">
        <is>
          <t>N</t>
        </is>
      </c>
      <c r="L281" s="15" t="n">
        <v>1000</v>
      </c>
      <c r="M281" s="16" t="n">
        <v>0.028</v>
      </c>
      <c r="N281" s="16" t="n">
        <v>0</v>
      </c>
      <c r="O281" s="16" t="n">
        <v>0</v>
      </c>
      <c r="P281" s="16" t="n">
        <v>0.028</v>
      </c>
      <c r="Q281">
        <f>--($A281=IF('الداشبورد'!$B$5="الكل",$A281,'الداشبورد'!$B$5))</f>
        <v/>
      </c>
      <c r="R281">
        <f>--($E281=IF('الداشبورد'!$B$6="الكل",$E281,'الداشبورد'!$B$6))</f>
        <v/>
      </c>
      <c r="S281">
        <f>--($K281=IF('الداشبورد'!$B$7="الكل",$K281,IF('الداشبورد'!$B$7="تصدير","Y","N")))</f>
        <v/>
      </c>
      <c r="T281">
        <f>--($J281=IF('الداشبورد'!$B$8="الكل",$J281,IF('الداشبورد'!$B$8="AL","A","C")))</f>
        <v/>
      </c>
      <c r="U281">
        <f>--($I281=IF('الداشبورد'!$B$9="الكل",$I281,IF('الداشبورد'!$B$9="بدون حالة","P",'الداشبورد'!$B$9)))</f>
        <v/>
      </c>
      <c r="V281">
        <f>--($D281=IF('الداشبورد'!$B$10="الكل",$D281,'الداشبورد'!$B$10))</f>
        <v/>
      </c>
      <c r="W281">
        <f>--($G281=IF('الداشبورد'!$B$11="الكل",$G281,'الداشبورد'!$B$11))</f>
        <v/>
      </c>
      <c r="X281">
        <f>Q281*R281*S281*T281*U281*V281*W281*--($C281&lt;&gt;"")</f>
        <v/>
      </c>
    </row>
    <row r="282">
      <c r="A282" s="15" t="n">
        <v>4</v>
      </c>
      <c r="B282" s="15" t="inlineStr">
        <is>
          <t>F184593</t>
        </is>
      </c>
      <c r="C282" s="15" t="inlineStr">
        <is>
          <t>1365/26/05</t>
        </is>
      </c>
      <c r="D282" s="15" t="inlineStr">
        <is>
          <t>Veolia water technologies Egypt LLC</t>
        </is>
      </c>
      <c r="E282" s="15" t="inlineStr">
        <is>
          <t>LV</t>
        </is>
      </c>
      <c r="F282" s="15" t="inlineStr">
        <is>
          <t>0.6/1KV 3*35/16</t>
        </is>
      </c>
      <c r="G282" s="15" t="inlineStr">
        <is>
          <t>EX13</t>
        </is>
      </c>
      <c r="H282" s="15" t="inlineStr">
        <is>
          <t>Wooden Drums</t>
        </is>
      </c>
      <c r="I282" s="15" t="inlineStr">
        <is>
          <t>OK</t>
        </is>
      </c>
      <c r="J282" s="15" t="inlineStr">
        <is>
          <t>C</t>
        </is>
      </c>
      <c r="K282" s="15" t="inlineStr">
        <is>
          <t>N</t>
        </is>
      </c>
      <c r="L282" s="15" t="n">
        <v>297</v>
      </c>
      <c r="M282" s="16" t="n">
        <v>0.266112</v>
      </c>
      <c r="N282" s="16" t="n">
        <v>0.04752</v>
      </c>
      <c r="O282" s="16" t="n">
        <v>0</v>
      </c>
      <c r="P282" s="16" t="n">
        <v>0.313632</v>
      </c>
      <c r="Q282">
        <f>--($A282=IF('الداشبورد'!$B$5="الكل",$A282,'الداشبورد'!$B$5))</f>
        <v/>
      </c>
      <c r="R282">
        <f>--($E282=IF('الداشبورد'!$B$6="الكل",$E282,'الداشبورد'!$B$6))</f>
        <v/>
      </c>
      <c r="S282">
        <f>--($K282=IF('الداشبورد'!$B$7="الكل",$K282,IF('الداشبورد'!$B$7="تصدير","Y","N")))</f>
        <v/>
      </c>
      <c r="T282">
        <f>--($J282=IF('الداشبورد'!$B$8="الكل",$J282,IF('الداشبورد'!$B$8="AL","A","C")))</f>
        <v/>
      </c>
      <c r="U282">
        <f>--($I282=IF('الداشبورد'!$B$9="الكل",$I282,IF('الداشبورد'!$B$9="بدون حالة","P",'الداشبورد'!$B$9)))</f>
        <v/>
      </c>
      <c r="V282">
        <f>--($D282=IF('الداشبورد'!$B$10="الكل",$D282,'الداشبورد'!$B$10))</f>
        <v/>
      </c>
      <c r="W282">
        <f>--($G282=IF('الداشبورد'!$B$11="الكل",$G282,'الداشبورد'!$B$11))</f>
        <v/>
      </c>
      <c r="X282">
        <f>Q282*R282*S282*T282*U282*V282*W282*--($C282&lt;&gt;"")</f>
        <v/>
      </c>
    </row>
    <row r="283">
      <c r="A283" s="15" t="n">
        <v>4</v>
      </c>
      <c r="B283" s="15" t="inlineStr">
        <is>
          <t>N184589</t>
        </is>
      </c>
      <c r="C283" s="15" t="inlineStr">
        <is>
          <t>1522/26/03</t>
        </is>
      </c>
      <c r="D283" s="15" t="inlineStr">
        <is>
          <t>Electrical Supplies &amp; Services LTD.</t>
        </is>
      </c>
      <c r="E283" s="15" t="inlineStr">
        <is>
          <t>LV</t>
        </is>
      </c>
      <c r="F283" s="15" t="inlineStr">
        <is>
          <t>0.6/1 KV 4*25</t>
        </is>
      </c>
      <c r="G283" s="15" t="inlineStr">
        <is>
          <t>EX13</t>
        </is>
      </c>
      <c r="H283" s="15" t="inlineStr">
        <is>
          <t>Wooden Drums</t>
        </is>
      </c>
      <c r="I283" s="15" t="inlineStr">
        <is>
          <t>P</t>
        </is>
      </c>
      <c r="J283" s="15" t="inlineStr">
        <is>
          <t>C</t>
        </is>
      </c>
      <c r="K283" s="15" t="inlineStr">
        <is>
          <t>Y</t>
        </is>
      </c>
      <c r="L283" s="15" t="n">
        <v>958</v>
      </c>
      <c r="M283" s="16" t="n">
        <v>0.8238799999999999</v>
      </c>
      <c r="N283" s="16" t="n">
        <v>0</v>
      </c>
      <c r="O283" s="16" t="n">
        <v>0</v>
      </c>
      <c r="P283" s="16" t="n">
        <v>0.8238799999999999</v>
      </c>
      <c r="Q283">
        <f>--($A283=IF('الداشبورد'!$B$5="الكل",$A283,'الداشبورد'!$B$5))</f>
        <v/>
      </c>
      <c r="R283">
        <f>--($E283=IF('الداشبورد'!$B$6="الكل",$E283,'الداشبورد'!$B$6))</f>
        <v/>
      </c>
      <c r="S283">
        <f>--($K283=IF('الداشبورد'!$B$7="الكل",$K283,IF('الداشبورد'!$B$7="تصدير","Y","N")))</f>
        <v/>
      </c>
      <c r="T283">
        <f>--($J283=IF('الداشبورد'!$B$8="الكل",$J283,IF('الداشبورد'!$B$8="AL","A","C")))</f>
        <v/>
      </c>
      <c r="U283">
        <f>--($I283=IF('الداشبورد'!$B$9="الكل",$I283,IF('الداشبورد'!$B$9="بدون حالة","P",'الداشبورد'!$B$9)))</f>
        <v/>
      </c>
      <c r="V283">
        <f>--($D283=IF('الداشبورد'!$B$10="الكل",$D283,'الداشبورد'!$B$10))</f>
        <v/>
      </c>
      <c r="W283">
        <f>--($G283=IF('الداشبورد'!$B$11="الكل",$G283,'الداشبورد'!$B$11))</f>
        <v/>
      </c>
      <c r="X283">
        <f>Q283*R283*S283*T283*U283*V283*W283*--($C283&lt;&gt;"")</f>
        <v/>
      </c>
    </row>
    <row r="284">
      <c r="A284" s="15" t="n">
        <v>4</v>
      </c>
      <c r="B284" s="15" t="inlineStr">
        <is>
          <t>R184526</t>
        </is>
      </c>
      <c r="C284" s="15" t="inlineStr">
        <is>
          <t>1364/26/02</t>
        </is>
      </c>
      <c r="D284" s="15" t="inlineStr">
        <is>
          <t>INSELL</t>
        </is>
      </c>
      <c r="E284" s="15" t="inlineStr">
        <is>
          <t>MV</t>
        </is>
      </c>
      <c r="F284" s="15" t="inlineStr">
        <is>
          <t>18/30 KV 1X500</t>
        </is>
      </c>
      <c r="G284" s="15" t="inlineStr">
        <is>
          <t>EX06</t>
        </is>
      </c>
      <c r="H284" s="15" t="inlineStr">
        <is>
          <t>Wooden Drums</t>
        </is>
      </c>
      <c r="I284" s="15" t="inlineStr">
        <is>
          <t>Hold</t>
        </is>
      </c>
      <c r="J284" s="15" t="inlineStr">
        <is>
          <t>A</t>
        </is>
      </c>
      <c r="K284" s="15" t="inlineStr">
        <is>
          <t>Y</t>
        </is>
      </c>
      <c r="L284" s="15" t="n">
        <v>1386</v>
      </c>
      <c r="M284" s="16" t="n">
        <v>1.79487</v>
      </c>
      <c r="N284" s="16" t="n">
        <v>0.636174</v>
      </c>
      <c r="O284" s="16" t="n">
        <v>0</v>
      </c>
      <c r="P284" s="16" t="n">
        <v>2.431044</v>
      </c>
      <c r="Q284">
        <f>--($A284=IF('الداشبورد'!$B$5="الكل",$A284,'الداشبورد'!$B$5))</f>
        <v/>
      </c>
      <c r="R284">
        <f>--($E284=IF('الداشبورد'!$B$6="الكل",$E284,'الداشبورد'!$B$6))</f>
        <v/>
      </c>
      <c r="S284">
        <f>--($K284=IF('الداشبورد'!$B$7="الكل",$K284,IF('الداشبورد'!$B$7="تصدير","Y","N")))</f>
        <v/>
      </c>
      <c r="T284">
        <f>--($J284=IF('الداشبورد'!$B$8="الكل",$J284,IF('الداشبورد'!$B$8="AL","A","C")))</f>
        <v/>
      </c>
      <c r="U284">
        <f>--($I284=IF('الداشبورد'!$B$9="الكل",$I284,IF('الداشبورد'!$B$9="بدون حالة","P",'الداشبورد'!$B$9)))</f>
        <v/>
      </c>
      <c r="V284">
        <f>--($D284=IF('الداشبورد'!$B$10="الكل",$D284,'الداشبورد'!$B$10))</f>
        <v/>
      </c>
      <c r="W284">
        <f>--($G284=IF('الداشبورد'!$B$11="الكل",$G284,'الداشبورد'!$B$11))</f>
        <v/>
      </c>
      <c r="X284">
        <f>Q284*R284*S284*T284*U284*V284*W284*--($C284&lt;&gt;"")</f>
        <v/>
      </c>
    </row>
    <row r="285">
      <c r="A285" s="15" t="n">
        <v>4</v>
      </c>
      <c r="B285" s="15" t="inlineStr">
        <is>
          <t>M184503</t>
        </is>
      </c>
      <c r="C285" s="15" t="inlineStr">
        <is>
          <t>730/26/02</t>
        </is>
      </c>
      <c r="D285" s="15" t="inlineStr">
        <is>
          <t>VLG RO S.R.L.</t>
        </is>
      </c>
      <c r="E285" s="15" t="inlineStr">
        <is>
          <t>MV</t>
        </is>
      </c>
      <c r="F285" s="15" t="inlineStr">
        <is>
          <t>12/20 KV 1X150/25</t>
        </is>
      </c>
      <c r="G285" s="15" t="inlineStr">
        <is>
          <t>EX05</t>
        </is>
      </c>
      <c r="H285" s="15" t="inlineStr">
        <is>
          <t>Wooden Drums</t>
        </is>
      </c>
      <c r="I285" s="15" t="inlineStr">
        <is>
          <t>OK</t>
        </is>
      </c>
      <c r="J285" s="15" t="inlineStr">
        <is>
          <t>A</t>
        </is>
      </c>
      <c r="K285" s="15" t="inlineStr">
        <is>
          <t>Y</t>
        </is>
      </c>
      <c r="L285" s="15" t="n">
        <v>1010</v>
      </c>
      <c r="M285" s="16" t="n">
        <v>0.3939</v>
      </c>
      <c r="N285" s="16" t="n">
        <v>0.2323</v>
      </c>
      <c r="O285" s="16" t="n">
        <v>0</v>
      </c>
      <c r="P285" s="16" t="n">
        <v>0.6262000000000001</v>
      </c>
      <c r="Q285">
        <f>--($A285=IF('الداشبورد'!$B$5="الكل",$A285,'الداشبورد'!$B$5))</f>
        <v/>
      </c>
      <c r="R285">
        <f>--($E285=IF('الداشبورد'!$B$6="الكل",$E285,'الداشبورد'!$B$6))</f>
        <v/>
      </c>
      <c r="S285">
        <f>--($K285=IF('الداشبورد'!$B$7="الكل",$K285,IF('الداشبورد'!$B$7="تصدير","Y","N")))</f>
        <v/>
      </c>
      <c r="T285">
        <f>--($J285=IF('الداشبورد'!$B$8="الكل",$J285,IF('الداشبورد'!$B$8="AL","A","C")))</f>
        <v/>
      </c>
      <c r="U285">
        <f>--($I285=IF('الداشبورد'!$B$9="الكل",$I285,IF('الداشبورد'!$B$9="بدون حالة","P",'الداشبورد'!$B$9)))</f>
        <v/>
      </c>
      <c r="V285">
        <f>--($D285=IF('الداشبورد'!$B$10="الكل",$D285,'الداشبورد'!$B$10))</f>
        <v/>
      </c>
      <c r="W285">
        <f>--($G285=IF('الداشبورد'!$B$11="الكل",$G285,'الداشبورد'!$B$11))</f>
        <v/>
      </c>
      <c r="X285">
        <f>Q285*R285*S285*T285*U285*V285*W285*--($C285&lt;&gt;"")</f>
        <v/>
      </c>
    </row>
    <row r="286">
      <c r="A286" s="15" t="n">
        <v>4</v>
      </c>
      <c r="B286" s="15" t="inlineStr">
        <is>
          <t>P184504</t>
        </is>
      </c>
      <c r="C286" s="15" t="inlineStr">
        <is>
          <t>730/26/02</t>
        </is>
      </c>
      <c r="D286" s="15" t="inlineStr">
        <is>
          <t>VLG RO S.R.L.</t>
        </is>
      </c>
      <c r="E286" s="15" t="inlineStr">
        <is>
          <t>MV</t>
        </is>
      </c>
      <c r="F286" s="15" t="inlineStr">
        <is>
          <t>12/20 KV 1X150/25</t>
        </is>
      </c>
      <c r="G286" s="15" t="inlineStr">
        <is>
          <t>EX05</t>
        </is>
      </c>
      <c r="H286" s="15" t="inlineStr">
        <is>
          <t>Wooden Drums</t>
        </is>
      </c>
      <c r="I286" s="15" t="inlineStr">
        <is>
          <t>OK</t>
        </is>
      </c>
      <c r="J286" s="15" t="inlineStr">
        <is>
          <t>A</t>
        </is>
      </c>
      <c r="K286" s="15" t="inlineStr">
        <is>
          <t>Y</t>
        </is>
      </c>
      <c r="L286" s="15" t="n">
        <v>2035</v>
      </c>
      <c r="M286" s="16" t="n">
        <v>0.79365</v>
      </c>
      <c r="N286" s="16" t="n">
        <v>0.46805</v>
      </c>
      <c r="O286" s="16" t="n">
        <v>0</v>
      </c>
      <c r="P286" s="16" t="n">
        <v>1.2617</v>
      </c>
      <c r="Q286">
        <f>--($A286=IF('الداشبورد'!$B$5="الكل",$A286,'الداشبورد'!$B$5))</f>
        <v/>
      </c>
      <c r="R286">
        <f>--($E286=IF('الداشبورد'!$B$6="الكل",$E286,'الداشبورد'!$B$6))</f>
        <v/>
      </c>
      <c r="S286">
        <f>--($K286=IF('الداشبورد'!$B$7="الكل",$K286,IF('الداشبورد'!$B$7="تصدير","Y","N")))</f>
        <v/>
      </c>
      <c r="T286">
        <f>--($J286=IF('الداشبورد'!$B$8="الكل",$J286,IF('الداشبورد'!$B$8="AL","A","C")))</f>
        <v/>
      </c>
      <c r="U286">
        <f>--($I286=IF('الداشبورد'!$B$9="الكل",$I286,IF('الداشبورد'!$B$9="بدون حالة","P",'الداشبورد'!$B$9)))</f>
        <v/>
      </c>
      <c r="V286">
        <f>--($D286=IF('الداشبورد'!$B$10="الكل",$D286,'الداشبورد'!$B$10))</f>
        <v/>
      </c>
      <c r="W286">
        <f>--($G286=IF('الداشبورد'!$B$11="الكل",$G286,'الداشبورد'!$B$11))</f>
        <v/>
      </c>
      <c r="X286">
        <f>Q286*R286*S286*T286*U286*V286*W286*--($C286&lt;&gt;"")</f>
        <v/>
      </c>
    </row>
    <row r="287">
      <c r="A287" s="15" t="n">
        <v>4</v>
      </c>
      <c r="B287" s="15" t="inlineStr">
        <is>
          <t>M184498</t>
        </is>
      </c>
      <c r="C287" s="15" t="inlineStr">
        <is>
          <t>730/26/02</t>
        </is>
      </c>
      <c r="D287" s="15" t="inlineStr">
        <is>
          <t>VLG RO S.R.L.</t>
        </is>
      </c>
      <c r="E287" s="15" t="inlineStr">
        <is>
          <t>MV</t>
        </is>
      </c>
      <c r="F287" s="15" t="inlineStr">
        <is>
          <t>12/20 KV 1X150/25</t>
        </is>
      </c>
      <c r="G287" s="15" t="inlineStr">
        <is>
          <t>EX05</t>
        </is>
      </c>
      <c r="H287" s="15" t="inlineStr">
        <is>
          <t>Wooden Drums</t>
        </is>
      </c>
      <c r="I287" s="15" t="inlineStr">
        <is>
          <t>OK</t>
        </is>
      </c>
      <c r="J287" s="15" t="inlineStr">
        <is>
          <t>A</t>
        </is>
      </c>
      <c r="K287" s="15" t="inlineStr">
        <is>
          <t>Y</t>
        </is>
      </c>
      <c r="L287" s="15" t="n">
        <v>1004</v>
      </c>
      <c r="M287" s="16" t="n">
        <v>0.39156</v>
      </c>
      <c r="N287" s="16" t="n">
        <v>0.23092</v>
      </c>
      <c r="O287" s="16" t="n">
        <v>0</v>
      </c>
      <c r="P287" s="16" t="n">
        <v>0.62248</v>
      </c>
      <c r="Q287">
        <f>--($A287=IF('الداشبورد'!$B$5="الكل",$A287,'الداشبورد'!$B$5))</f>
        <v/>
      </c>
      <c r="R287">
        <f>--($E287=IF('الداشبورد'!$B$6="الكل",$E287,'الداشبورد'!$B$6))</f>
        <v/>
      </c>
      <c r="S287">
        <f>--($K287=IF('الداشبورد'!$B$7="الكل",$K287,IF('الداشبورد'!$B$7="تصدير","Y","N")))</f>
        <v/>
      </c>
      <c r="T287">
        <f>--($J287=IF('الداشبورد'!$B$8="الكل",$J287,IF('الداشبورد'!$B$8="AL","A","C")))</f>
        <v/>
      </c>
      <c r="U287">
        <f>--($I287=IF('الداشبورد'!$B$9="الكل",$I287,IF('الداشبورد'!$B$9="بدون حالة","P",'الداشبورد'!$B$9)))</f>
        <v/>
      </c>
      <c r="V287">
        <f>--($D287=IF('الداشبورد'!$B$10="الكل",$D287,'الداشبورد'!$B$10))</f>
        <v/>
      </c>
      <c r="W287">
        <f>--($G287=IF('الداشبورد'!$B$11="الكل",$G287,'الداشبورد'!$B$11))</f>
        <v/>
      </c>
      <c r="X287">
        <f>Q287*R287*S287*T287*U287*V287*W287*--($C287&lt;&gt;"")</f>
        <v/>
      </c>
    </row>
    <row r="288">
      <c r="A288" s="15" t="n">
        <v>4</v>
      </c>
      <c r="B288" s="15" t="inlineStr">
        <is>
          <t>M184500</t>
        </is>
      </c>
      <c r="C288" s="15" t="inlineStr">
        <is>
          <t>730/26/02</t>
        </is>
      </c>
      <c r="D288" s="15" t="inlineStr">
        <is>
          <t>VLG RO S.R.L.</t>
        </is>
      </c>
      <c r="E288" s="15" t="inlineStr">
        <is>
          <t>MV</t>
        </is>
      </c>
      <c r="F288" s="15" t="inlineStr">
        <is>
          <t>12/20 KV 1X150/25</t>
        </is>
      </c>
      <c r="G288" s="15" t="inlineStr">
        <is>
          <t>EX05</t>
        </is>
      </c>
      <c r="H288" s="15" t="inlineStr">
        <is>
          <t>Wooden Drums</t>
        </is>
      </c>
      <c r="I288" s="15" t="inlineStr">
        <is>
          <t>OK</t>
        </is>
      </c>
      <c r="J288" s="15" t="inlineStr">
        <is>
          <t>A</t>
        </is>
      </c>
      <c r="K288" s="15" t="inlineStr">
        <is>
          <t>Y</t>
        </is>
      </c>
      <c r="L288" s="15" t="n">
        <v>995</v>
      </c>
      <c r="M288" s="16" t="n">
        <v>0.38805</v>
      </c>
      <c r="N288" s="16" t="n">
        <v>0.22885</v>
      </c>
      <c r="O288" s="16" t="n">
        <v>0</v>
      </c>
      <c r="P288" s="16" t="n">
        <v>0.6169</v>
      </c>
      <c r="Q288">
        <f>--($A288=IF('الداشبورد'!$B$5="الكل",$A288,'الداشبورد'!$B$5))</f>
        <v/>
      </c>
      <c r="R288">
        <f>--($E288=IF('الداشبورد'!$B$6="الكل",$E288,'الداشبورد'!$B$6))</f>
        <v/>
      </c>
      <c r="S288">
        <f>--($K288=IF('الداشبورد'!$B$7="الكل",$K288,IF('الداشبورد'!$B$7="تصدير","Y","N")))</f>
        <v/>
      </c>
      <c r="T288">
        <f>--($J288=IF('الداشبورد'!$B$8="الكل",$J288,IF('الداشبورد'!$B$8="AL","A","C")))</f>
        <v/>
      </c>
      <c r="U288">
        <f>--($I288=IF('الداشبورد'!$B$9="الكل",$I288,IF('الداشبورد'!$B$9="بدون حالة","P",'الداشبورد'!$B$9)))</f>
        <v/>
      </c>
      <c r="V288">
        <f>--($D288=IF('الداشبورد'!$B$10="الكل",$D288,'الداشبورد'!$B$10))</f>
        <v/>
      </c>
      <c r="W288">
        <f>--($G288=IF('الداشبورد'!$B$11="الكل",$G288,'الداشبورد'!$B$11))</f>
        <v/>
      </c>
      <c r="X288">
        <f>Q288*R288*S288*T288*U288*V288*W288*--($C288&lt;&gt;"")</f>
        <v/>
      </c>
    </row>
    <row r="289">
      <c r="A289" s="15" t="n">
        <v>4</v>
      </c>
      <c r="B289" s="15" t="inlineStr">
        <is>
          <t>M184499</t>
        </is>
      </c>
      <c r="C289" s="15" t="inlineStr">
        <is>
          <t>730/26/02</t>
        </is>
      </c>
      <c r="D289" s="15" t="inlineStr">
        <is>
          <t>VLG RO S.R.L.</t>
        </is>
      </c>
      <c r="E289" s="15" t="inlineStr">
        <is>
          <t>MV</t>
        </is>
      </c>
      <c r="F289" s="15" t="inlineStr">
        <is>
          <t>12/20 KV 1X150/25</t>
        </is>
      </c>
      <c r="G289" s="15" t="inlineStr">
        <is>
          <t>EX05</t>
        </is>
      </c>
      <c r="H289" s="15" t="inlineStr">
        <is>
          <t>Wooden Drums</t>
        </is>
      </c>
      <c r="I289" s="15" t="inlineStr">
        <is>
          <t>OK</t>
        </is>
      </c>
      <c r="J289" s="15" t="inlineStr">
        <is>
          <t>A</t>
        </is>
      </c>
      <c r="K289" s="15" t="inlineStr">
        <is>
          <t>Y</t>
        </is>
      </c>
      <c r="L289" s="15" t="n">
        <v>990</v>
      </c>
      <c r="M289" s="16" t="n">
        <v>0.3861</v>
      </c>
      <c r="N289" s="16" t="n">
        <v>0.2277</v>
      </c>
      <c r="O289" s="16" t="n">
        <v>0</v>
      </c>
      <c r="P289" s="16" t="n">
        <v>0.6138</v>
      </c>
      <c r="Q289">
        <f>--($A289=IF('الداشبورد'!$B$5="الكل",$A289,'الداشبورد'!$B$5))</f>
        <v/>
      </c>
      <c r="R289">
        <f>--($E289=IF('الداشبورد'!$B$6="الكل",$E289,'الداشبورد'!$B$6))</f>
        <v/>
      </c>
      <c r="S289">
        <f>--($K289=IF('الداشبورد'!$B$7="الكل",$K289,IF('الداشبورد'!$B$7="تصدير","Y","N")))</f>
        <v/>
      </c>
      <c r="T289">
        <f>--($J289=IF('الداشبورد'!$B$8="الكل",$J289,IF('الداشبورد'!$B$8="AL","A","C")))</f>
        <v/>
      </c>
      <c r="U289">
        <f>--($I289=IF('الداشبورد'!$B$9="الكل",$I289,IF('الداشبورد'!$B$9="بدون حالة","P",'الداشبورد'!$B$9)))</f>
        <v/>
      </c>
      <c r="V289">
        <f>--($D289=IF('الداشبورد'!$B$10="الكل",$D289,'الداشبورد'!$B$10))</f>
        <v/>
      </c>
      <c r="W289">
        <f>--($G289=IF('الداشبورد'!$B$11="الكل",$G289,'الداشبورد'!$B$11))</f>
        <v/>
      </c>
      <c r="X289">
        <f>Q289*R289*S289*T289*U289*V289*W289*--($C289&lt;&gt;"")</f>
        <v/>
      </c>
    </row>
    <row r="290">
      <c r="A290" s="15" t="n">
        <v>4</v>
      </c>
      <c r="B290" s="15" t="inlineStr">
        <is>
          <t>M184607</t>
        </is>
      </c>
      <c r="C290" s="15" t="inlineStr">
        <is>
          <t>730/26/02</t>
        </is>
      </c>
      <c r="D290" s="15" t="inlineStr">
        <is>
          <t>VLG RO S.R.L.</t>
        </is>
      </c>
      <c r="E290" s="15" t="inlineStr">
        <is>
          <t>MV</t>
        </is>
      </c>
      <c r="F290" s="15" t="inlineStr">
        <is>
          <t>12/20 KV 1X150/25</t>
        </is>
      </c>
      <c r="G290" s="15" t="inlineStr">
        <is>
          <t>EX05</t>
        </is>
      </c>
      <c r="H290" s="15" t="inlineStr">
        <is>
          <t>Wooden Drums</t>
        </is>
      </c>
      <c r="I290" s="15" t="inlineStr">
        <is>
          <t>OK</t>
        </is>
      </c>
      <c r="J290" s="15" t="inlineStr">
        <is>
          <t>A</t>
        </is>
      </c>
      <c r="K290" s="15" t="inlineStr">
        <is>
          <t>Y</t>
        </is>
      </c>
      <c r="L290" s="15" t="n">
        <v>1035</v>
      </c>
      <c r="M290" s="16" t="n">
        <v>0.40365</v>
      </c>
      <c r="N290" s="16" t="n">
        <v>0.23805</v>
      </c>
      <c r="O290" s="16" t="n">
        <v>0</v>
      </c>
      <c r="P290" s="16" t="n">
        <v>0.6417</v>
      </c>
      <c r="Q290">
        <f>--($A290=IF('الداشبورد'!$B$5="الكل",$A290,'الداشبورد'!$B$5))</f>
        <v/>
      </c>
      <c r="R290">
        <f>--($E290=IF('الداشبورد'!$B$6="الكل",$E290,'الداشبورد'!$B$6))</f>
        <v/>
      </c>
      <c r="S290">
        <f>--($K290=IF('الداشبورد'!$B$7="الكل",$K290,IF('الداشبورد'!$B$7="تصدير","Y","N")))</f>
        <v/>
      </c>
      <c r="T290">
        <f>--($J290=IF('الداشبورد'!$B$8="الكل",$J290,IF('الداشبورد'!$B$8="AL","A","C")))</f>
        <v/>
      </c>
      <c r="U290">
        <f>--($I290=IF('الداشبورد'!$B$9="الكل",$I290,IF('الداشبورد'!$B$9="بدون حالة","P",'الداشبورد'!$B$9)))</f>
        <v/>
      </c>
      <c r="V290">
        <f>--($D290=IF('الداشبورد'!$B$10="الكل",$D290,'الداشبورد'!$B$10))</f>
        <v/>
      </c>
      <c r="W290">
        <f>--($G290=IF('الداشبورد'!$B$11="الكل",$G290,'الداشبورد'!$B$11))</f>
        <v/>
      </c>
      <c r="X290">
        <f>Q290*R290*S290*T290*U290*V290*W290*--($C290&lt;&gt;"")</f>
        <v/>
      </c>
    </row>
    <row r="291">
      <c r="A291" s="15" t="n">
        <v>4</v>
      </c>
      <c r="B291" s="15" t="inlineStr">
        <is>
          <t>M184501</t>
        </is>
      </c>
      <c r="C291" s="15" t="inlineStr">
        <is>
          <t>730/26/02</t>
        </is>
      </c>
      <c r="D291" s="15" t="inlineStr">
        <is>
          <t>VLG RO S.R.L.</t>
        </is>
      </c>
      <c r="E291" s="15" t="inlineStr">
        <is>
          <t>MV</t>
        </is>
      </c>
      <c r="F291" s="15" t="inlineStr">
        <is>
          <t>12/20 KV 1X150/25</t>
        </is>
      </c>
      <c r="G291" s="15" t="inlineStr">
        <is>
          <t>EX05</t>
        </is>
      </c>
      <c r="H291" s="15" t="inlineStr">
        <is>
          <t>Wooden Drums</t>
        </is>
      </c>
      <c r="I291" s="15" t="inlineStr">
        <is>
          <t>OK</t>
        </is>
      </c>
      <c r="J291" s="15" t="inlineStr">
        <is>
          <t>A</t>
        </is>
      </c>
      <c r="K291" s="15" t="inlineStr">
        <is>
          <t>Y</t>
        </is>
      </c>
      <c r="L291" s="15" t="n">
        <v>1020</v>
      </c>
      <c r="M291" s="16" t="n">
        <v>0.3978</v>
      </c>
      <c r="N291" s="16" t="n">
        <v>0.2346</v>
      </c>
      <c r="O291" s="16" t="n">
        <v>0</v>
      </c>
      <c r="P291" s="16" t="n">
        <v>0.6324000000000001</v>
      </c>
      <c r="Q291">
        <f>--($A291=IF('الداشبورد'!$B$5="الكل",$A291,'الداشبورد'!$B$5))</f>
        <v/>
      </c>
      <c r="R291">
        <f>--($E291=IF('الداشبورد'!$B$6="الكل",$E291,'الداشبورد'!$B$6))</f>
        <v/>
      </c>
      <c r="S291">
        <f>--($K291=IF('الداشبورد'!$B$7="الكل",$K291,IF('الداشبورد'!$B$7="تصدير","Y","N")))</f>
        <v/>
      </c>
      <c r="T291">
        <f>--($J291=IF('الداشبورد'!$B$8="الكل",$J291,IF('الداشبورد'!$B$8="AL","A","C")))</f>
        <v/>
      </c>
      <c r="U291">
        <f>--($I291=IF('الداشبورد'!$B$9="الكل",$I291,IF('الداشبورد'!$B$9="بدون حالة","P",'الداشبورد'!$B$9)))</f>
        <v/>
      </c>
      <c r="V291">
        <f>--($D291=IF('الداشبورد'!$B$10="الكل",$D291,'الداشبورد'!$B$10))</f>
        <v/>
      </c>
      <c r="W291">
        <f>--($G291=IF('الداشبورد'!$B$11="الكل",$G291,'الداشبورد'!$B$11))</f>
        <v/>
      </c>
      <c r="X291">
        <f>Q291*R291*S291*T291*U291*V291*W291*--($C291&lt;&gt;"")</f>
        <v/>
      </c>
    </row>
    <row r="292">
      <c r="A292" s="15" t="n">
        <v>4</v>
      </c>
      <c r="B292" s="15" t="inlineStr">
        <is>
          <t>R184567</t>
        </is>
      </c>
      <c r="C292" s="15" t="inlineStr">
        <is>
          <t>395/26/02</t>
        </is>
      </c>
      <c r="D292" s="15" t="inlineStr">
        <is>
          <t>Eland Cables</t>
        </is>
      </c>
      <c r="E292" s="15" t="inlineStr">
        <is>
          <t>MV</t>
        </is>
      </c>
      <c r="F292" s="15" t="inlineStr">
        <is>
          <t>19/33 KV 3X95</t>
        </is>
      </c>
      <c r="G292" s="15" t="inlineStr">
        <is>
          <t>EX04</t>
        </is>
      </c>
      <c r="H292" s="15" t="inlineStr">
        <is>
          <t>Wooden Drums</t>
        </is>
      </c>
      <c r="I292" s="15" t="inlineStr">
        <is>
          <t>Hold</t>
        </is>
      </c>
      <c r="J292" s="15" t="inlineStr">
        <is>
          <t>C</t>
        </is>
      </c>
      <c r="K292" s="15" t="inlineStr">
        <is>
          <t>Y</t>
        </is>
      </c>
      <c r="L292" s="15" t="n">
        <v>202</v>
      </c>
      <c r="M292" s="16" t="n">
        <v>0.496718</v>
      </c>
      <c r="N292" s="16" t="n">
        <v>0</v>
      </c>
      <c r="O292" s="16" t="n">
        <v>0</v>
      </c>
      <c r="P292" s="16" t="n">
        <v>0.496718</v>
      </c>
      <c r="Q292">
        <f>--($A292=IF('الداشبورد'!$B$5="الكل",$A292,'الداشبورد'!$B$5))</f>
        <v/>
      </c>
      <c r="R292">
        <f>--($E292=IF('الداشبورد'!$B$6="الكل",$E292,'الداشبورد'!$B$6))</f>
        <v/>
      </c>
      <c r="S292">
        <f>--($K292=IF('الداشبورد'!$B$7="الكل",$K292,IF('الداشبورد'!$B$7="تصدير","Y","N")))</f>
        <v/>
      </c>
      <c r="T292">
        <f>--($J292=IF('الداشبورد'!$B$8="الكل",$J292,IF('الداشبورد'!$B$8="AL","A","C")))</f>
        <v/>
      </c>
      <c r="U292">
        <f>--($I292=IF('الداشبورد'!$B$9="الكل",$I292,IF('الداشبورد'!$B$9="بدون حالة","P",'الداشبورد'!$B$9)))</f>
        <v/>
      </c>
      <c r="V292">
        <f>--($D292=IF('الداشبورد'!$B$10="الكل",$D292,'الداشبورد'!$B$10))</f>
        <v/>
      </c>
      <c r="W292">
        <f>--($G292=IF('الداشبورد'!$B$11="الكل",$G292,'الداشبورد'!$B$11))</f>
        <v/>
      </c>
      <c r="X292">
        <f>Q292*R292*S292*T292*U292*V292*W292*--($C292&lt;&gt;"")</f>
        <v/>
      </c>
    </row>
    <row r="293">
      <c r="A293" s="15" t="n">
        <v>4</v>
      </c>
      <c r="B293" s="15" t="inlineStr">
        <is>
          <t>R184566</t>
        </is>
      </c>
      <c r="C293" s="15" t="inlineStr">
        <is>
          <t>395/26/02</t>
        </is>
      </c>
      <c r="D293" s="15" t="inlineStr">
        <is>
          <t>Eland Cables</t>
        </is>
      </c>
      <c r="E293" s="15" t="inlineStr">
        <is>
          <t>MV</t>
        </is>
      </c>
      <c r="F293" s="15" t="inlineStr">
        <is>
          <t>19/33 KV 3X95</t>
        </is>
      </c>
      <c r="G293" s="15" t="inlineStr">
        <is>
          <t>EX04</t>
        </is>
      </c>
      <c r="H293" s="15" t="inlineStr">
        <is>
          <t>Wooden Drums</t>
        </is>
      </c>
      <c r="I293" s="15" t="inlineStr">
        <is>
          <t>Hold</t>
        </is>
      </c>
      <c r="J293" s="15" t="inlineStr">
        <is>
          <t>C</t>
        </is>
      </c>
      <c r="K293" s="15" t="inlineStr">
        <is>
          <t>Y</t>
        </is>
      </c>
      <c r="L293" s="15" t="n">
        <v>202</v>
      </c>
      <c r="M293" s="16" t="n">
        <v>0.496718</v>
      </c>
      <c r="N293" s="16" t="n">
        <v>0</v>
      </c>
      <c r="O293" s="16" t="n">
        <v>0</v>
      </c>
      <c r="P293" s="16" t="n">
        <v>0.496718</v>
      </c>
      <c r="Q293">
        <f>--($A293=IF('الداشبورد'!$B$5="الكل",$A293,'الداشبورد'!$B$5))</f>
        <v/>
      </c>
      <c r="R293">
        <f>--($E293=IF('الداشبورد'!$B$6="الكل",$E293,'الداشبورد'!$B$6))</f>
        <v/>
      </c>
      <c r="S293">
        <f>--($K293=IF('الداشبورد'!$B$7="الكل",$K293,IF('الداشبورد'!$B$7="تصدير","Y","N")))</f>
        <v/>
      </c>
      <c r="T293">
        <f>--($J293=IF('الداشبورد'!$B$8="الكل",$J293,IF('الداشبورد'!$B$8="AL","A","C")))</f>
        <v/>
      </c>
      <c r="U293">
        <f>--($I293=IF('الداشبورد'!$B$9="الكل",$I293,IF('الداشبورد'!$B$9="بدون حالة","P",'الداشبورد'!$B$9)))</f>
        <v/>
      </c>
      <c r="V293">
        <f>--($D293=IF('الداشبورد'!$B$10="الكل",$D293,'الداشبورد'!$B$10))</f>
        <v/>
      </c>
      <c r="W293">
        <f>--($G293=IF('الداشبورد'!$B$11="الكل",$G293,'الداشبورد'!$B$11))</f>
        <v/>
      </c>
      <c r="X293">
        <f>Q293*R293*S293*T293*U293*V293*W293*--($C293&lt;&gt;"")</f>
        <v/>
      </c>
    </row>
    <row r="294">
      <c r="A294" s="15" t="n">
        <v>4</v>
      </c>
      <c r="B294" s="15" t="inlineStr">
        <is>
          <t>R184565</t>
        </is>
      </c>
      <c r="C294" s="15" t="inlineStr">
        <is>
          <t>395/26/02</t>
        </is>
      </c>
      <c r="D294" s="15" t="inlineStr">
        <is>
          <t>Eland Cables</t>
        </is>
      </c>
      <c r="E294" s="15" t="inlineStr">
        <is>
          <t>MV</t>
        </is>
      </c>
      <c r="F294" s="15" t="inlineStr">
        <is>
          <t>19/33 KV 3X95</t>
        </is>
      </c>
      <c r="G294" s="15" t="inlineStr">
        <is>
          <t>EX04</t>
        </is>
      </c>
      <c r="H294" s="15" t="inlineStr">
        <is>
          <t>Wooden Drums</t>
        </is>
      </c>
      <c r="I294" s="15" t="inlineStr">
        <is>
          <t>Hold</t>
        </is>
      </c>
      <c r="J294" s="15" t="inlineStr">
        <is>
          <t>C</t>
        </is>
      </c>
      <c r="K294" s="15" t="inlineStr">
        <is>
          <t>Y</t>
        </is>
      </c>
      <c r="L294" s="15" t="n">
        <v>252</v>
      </c>
      <c r="M294" s="16" t="n">
        <v>0.619668</v>
      </c>
      <c r="N294" s="16" t="n">
        <v>0</v>
      </c>
      <c r="O294" s="16" t="n">
        <v>0</v>
      </c>
      <c r="P294" s="16" t="n">
        <v>0.619668</v>
      </c>
      <c r="Q294">
        <f>--($A294=IF('الداشبورد'!$B$5="الكل",$A294,'الداشبورد'!$B$5))</f>
        <v/>
      </c>
      <c r="R294">
        <f>--($E294=IF('الداشبورد'!$B$6="الكل",$E294,'الداشبورد'!$B$6))</f>
        <v/>
      </c>
      <c r="S294">
        <f>--($K294=IF('الداشبورد'!$B$7="الكل",$K294,IF('الداشبورد'!$B$7="تصدير","Y","N")))</f>
        <v/>
      </c>
      <c r="T294">
        <f>--($J294=IF('الداشبورد'!$B$8="الكل",$J294,IF('الداشبورد'!$B$8="AL","A","C")))</f>
        <v/>
      </c>
      <c r="U294">
        <f>--($I294=IF('الداشبورد'!$B$9="الكل",$I294,IF('الداشبورد'!$B$9="بدون حالة","P",'الداشبورد'!$B$9)))</f>
        <v/>
      </c>
      <c r="V294">
        <f>--($D294=IF('الداشبورد'!$B$10="الكل",$D294,'الداشبورد'!$B$10))</f>
        <v/>
      </c>
      <c r="W294">
        <f>--($G294=IF('الداشبورد'!$B$11="الكل",$G294,'الداشبورد'!$B$11))</f>
        <v/>
      </c>
      <c r="X294">
        <f>Q294*R294*S294*T294*U294*V294*W294*--($C294&lt;&gt;"")</f>
        <v/>
      </c>
    </row>
    <row r="295">
      <c r="A295" s="15" t="n">
        <v>4</v>
      </c>
      <c r="B295" s="15" t="inlineStr">
        <is>
          <t>R184568</t>
        </is>
      </c>
      <c r="C295" s="15" t="inlineStr">
        <is>
          <t>395/26/02</t>
        </is>
      </c>
      <c r="D295" s="15" t="inlineStr">
        <is>
          <t>Eland Cables</t>
        </is>
      </c>
      <c r="E295" s="15" t="inlineStr">
        <is>
          <t>MV</t>
        </is>
      </c>
      <c r="F295" s="15" t="inlineStr">
        <is>
          <t>19/33 KV 3X95</t>
        </is>
      </c>
      <c r="G295" s="15" t="inlineStr">
        <is>
          <t>EX04</t>
        </is>
      </c>
      <c r="H295" s="15" t="inlineStr">
        <is>
          <t>Wooden Drums</t>
        </is>
      </c>
      <c r="I295" s="15" t="inlineStr">
        <is>
          <t>Hold</t>
        </is>
      </c>
      <c r="J295" s="15" t="inlineStr">
        <is>
          <t>C</t>
        </is>
      </c>
      <c r="K295" s="15" t="inlineStr">
        <is>
          <t>Y</t>
        </is>
      </c>
      <c r="L295" s="15" t="n">
        <v>270</v>
      </c>
      <c r="M295" s="16" t="n">
        <v>0.66393</v>
      </c>
      <c r="N295" s="16" t="n">
        <v>0</v>
      </c>
      <c r="O295" s="16" t="n">
        <v>0</v>
      </c>
      <c r="P295" s="16" t="n">
        <v>0.66393</v>
      </c>
      <c r="Q295">
        <f>--($A295=IF('الداشبورد'!$B$5="الكل",$A295,'الداشبورد'!$B$5))</f>
        <v/>
      </c>
      <c r="R295">
        <f>--($E295=IF('الداشبورد'!$B$6="الكل",$E295,'الداشبورد'!$B$6))</f>
        <v/>
      </c>
      <c r="S295">
        <f>--($K295=IF('الداشبورد'!$B$7="الكل",$K295,IF('الداشبورد'!$B$7="تصدير","Y","N")))</f>
        <v/>
      </c>
      <c r="T295">
        <f>--($J295=IF('الداشبورد'!$B$8="الكل",$J295,IF('الداشبورد'!$B$8="AL","A","C")))</f>
        <v/>
      </c>
      <c r="U295">
        <f>--($I295=IF('الداشبورد'!$B$9="الكل",$I295,IF('الداشبورد'!$B$9="بدون حالة","P",'الداشبورد'!$B$9)))</f>
        <v/>
      </c>
      <c r="V295">
        <f>--($D295=IF('الداشبورد'!$B$10="الكل",$D295,'الداشبورد'!$B$10))</f>
        <v/>
      </c>
      <c r="W295">
        <f>--($G295=IF('الداشبورد'!$B$11="الكل",$G295,'الداشبورد'!$B$11))</f>
        <v/>
      </c>
      <c r="X295">
        <f>Q295*R295*S295*T295*U295*V295*W295*--($C295&lt;&gt;"")</f>
        <v/>
      </c>
    </row>
    <row r="296">
      <c r="A296" s="15" t="n">
        <v>4</v>
      </c>
      <c r="B296" s="15" t="inlineStr">
        <is>
          <t>V184496</t>
        </is>
      </c>
      <c r="C296" s="15" t="inlineStr">
        <is>
          <t>1101/26/01</t>
        </is>
      </c>
      <c r="D296" s="15" t="inlineStr">
        <is>
          <t>شركة مصر العليا لتوزيع الكهرباء</t>
        </is>
      </c>
      <c r="E296" s="15" t="inlineStr">
        <is>
          <t>MV</t>
        </is>
      </c>
      <c r="F296" s="15" t="inlineStr">
        <is>
          <t>12/20KV 3X300</t>
        </is>
      </c>
      <c r="G296" s="15" t="inlineStr">
        <is>
          <t>EX07</t>
        </is>
      </c>
      <c r="H296" s="15" t="inlineStr">
        <is>
          <t>Wooden Drums</t>
        </is>
      </c>
      <c r="I296" s="15" t="inlineStr">
        <is>
          <t>OK</t>
        </is>
      </c>
      <c r="J296" s="15" t="inlineStr">
        <is>
          <t>A</t>
        </is>
      </c>
      <c r="K296" s="15" t="inlineStr">
        <is>
          <t>N</t>
        </is>
      </c>
      <c r="L296" s="15" t="n">
        <v>402</v>
      </c>
      <c r="M296" s="16" t="n">
        <v>0.9523380000000001</v>
      </c>
      <c r="N296" s="16" t="n">
        <v>0</v>
      </c>
      <c r="O296" s="16" t="n">
        <v>0</v>
      </c>
      <c r="P296" s="16" t="n">
        <v>0.9523380000000001</v>
      </c>
      <c r="Q296">
        <f>--($A296=IF('الداشبورد'!$B$5="الكل",$A296,'الداشبورد'!$B$5))</f>
        <v/>
      </c>
      <c r="R296">
        <f>--($E296=IF('الداشبورد'!$B$6="الكل",$E296,'الداشبورد'!$B$6))</f>
        <v/>
      </c>
      <c r="S296">
        <f>--($K296=IF('الداشبورد'!$B$7="الكل",$K296,IF('الداشبورد'!$B$7="تصدير","Y","N")))</f>
        <v/>
      </c>
      <c r="T296">
        <f>--($J296=IF('الداشبورد'!$B$8="الكل",$J296,IF('الداشبورد'!$B$8="AL","A","C")))</f>
        <v/>
      </c>
      <c r="U296">
        <f>--($I296=IF('الداشبورد'!$B$9="الكل",$I296,IF('الداشبورد'!$B$9="بدون حالة","P",'الداشبورد'!$B$9)))</f>
        <v/>
      </c>
      <c r="V296">
        <f>--($D296=IF('الداشبورد'!$B$10="الكل",$D296,'الداشبورد'!$B$10))</f>
        <v/>
      </c>
      <c r="W296">
        <f>--($G296=IF('الداشبورد'!$B$11="الكل",$G296,'الداشبورد'!$B$11))</f>
        <v/>
      </c>
      <c r="X296">
        <f>Q296*R296*S296*T296*U296*V296*W296*--($C296&lt;&gt;"")</f>
        <v/>
      </c>
    </row>
    <row r="297">
      <c r="A297" s="15" t="n">
        <v>4</v>
      </c>
      <c r="B297" s="15" t="inlineStr">
        <is>
          <t>V184494</t>
        </is>
      </c>
      <c r="C297" s="15" t="inlineStr">
        <is>
          <t>1101/26/01</t>
        </is>
      </c>
      <c r="D297" s="15" t="inlineStr">
        <is>
          <t>شركة مصر العليا لتوزيع الكهرباء</t>
        </is>
      </c>
      <c r="E297" s="15" t="inlineStr">
        <is>
          <t>MV</t>
        </is>
      </c>
      <c r="F297" s="15" t="inlineStr">
        <is>
          <t>12/20KV 3X300</t>
        </is>
      </c>
      <c r="G297" s="15" t="inlineStr">
        <is>
          <t>EX07</t>
        </is>
      </c>
      <c r="H297" s="15" t="inlineStr">
        <is>
          <t>Wooden Drums</t>
        </is>
      </c>
      <c r="I297" s="15" t="inlineStr">
        <is>
          <t>Hold</t>
        </is>
      </c>
      <c r="J297" s="15" t="inlineStr">
        <is>
          <t>A</t>
        </is>
      </c>
      <c r="K297" s="15" t="inlineStr">
        <is>
          <t>N</t>
        </is>
      </c>
      <c r="L297" s="15" t="n">
        <v>405</v>
      </c>
      <c r="M297" s="16" t="n">
        <v>0.9594450000000001</v>
      </c>
      <c r="N297" s="16" t="n">
        <v>0</v>
      </c>
      <c r="O297" s="16" t="n">
        <v>0</v>
      </c>
      <c r="P297" s="16" t="n">
        <v>0.9594450000000001</v>
      </c>
      <c r="Q297">
        <f>--($A297=IF('الداشبورد'!$B$5="الكل",$A297,'الداشبورد'!$B$5))</f>
        <v/>
      </c>
      <c r="R297">
        <f>--($E297=IF('الداشبورد'!$B$6="الكل",$E297,'الداشبورد'!$B$6))</f>
        <v/>
      </c>
      <c r="S297">
        <f>--($K297=IF('الداشبورد'!$B$7="الكل",$K297,IF('الداشبورد'!$B$7="تصدير","Y","N")))</f>
        <v/>
      </c>
      <c r="T297">
        <f>--($J297=IF('الداشبورد'!$B$8="الكل",$J297,IF('الداشبورد'!$B$8="AL","A","C")))</f>
        <v/>
      </c>
      <c r="U297">
        <f>--($I297=IF('الداشبورد'!$B$9="الكل",$I297,IF('الداشبورد'!$B$9="بدون حالة","P",'الداشبورد'!$B$9)))</f>
        <v/>
      </c>
      <c r="V297">
        <f>--($D297=IF('الداشبورد'!$B$10="الكل",$D297,'الداشبورد'!$B$10))</f>
        <v/>
      </c>
      <c r="W297">
        <f>--($G297=IF('الداشبورد'!$B$11="الكل",$G297,'الداشبورد'!$B$11))</f>
        <v/>
      </c>
      <c r="X297">
        <f>Q297*R297*S297*T297*U297*V297*W297*--($C297&lt;&gt;"")</f>
        <v/>
      </c>
    </row>
    <row r="298">
      <c r="A298" s="15" t="n">
        <v>4</v>
      </c>
      <c r="B298" s="15" t="inlineStr">
        <is>
          <t>V184493</t>
        </is>
      </c>
      <c r="C298" s="15" t="inlineStr">
        <is>
          <t>1101/26/01</t>
        </is>
      </c>
      <c r="D298" s="15" t="inlineStr">
        <is>
          <t>شركة مصر العليا لتوزيع الكهرباء</t>
        </is>
      </c>
      <c r="E298" s="15" t="inlineStr">
        <is>
          <t>MV</t>
        </is>
      </c>
      <c r="F298" s="15" t="inlineStr">
        <is>
          <t>12/20KV 3X300</t>
        </is>
      </c>
      <c r="G298" s="15" t="inlineStr">
        <is>
          <t>EX07</t>
        </is>
      </c>
      <c r="H298" s="15" t="inlineStr">
        <is>
          <t>Wooden Drums</t>
        </is>
      </c>
      <c r="I298" s="15" t="inlineStr">
        <is>
          <t>OK</t>
        </is>
      </c>
      <c r="J298" s="15" t="inlineStr">
        <is>
          <t>A</t>
        </is>
      </c>
      <c r="K298" s="15" t="inlineStr">
        <is>
          <t>N</t>
        </is>
      </c>
      <c r="L298" s="15" t="n">
        <v>402</v>
      </c>
      <c r="M298" s="16" t="n">
        <v>0.9523380000000001</v>
      </c>
      <c r="N298" s="16" t="n">
        <v>0</v>
      </c>
      <c r="O298" s="16" t="n">
        <v>0</v>
      </c>
      <c r="P298" s="16" t="n">
        <v>0.9523380000000001</v>
      </c>
      <c r="Q298">
        <f>--($A298=IF('الداشبورد'!$B$5="الكل",$A298,'الداشبورد'!$B$5))</f>
        <v/>
      </c>
      <c r="R298">
        <f>--($E298=IF('الداشبورد'!$B$6="الكل",$E298,'الداشبورد'!$B$6))</f>
        <v/>
      </c>
      <c r="S298">
        <f>--($K298=IF('الداشبورد'!$B$7="الكل",$K298,IF('الداشبورد'!$B$7="تصدير","Y","N")))</f>
        <v/>
      </c>
      <c r="T298">
        <f>--($J298=IF('الداشبورد'!$B$8="الكل",$J298,IF('الداشبورد'!$B$8="AL","A","C")))</f>
        <v/>
      </c>
      <c r="U298">
        <f>--($I298=IF('الداشبورد'!$B$9="الكل",$I298,IF('الداشبورد'!$B$9="بدون حالة","P",'الداشبورد'!$B$9)))</f>
        <v/>
      </c>
      <c r="V298">
        <f>--($D298=IF('الداشبورد'!$B$10="الكل",$D298,'الداشبورد'!$B$10))</f>
        <v/>
      </c>
      <c r="W298">
        <f>--($G298=IF('الداشبورد'!$B$11="الكل",$G298,'الداشبورد'!$B$11))</f>
        <v/>
      </c>
      <c r="X298">
        <f>Q298*R298*S298*T298*U298*V298*W298*--($C298&lt;&gt;"")</f>
        <v/>
      </c>
    </row>
    <row r="299">
      <c r="A299" s="15" t="n">
        <v>4</v>
      </c>
      <c r="B299" s="15" t="inlineStr">
        <is>
          <t>V184495</t>
        </is>
      </c>
      <c r="C299" s="15" t="inlineStr">
        <is>
          <t>1101/26/01</t>
        </is>
      </c>
      <c r="D299" s="15" t="inlineStr">
        <is>
          <t>شركة مصر العليا لتوزيع الكهرباء</t>
        </is>
      </c>
      <c r="E299" s="15" t="inlineStr">
        <is>
          <t>MV</t>
        </is>
      </c>
      <c r="F299" s="15" t="inlineStr">
        <is>
          <t>12/20KV 3X300</t>
        </is>
      </c>
      <c r="G299" s="15" t="inlineStr">
        <is>
          <t>EX07</t>
        </is>
      </c>
      <c r="H299" s="15" t="inlineStr">
        <is>
          <t>Wooden Drums</t>
        </is>
      </c>
      <c r="I299" s="15" t="inlineStr">
        <is>
          <t>OK</t>
        </is>
      </c>
      <c r="J299" s="15" t="inlineStr">
        <is>
          <t>A</t>
        </is>
      </c>
      <c r="K299" s="15" t="inlineStr">
        <is>
          <t>N</t>
        </is>
      </c>
      <c r="L299" s="15" t="n">
        <v>419</v>
      </c>
      <c r="M299" s="16" t="n">
        <v>0.9926110000000001</v>
      </c>
      <c r="N299" s="16" t="n">
        <v>0</v>
      </c>
      <c r="O299" s="16" t="n">
        <v>0</v>
      </c>
      <c r="P299" s="16" t="n">
        <v>0.9926110000000001</v>
      </c>
      <c r="Q299">
        <f>--($A299=IF('الداشبورد'!$B$5="الكل",$A299,'الداشبورد'!$B$5))</f>
        <v/>
      </c>
      <c r="R299">
        <f>--($E299=IF('الداشبورد'!$B$6="الكل",$E299,'الداشبورد'!$B$6))</f>
        <v/>
      </c>
      <c r="S299">
        <f>--($K299=IF('الداشبورد'!$B$7="الكل",$K299,IF('الداشبورد'!$B$7="تصدير","Y","N")))</f>
        <v/>
      </c>
      <c r="T299">
        <f>--($J299=IF('الداشبورد'!$B$8="الكل",$J299,IF('الداشبورد'!$B$8="AL","A","C")))</f>
        <v/>
      </c>
      <c r="U299">
        <f>--($I299=IF('الداشبورد'!$B$9="الكل",$I299,IF('الداشبورد'!$B$9="بدون حالة","P",'الداشبورد'!$B$9)))</f>
        <v/>
      </c>
      <c r="V299">
        <f>--($D299=IF('الداشبورد'!$B$10="الكل",$D299,'الداشبورد'!$B$10))</f>
        <v/>
      </c>
      <c r="W299">
        <f>--($G299=IF('الداشبورد'!$B$11="الكل",$G299,'الداشبورد'!$B$11))</f>
        <v/>
      </c>
      <c r="X299">
        <f>Q299*R299*S299*T299*U299*V299*W299*--($C299&lt;&gt;"")</f>
        <v/>
      </c>
    </row>
    <row r="300">
      <c r="A300" s="15" t="n">
        <v>4</v>
      </c>
      <c r="B300" s="15" t="inlineStr">
        <is>
          <t>V184492</t>
        </is>
      </c>
      <c r="C300" s="15" t="inlineStr">
        <is>
          <t>1101/26/01</t>
        </is>
      </c>
      <c r="D300" s="15" t="inlineStr">
        <is>
          <t>شركة مصر العليا لتوزيع الكهرباء</t>
        </is>
      </c>
      <c r="E300" s="15" t="inlineStr">
        <is>
          <t>MV</t>
        </is>
      </c>
      <c r="F300" s="15" t="inlineStr">
        <is>
          <t>12/20KV 3X300</t>
        </is>
      </c>
      <c r="G300" s="15" t="inlineStr">
        <is>
          <t>EX07</t>
        </is>
      </c>
      <c r="H300" s="15" t="inlineStr">
        <is>
          <t>Wooden Drums</t>
        </is>
      </c>
      <c r="I300" s="15" t="inlineStr">
        <is>
          <t>OK</t>
        </is>
      </c>
      <c r="J300" s="15" t="inlineStr">
        <is>
          <t>A</t>
        </is>
      </c>
      <c r="K300" s="15" t="inlineStr">
        <is>
          <t>N</t>
        </is>
      </c>
      <c r="L300" s="15" t="n">
        <v>405</v>
      </c>
      <c r="M300" s="16" t="n">
        <v>0.9594450000000001</v>
      </c>
      <c r="N300" s="16" t="n">
        <v>0</v>
      </c>
      <c r="O300" s="16" t="n">
        <v>0</v>
      </c>
      <c r="P300" s="16" t="n">
        <v>0.9594450000000001</v>
      </c>
      <c r="Q300">
        <f>--($A300=IF('الداشبورد'!$B$5="الكل",$A300,'الداشبورد'!$B$5))</f>
        <v/>
      </c>
      <c r="R300">
        <f>--($E300=IF('الداشبورد'!$B$6="الكل",$E300,'الداشبورد'!$B$6))</f>
        <v/>
      </c>
      <c r="S300">
        <f>--($K300=IF('الداشبورد'!$B$7="الكل",$K300,IF('الداشبورد'!$B$7="تصدير","Y","N")))</f>
        <v/>
      </c>
      <c r="T300">
        <f>--($J300=IF('الداشبورد'!$B$8="الكل",$J300,IF('الداشبورد'!$B$8="AL","A","C")))</f>
        <v/>
      </c>
      <c r="U300">
        <f>--($I300=IF('الداشبورد'!$B$9="الكل",$I300,IF('الداشبورد'!$B$9="بدون حالة","P",'الداشبورد'!$B$9)))</f>
        <v/>
      </c>
      <c r="V300">
        <f>--($D300=IF('الداشبورد'!$B$10="الكل",$D300,'الداشبورد'!$B$10))</f>
        <v/>
      </c>
      <c r="W300">
        <f>--($G300=IF('الداشبورد'!$B$11="الكل",$G300,'الداشبورد'!$B$11))</f>
        <v/>
      </c>
      <c r="X300">
        <f>Q300*R300*S300*T300*U300*V300*W300*--($C300&lt;&gt;"")</f>
        <v/>
      </c>
    </row>
    <row r="301">
      <c r="A301" s="15" t="n">
        <v>4</v>
      </c>
      <c r="B301" s="15" t="inlineStr">
        <is>
          <t>T184490</t>
        </is>
      </c>
      <c r="C301" s="15" t="inlineStr">
        <is>
          <t>1101/26/01</t>
        </is>
      </c>
      <c r="D301" s="15" t="inlineStr">
        <is>
          <t>شركة مصر العليا لتوزيع الكهرباء</t>
        </is>
      </c>
      <c r="E301" s="15" t="inlineStr">
        <is>
          <t>MV</t>
        </is>
      </c>
      <c r="F301" s="15" t="inlineStr">
        <is>
          <t>12/20KV 3X300</t>
        </is>
      </c>
      <c r="G301" s="15" t="inlineStr">
        <is>
          <t>EX07</t>
        </is>
      </c>
      <c r="H301" s="15" t="inlineStr">
        <is>
          <t>Wooden Drums</t>
        </is>
      </c>
      <c r="I301" s="15" t="inlineStr">
        <is>
          <t>OK</t>
        </is>
      </c>
      <c r="J301" s="15" t="inlineStr">
        <is>
          <t>A</t>
        </is>
      </c>
      <c r="K301" s="15" t="inlineStr">
        <is>
          <t>N</t>
        </is>
      </c>
      <c r="L301" s="15" t="n">
        <v>419</v>
      </c>
      <c r="M301" s="16" t="n">
        <v>0.9926110000000001</v>
      </c>
      <c r="N301" s="16" t="n">
        <v>0</v>
      </c>
      <c r="O301" s="16" t="n">
        <v>0</v>
      </c>
      <c r="P301" s="16" t="n">
        <v>0.9926110000000001</v>
      </c>
      <c r="Q301">
        <f>--($A301=IF('الداشبورد'!$B$5="الكل",$A301,'الداشبورد'!$B$5))</f>
        <v/>
      </c>
      <c r="R301">
        <f>--($E301=IF('الداشبورد'!$B$6="الكل",$E301,'الداشبورد'!$B$6))</f>
        <v/>
      </c>
      <c r="S301">
        <f>--($K301=IF('الداشبورد'!$B$7="الكل",$K301,IF('الداشبورد'!$B$7="تصدير","Y","N")))</f>
        <v/>
      </c>
      <c r="T301">
        <f>--($J301=IF('الداشبورد'!$B$8="الكل",$J301,IF('الداشبورد'!$B$8="AL","A","C")))</f>
        <v/>
      </c>
      <c r="U301">
        <f>--($I301=IF('الداشبورد'!$B$9="الكل",$I301,IF('الداشبورد'!$B$9="بدون حالة","P",'الداشبورد'!$B$9)))</f>
        <v/>
      </c>
      <c r="V301">
        <f>--($D301=IF('الداشبورد'!$B$10="الكل",$D301,'الداشبورد'!$B$10))</f>
        <v/>
      </c>
      <c r="W301">
        <f>--($G301=IF('الداشبورد'!$B$11="الكل",$G301,'الداشبورد'!$B$11))</f>
        <v/>
      </c>
      <c r="X301">
        <f>Q301*R301*S301*T301*U301*V301*W301*--($C301&lt;&gt;"")</f>
        <v/>
      </c>
    </row>
    <row r="302">
      <c r="A302" s="15" t="n">
        <v>4</v>
      </c>
      <c r="B302" s="15" t="inlineStr">
        <is>
          <t>V184391</t>
        </is>
      </c>
      <c r="C302" s="15" t="inlineStr">
        <is>
          <t>1101/26/01</t>
        </is>
      </c>
      <c r="D302" s="15" t="inlineStr">
        <is>
          <t>شركة مصر العليا لتوزيع الكهرباء</t>
        </is>
      </c>
      <c r="E302" s="15" t="inlineStr">
        <is>
          <t>MV</t>
        </is>
      </c>
      <c r="F302" s="15" t="inlineStr">
        <is>
          <t>12/20KV 3X300</t>
        </is>
      </c>
      <c r="G302" s="15" t="inlineStr">
        <is>
          <t>EX07</t>
        </is>
      </c>
      <c r="H302" s="15" t="inlineStr">
        <is>
          <t>Wooden Drums</t>
        </is>
      </c>
      <c r="I302" s="15" t="inlineStr">
        <is>
          <t>OK</t>
        </is>
      </c>
      <c r="J302" s="15" t="inlineStr">
        <is>
          <t>A</t>
        </is>
      </c>
      <c r="K302" s="15" t="inlineStr">
        <is>
          <t>N</t>
        </is>
      </c>
      <c r="L302" s="15" t="n">
        <v>403</v>
      </c>
      <c r="M302" s="16" t="n">
        <v>0.9547070000000001</v>
      </c>
      <c r="N302" s="16" t="n">
        <v>0</v>
      </c>
      <c r="O302" s="16" t="n">
        <v>0</v>
      </c>
      <c r="P302" s="16" t="n">
        <v>0.9547070000000001</v>
      </c>
      <c r="Q302">
        <f>--($A302=IF('الداشبورد'!$B$5="الكل",$A302,'الداشبورد'!$B$5))</f>
        <v/>
      </c>
      <c r="R302">
        <f>--($E302=IF('الداشبورد'!$B$6="الكل",$E302,'الداشبورد'!$B$6))</f>
        <v/>
      </c>
      <c r="S302">
        <f>--($K302=IF('الداشبورد'!$B$7="الكل",$K302,IF('الداشبورد'!$B$7="تصدير","Y","N")))</f>
        <v/>
      </c>
      <c r="T302">
        <f>--($J302=IF('الداشبورد'!$B$8="الكل",$J302,IF('الداشبورد'!$B$8="AL","A","C")))</f>
        <v/>
      </c>
      <c r="U302">
        <f>--($I302=IF('الداشبورد'!$B$9="الكل",$I302,IF('الداشبورد'!$B$9="بدون حالة","P",'الداشبورد'!$B$9)))</f>
        <v/>
      </c>
      <c r="V302">
        <f>--($D302=IF('الداشبورد'!$B$10="الكل",$D302,'الداشبورد'!$B$10))</f>
        <v/>
      </c>
      <c r="W302">
        <f>--($G302=IF('الداشبورد'!$B$11="الكل",$G302,'الداشبورد'!$B$11))</f>
        <v/>
      </c>
      <c r="X302">
        <f>Q302*R302*S302*T302*U302*V302*W302*--($C302&lt;&gt;"")</f>
        <v/>
      </c>
    </row>
    <row r="303">
      <c r="A303" s="15" t="n">
        <v>4</v>
      </c>
      <c r="B303" s="15" t="inlineStr">
        <is>
          <t>V184491</t>
        </is>
      </c>
      <c r="C303" s="15" t="inlineStr">
        <is>
          <t>1101/26/01</t>
        </is>
      </c>
      <c r="D303" s="15" t="inlineStr">
        <is>
          <t>شركة مصر العليا لتوزيع الكهرباء</t>
        </is>
      </c>
      <c r="E303" s="15" t="inlineStr">
        <is>
          <t>MV</t>
        </is>
      </c>
      <c r="F303" s="15" t="inlineStr">
        <is>
          <t>12/20KV 3X300</t>
        </is>
      </c>
      <c r="G303" s="15" t="inlineStr">
        <is>
          <t>EX07</t>
        </is>
      </c>
      <c r="H303" s="15" t="inlineStr">
        <is>
          <t>Wooden Drums</t>
        </is>
      </c>
      <c r="I303" s="15" t="inlineStr">
        <is>
          <t>OK</t>
        </is>
      </c>
      <c r="J303" s="15" t="inlineStr">
        <is>
          <t>A</t>
        </is>
      </c>
      <c r="K303" s="15" t="inlineStr">
        <is>
          <t>N</t>
        </is>
      </c>
      <c r="L303" s="15" t="n">
        <v>407</v>
      </c>
      <c r="M303" s="16" t="n">
        <v>0.9641830000000001</v>
      </c>
      <c r="N303" s="16" t="n">
        <v>0</v>
      </c>
      <c r="O303" s="16" t="n">
        <v>0</v>
      </c>
      <c r="P303" s="16" t="n">
        <v>0.9641830000000001</v>
      </c>
      <c r="Q303">
        <f>--($A303=IF('الداشبورد'!$B$5="الكل",$A303,'الداشبورد'!$B$5))</f>
        <v/>
      </c>
      <c r="R303">
        <f>--($E303=IF('الداشبورد'!$B$6="الكل",$E303,'الداشبورد'!$B$6))</f>
        <v/>
      </c>
      <c r="S303">
        <f>--($K303=IF('الداشبورد'!$B$7="الكل",$K303,IF('الداشبورد'!$B$7="تصدير","Y","N")))</f>
        <v/>
      </c>
      <c r="T303">
        <f>--($J303=IF('الداشبورد'!$B$8="الكل",$J303,IF('الداشبورد'!$B$8="AL","A","C")))</f>
        <v/>
      </c>
      <c r="U303">
        <f>--($I303=IF('الداشبورد'!$B$9="الكل",$I303,IF('الداشبورد'!$B$9="بدون حالة","P",'الداشبورد'!$B$9)))</f>
        <v/>
      </c>
      <c r="V303">
        <f>--($D303=IF('الداشبورد'!$B$10="الكل",$D303,'الداشبورد'!$B$10))</f>
        <v/>
      </c>
      <c r="W303">
        <f>--($G303=IF('الداشبورد'!$B$11="الكل",$G303,'الداشبورد'!$B$11))</f>
        <v/>
      </c>
      <c r="X303">
        <f>Q303*R303*S303*T303*U303*V303*W303*--($C303&lt;&gt;"")</f>
        <v/>
      </c>
    </row>
    <row r="304">
      <c r="A304" s="15" t="n">
        <v>4</v>
      </c>
      <c r="B304" s="15" t="inlineStr">
        <is>
          <t>V184402</t>
        </is>
      </c>
      <c r="C304" s="15" t="inlineStr">
        <is>
          <t>1101/26/01</t>
        </is>
      </c>
      <c r="D304" s="15" t="inlineStr">
        <is>
          <t>شركة مصر العليا لتوزيع الكهرباء</t>
        </is>
      </c>
      <c r="E304" s="15" t="inlineStr">
        <is>
          <t>MV</t>
        </is>
      </c>
      <c r="F304" s="15" t="inlineStr">
        <is>
          <t>12/20KV 3X300</t>
        </is>
      </c>
      <c r="G304" s="15" t="inlineStr">
        <is>
          <t>EX07</t>
        </is>
      </c>
      <c r="H304" s="15" t="inlineStr">
        <is>
          <t>Wooden Drums</t>
        </is>
      </c>
      <c r="I304" s="15" t="inlineStr">
        <is>
          <t>OK</t>
        </is>
      </c>
      <c r="J304" s="15" t="inlineStr">
        <is>
          <t>A</t>
        </is>
      </c>
      <c r="K304" s="15" t="inlineStr">
        <is>
          <t>N</t>
        </is>
      </c>
      <c r="L304" s="15" t="n">
        <v>405</v>
      </c>
      <c r="M304" s="16" t="n">
        <v>0.9594450000000001</v>
      </c>
      <c r="N304" s="16" t="n">
        <v>0</v>
      </c>
      <c r="O304" s="16" t="n">
        <v>0</v>
      </c>
      <c r="P304" s="16" t="n">
        <v>0.9594450000000001</v>
      </c>
      <c r="Q304">
        <f>--($A304=IF('الداشبورد'!$B$5="الكل",$A304,'الداشبورد'!$B$5))</f>
        <v/>
      </c>
      <c r="R304">
        <f>--($E304=IF('الداشبورد'!$B$6="الكل",$E304,'الداشبورد'!$B$6))</f>
        <v/>
      </c>
      <c r="S304">
        <f>--($K304=IF('الداشبورد'!$B$7="الكل",$K304,IF('الداشبورد'!$B$7="تصدير","Y","N")))</f>
        <v/>
      </c>
      <c r="T304">
        <f>--($J304=IF('الداشبورد'!$B$8="الكل",$J304,IF('الداشبورد'!$B$8="AL","A","C")))</f>
        <v/>
      </c>
      <c r="U304">
        <f>--($I304=IF('الداشبورد'!$B$9="الكل",$I304,IF('الداشبورد'!$B$9="بدون حالة","P",'الداشبورد'!$B$9)))</f>
        <v/>
      </c>
      <c r="V304">
        <f>--($D304=IF('الداشبورد'!$B$10="الكل",$D304,'الداشبورد'!$B$10))</f>
        <v/>
      </c>
      <c r="W304">
        <f>--($G304=IF('الداشبورد'!$B$11="الكل",$G304,'الداشبورد'!$B$11))</f>
        <v/>
      </c>
      <c r="X304">
        <f>Q304*R304*S304*T304*U304*V304*W304*--($C304&lt;&gt;"")</f>
        <v/>
      </c>
    </row>
    <row r="305">
      <c r="A305" s="15" t="n">
        <v>4</v>
      </c>
      <c r="B305" s="15" t="inlineStr">
        <is>
          <t>V184609</t>
        </is>
      </c>
      <c r="C305" s="15" t="inlineStr">
        <is>
          <t>1101/26/01</t>
        </is>
      </c>
      <c r="D305" s="15" t="inlineStr">
        <is>
          <t>شركة مصر العليا لتوزيع الكهرباء</t>
        </is>
      </c>
      <c r="E305" s="15" t="inlineStr">
        <is>
          <t>MV</t>
        </is>
      </c>
      <c r="F305" s="15" t="inlineStr">
        <is>
          <t>12/20KV 3X300</t>
        </is>
      </c>
      <c r="G305" s="15" t="inlineStr">
        <is>
          <t>EX07</t>
        </is>
      </c>
      <c r="H305" s="15" t="inlineStr">
        <is>
          <t>Wooden Drums</t>
        </is>
      </c>
      <c r="I305" s="15" t="inlineStr">
        <is>
          <t>OK</t>
        </is>
      </c>
      <c r="J305" s="15" t="inlineStr">
        <is>
          <t>A</t>
        </is>
      </c>
      <c r="K305" s="15" t="inlineStr">
        <is>
          <t>N</t>
        </is>
      </c>
      <c r="L305" s="15" t="n">
        <v>422</v>
      </c>
      <c r="M305" s="16" t="n">
        <v>0.9997180000000001</v>
      </c>
      <c r="N305" s="16" t="n">
        <v>0</v>
      </c>
      <c r="O305" s="16" t="n">
        <v>0</v>
      </c>
      <c r="P305" s="16" t="n">
        <v>0.9997180000000001</v>
      </c>
      <c r="Q305">
        <f>--($A305=IF('الداشبورد'!$B$5="الكل",$A305,'الداشبورد'!$B$5))</f>
        <v/>
      </c>
      <c r="R305">
        <f>--($E305=IF('الداشبورد'!$B$6="الكل",$E305,'الداشبورد'!$B$6))</f>
        <v/>
      </c>
      <c r="S305">
        <f>--($K305=IF('الداشبورد'!$B$7="الكل",$K305,IF('الداشبورد'!$B$7="تصدير","Y","N")))</f>
        <v/>
      </c>
      <c r="T305">
        <f>--($J305=IF('الداشبورد'!$B$8="الكل",$J305,IF('الداشبورد'!$B$8="AL","A","C")))</f>
        <v/>
      </c>
      <c r="U305">
        <f>--($I305=IF('الداشبورد'!$B$9="الكل",$I305,IF('الداشبورد'!$B$9="بدون حالة","P",'الداشبورد'!$B$9)))</f>
        <v/>
      </c>
      <c r="V305">
        <f>--($D305=IF('الداشبورد'!$B$10="الكل",$D305,'الداشبورد'!$B$10))</f>
        <v/>
      </c>
      <c r="W305">
        <f>--($G305=IF('الداشبورد'!$B$11="الكل",$G305,'الداشبورد'!$B$11))</f>
        <v/>
      </c>
      <c r="X305">
        <f>Q305*R305*S305*T305*U305*V305*W305*--($C305&lt;&gt;"")</f>
        <v/>
      </c>
    </row>
    <row r="306">
      <c r="A306" s="15" t="n">
        <v>4</v>
      </c>
      <c r="B306" s="15" t="inlineStr">
        <is>
          <t>SS-502</t>
        </is>
      </c>
      <c r="C306" s="15" t="inlineStr">
        <is>
          <t>1385/26/03</t>
        </is>
      </c>
      <c r="D306" s="15" t="inlineStr">
        <is>
          <t>الشركة العربية للصناعة والتجارة الدولية</t>
        </is>
      </c>
      <c r="E306" s="15" t="inlineStr">
        <is>
          <t>LV</t>
        </is>
      </c>
      <c r="F306" s="15" t="inlineStr">
        <is>
          <t>0.6/1 KV 3*240+120</t>
        </is>
      </c>
      <c r="G306" s="15" t="inlineStr">
        <is>
          <t>EX09</t>
        </is>
      </c>
      <c r="H306" s="15" t="inlineStr">
        <is>
          <t>Wooden Drums</t>
        </is>
      </c>
      <c r="I306" s="15" t="inlineStr">
        <is>
          <t>Hold</t>
        </is>
      </c>
      <c r="J306" s="15" t="inlineStr">
        <is>
          <t>A</t>
        </is>
      </c>
      <c r="K306" s="15" t="inlineStr">
        <is>
          <t>N</t>
        </is>
      </c>
      <c r="L306" s="15" t="n">
        <v>1018</v>
      </c>
      <c r="M306" s="16" t="n">
        <v>2.236546</v>
      </c>
      <c r="N306" s="16" t="n">
        <v>0</v>
      </c>
      <c r="O306" s="16" t="n">
        <v>0</v>
      </c>
      <c r="P306" s="16" t="n">
        <v>2.236546</v>
      </c>
      <c r="Q306">
        <f>--($A306=IF('الداشبورد'!$B$5="الكل",$A306,'الداشبورد'!$B$5))</f>
        <v/>
      </c>
      <c r="R306">
        <f>--($E306=IF('الداشبورد'!$B$6="الكل",$E306,'الداشبورد'!$B$6))</f>
        <v/>
      </c>
      <c r="S306">
        <f>--($K306=IF('الداشبورد'!$B$7="الكل",$K306,IF('الداشبورد'!$B$7="تصدير","Y","N")))</f>
        <v/>
      </c>
      <c r="T306">
        <f>--($J306=IF('الداشبورد'!$B$8="الكل",$J306,IF('الداشبورد'!$B$8="AL","A","C")))</f>
        <v/>
      </c>
      <c r="U306">
        <f>--($I306=IF('الداشبورد'!$B$9="الكل",$I306,IF('الداشبورد'!$B$9="بدون حالة","P",'الداشبورد'!$B$9)))</f>
        <v/>
      </c>
      <c r="V306">
        <f>--($D306=IF('الداشبورد'!$B$10="الكل",$D306,'الداشبورد'!$B$10))</f>
        <v/>
      </c>
      <c r="W306">
        <f>--($G306=IF('الداشبورد'!$B$11="الكل",$G306,'الداشبورد'!$B$11))</f>
        <v/>
      </c>
      <c r="X306">
        <f>Q306*R306*S306*T306*U306*V306*W306*--($C306&lt;&gt;"")</f>
        <v/>
      </c>
    </row>
    <row r="307">
      <c r="A307" s="15" t="n">
        <v>4</v>
      </c>
      <c r="B307" s="15" t="inlineStr">
        <is>
          <t>R184187</t>
        </is>
      </c>
      <c r="C307" s="15" t="inlineStr">
        <is>
          <t>1385/26/03</t>
        </is>
      </c>
      <c r="D307" s="15" t="inlineStr">
        <is>
          <t>الشركة العربية للصناعة والتجارة الدولية</t>
        </is>
      </c>
      <c r="E307" s="15" t="inlineStr">
        <is>
          <t>LV</t>
        </is>
      </c>
      <c r="F307" s="15" t="inlineStr">
        <is>
          <t>0.6/1 KV 3*240+120</t>
        </is>
      </c>
      <c r="G307" s="15" t="inlineStr">
        <is>
          <t>EX09</t>
        </is>
      </c>
      <c r="H307" s="15" t="inlineStr">
        <is>
          <t>Wooden Drums</t>
        </is>
      </c>
      <c r="I307" s="15" t="inlineStr">
        <is>
          <t>OK</t>
        </is>
      </c>
      <c r="J307" s="15" t="inlineStr">
        <is>
          <t>A</t>
        </is>
      </c>
      <c r="K307" s="15" t="inlineStr">
        <is>
          <t>N</t>
        </is>
      </c>
      <c r="L307" s="15" t="n">
        <v>1010</v>
      </c>
      <c r="M307" s="16" t="n">
        <v>2.21897</v>
      </c>
      <c r="N307" s="16" t="n">
        <v>0</v>
      </c>
      <c r="O307" s="16" t="n">
        <v>0</v>
      </c>
      <c r="P307" s="16" t="n">
        <v>2.21897</v>
      </c>
      <c r="Q307">
        <f>--($A307=IF('الداشبورد'!$B$5="الكل",$A307,'الداشبورد'!$B$5))</f>
        <v/>
      </c>
      <c r="R307">
        <f>--($E307=IF('الداشبورد'!$B$6="الكل",$E307,'الداشبورد'!$B$6))</f>
        <v/>
      </c>
      <c r="S307">
        <f>--($K307=IF('الداشبورد'!$B$7="الكل",$K307,IF('الداشبورد'!$B$7="تصدير","Y","N")))</f>
        <v/>
      </c>
      <c r="T307">
        <f>--($J307=IF('الداشبورد'!$B$8="الكل",$J307,IF('الداشبورد'!$B$8="AL","A","C")))</f>
        <v/>
      </c>
      <c r="U307">
        <f>--($I307=IF('الداشبورد'!$B$9="الكل",$I307,IF('الداشبورد'!$B$9="بدون حالة","P",'الداشبورد'!$B$9)))</f>
        <v/>
      </c>
      <c r="V307">
        <f>--($D307=IF('الداشبورد'!$B$10="الكل",$D307,'الداشبورد'!$B$10))</f>
        <v/>
      </c>
      <c r="W307">
        <f>--($G307=IF('الداشبورد'!$B$11="الكل",$G307,'الداشبورد'!$B$11))</f>
        <v/>
      </c>
      <c r="X307">
        <f>Q307*R307*S307*T307*U307*V307*W307*--($C307&lt;&gt;"")</f>
        <v/>
      </c>
    </row>
    <row r="308">
      <c r="A308" s="15" t="n">
        <v>4</v>
      </c>
      <c r="B308" s="15" t="inlineStr">
        <is>
          <t>K-39</t>
        </is>
      </c>
      <c r="C308" s="15" t="inlineStr">
        <is>
          <t>1385/26/03</t>
        </is>
      </c>
      <c r="D308" s="15" t="inlineStr">
        <is>
          <t>الشركة العربية للصناعة والتجارة الدولية</t>
        </is>
      </c>
      <c r="E308" s="15" t="inlineStr">
        <is>
          <t>LV</t>
        </is>
      </c>
      <c r="F308" s="15" t="inlineStr">
        <is>
          <t>0.6/1 KV 3*240+120</t>
        </is>
      </c>
      <c r="G308" s="15" t="inlineStr">
        <is>
          <t>EX09</t>
        </is>
      </c>
      <c r="H308" s="15" t="inlineStr">
        <is>
          <t>Wooden Drums</t>
        </is>
      </c>
      <c r="I308" s="15" t="inlineStr">
        <is>
          <t>Hold</t>
        </is>
      </c>
      <c r="J308" s="15" t="inlineStr">
        <is>
          <t>A</t>
        </is>
      </c>
      <c r="K308" s="15" t="inlineStr">
        <is>
          <t>N</t>
        </is>
      </c>
      <c r="L308" s="15" t="n">
        <v>1974</v>
      </c>
      <c r="M308" s="16" t="n">
        <v>4.336878</v>
      </c>
      <c r="N308" s="16" t="n">
        <v>0</v>
      </c>
      <c r="O308" s="16" t="n">
        <v>0</v>
      </c>
      <c r="P308" s="16" t="n">
        <v>4.336878</v>
      </c>
      <c r="Q308">
        <f>--($A308=IF('الداشبورد'!$B$5="الكل",$A308,'الداشبورد'!$B$5))</f>
        <v/>
      </c>
      <c r="R308">
        <f>--($E308=IF('الداشبورد'!$B$6="الكل",$E308,'الداشبورد'!$B$6))</f>
        <v/>
      </c>
      <c r="S308">
        <f>--($K308=IF('الداشبورد'!$B$7="الكل",$K308,IF('الداشبورد'!$B$7="تصدير","Y","N")))</f>
        <v/>
      </c>
      <c r="T308">
        <f>--($J308=IF('الداشبورد'!$B$8="الكل",$J308,IF('الداشبورد'!$B$8="AL","A","C")))</f>
        <v/>
      </c>
      <c r="U308">
        <f>--($I308=IF('الداشبورد'!$B$9="الكل",$I308,IF('الداشبورد'!$B$9="بدون حالة","P",'الداشبورد'!$B$9)))</f>
        <v/>
      </c>
      <c r="V308">
        <f>--($D308=IF('الداشبورد'!$B$10="الكل",$D308,'الداشبورد'!$B$10))</f>
        <v/>
      </c>
      <c r="W308">
        <f>--($G308=IF('الداشبورد'!$B$11="الكل",$G308,'الداشبورد'!$B$11))</f>
        <v/>
      </c>
      <c r="X308">
        <f>Q308*R308*S308*T308*U308*V308*W308*--($C308&lt;&gt;"")</f>
        <v/>
      </c>
    </row>
    <row r="309">
      <c r="A309" s="15" t="n">
        <v>4</v>
      </c>
      <c r="B309" s="15" t="inlineStr">
        <is>
          <t>K-48</t>
        </is>
      </c>
      <c r="C309" s="15" t="inlineStr">
        <is>
          <t>1385/26/03</t>
        </is>
      </c>
      <c r="D309" s="15" t="inlineStr">
        <is>
          <t>الشركة العربية للصناعة والتجارة الدولية</t>
        </is>
      </c>
      <c r="E309" s="15" t="inlineStr">
        <is>
          <t>LV</t>
        </is>
      </c>
      <c r="F309" s="15" t="inlineStr">
        <is>
          <t>0.6/1 KV 3*240+120</t>
        </is>
      </c>
      <c r="G309" s="15" t="inlineStr">
        <is>
          <t>EX09</t>
        </is>
      </c>
      <c r="H309" s="15" t="inlineStr">
        <is>
          <t>Wooden Drums</t>
        </is>
      </c>
      <c r="I309" s="15" t="inlineStr">
        <is>
          <t>Hold</t>
        </is>
      </c>
      <c r="J309" s="15" t="inlineStr">
        <is>
          <t>A</t>
        </is>
      </c>
      <c r="K309" s="15" t="inlineStr">
        <is>
          <t>N</t>
        </is>
      </c>
      <c r="L309" s="15" t="n">
        <v>2024</v>
      </c>
      <c r="M309" s="16" t="n">
        <v>4.446728</v>
      </c>
      <c r="N309" s="16" t="n">
        <v>0</v>
      </c>
      <c r="O309" s="16" t="n">
        <v>0</v>
      </c>
      <c r="P309" s="16" t="n">
        <v>4.446728</v>
      </c>
      <c r="Q309">
        <f>--($A309=IF('الداشبورد'!$B$5="الكل",$A309,'الداشبورد'!$B$5))</f>
        <v/>
      </c>
      <c r="R309">
        <f>--($E309=IF('الداشبورد'!$B$6="الكل",$E309,'الداشبورد'!$B$6))</f>
        <v/>
      </c>
      <c r="S309">
        <f>--($K309=IF('الداشبورد'!$B$7="الكل",$K309,IF('الداشبورد'!$B$7="تصدير","Y","N")))</f>
        <v/>
      </c>
      <c r="T309">
        <f>--($J309=IF('الداشبورد'!$B$8="الكل",$J309,IF('الداشبورد'!$B$8="AL","A","C")))</f>
        <v/>
      </c>
      <c r="U309">
        <f>--($I309=IF('الداشبورد'!$B$9="الكل",$I309,IF('الداشبورد'!$B$9="بدون حالة","P",'الداشبورد'!$B$9)))</f>
        <v/>
      </c>
      <c r="V309">
        <f>--($D309=IF('الداشبورد'!$B$10="الكل",$D309,'الداشبورد'!$B$10))</f>
        <v/>
      </c>
      <c r="W309">
        <f>--($G309=IF('الداشبورد'!$B$11="الكل",$G309,'الداشبورد'!$B$11))</f>
        <v/>
      </c>
      <c r="X309">
        <f>Q309*R309*S309*T309*U309*V309*W309*--($C309&lt;&gt;"")</f>
        <v/>
      </c>
    </row>
    <row r="310">
      <c r="A310" s="15" t="n">
        <v>4</v>
      </c>
      <c r="B310" s="15" t="inlineStr">
        <is>
          <t>T-12</t>
        </is>
      </c>
      <c r="C310" s="15" t="inlineStr">
        <is>
          <t>1385/26/03</t>
        </is>
      </c>
      <c r="D310" s="15" t="inlineStr">
        <is>
          <t>الشركة العربية للصناعة والتجارة الدولية</t>
        </is>
      </c>
      <c r="E310" s="15" t="inlineStr">
        <is>
          <t>LV</t>
        </is>
      </c>
      <c r="F310" s="15" t="inlineStr">
        <is>
          <t>0.6/1 KV 3*240+120</t>
        </is>
      </c>
      <c r="G310" s="15" t="inlineStr">
        <is>
          <t>EX09</t>
        </is>
      </c>
      <c r="H310" s="15" t="inlineStr">
        <is>
          <t>Wooden Drums</t>
        </is>
      </c>
      <c r="I310" s="15" t="inlineStr">
        <is>
          <t>Hold</t>
        </is>
      </c>
      <c r="J310" s="15" t="inlineStr">
        <is>
          <t>A</t>
        </is>
      </c>
      <c r="K310" s="15" t="inlineStr">
        <is>
          <t>N</t>
        </is>
      </c>
      <c r="L310" s="15" t="n">
        <v>1006</v>
      </c>
      <c r="M310" s="16" t="n">
        <v>2.210182</v>
      </c>
      <c r="N310" s="16" t="n">
        <v>0</v>
      </c>
      <c r="O310" s="16" t="n">
        <v>0</v>
      </c>
      <c r="P310" s="16" t="n">
        <v>2.210182</v>
      </c>
      <c r="Q310">
        <f>--($A310=IF('الداشبورد'!$B$5="الكل",$A310,'الداشبورد'!$B$5))</f>
        <v/>
      </c>
      <c r="R310">
        <f>--($E310=IF('الداشبورد'!$B$6="الكل",$E310,'الداشبورد'!$B$6))</f>
        <v/>
      </c>
      <c r="S310">
        <f>--($K310=IF('الداشبورد'!$B$7="الكل",$K310,IF('الداشبورد'!$B$7="تصدير","Y","N")))</f>
        <v/>
      </c>
      <c r="T310">
        <f>--($J310=IF('الداشبورد'!$B$8="الكل",$J310,IF('الداشبورد'!$B$8="AL","A","C")))</f>
        <v/>
      </c>
      <c r="U310">
        <f>--($I310=IF('الداشبورد'!$B$9="الكل",$I310,IF('الداشبورد'!$B$9="بدون حالة","P",'الداشبورد'!$B$9)))</f>
        <v/>
      </c>
      <c r="V310">
        <f>--($D310=IF('الداشبورد'!$B$10="الكل",$D310,'الداشبورد'!$B$10))</f>
        <v/>
      </c>
      <c r="W310">
        <f>--($G310=IF('الداشبورد'!$B$11="الكل",$G310,'الداشبورد'!$B$11))</f>
        <v/>
      </c>
      <c r="X310">
        <f>Q310*R310*S310*T310*U310*V310*W310*--($C310&lt;&gt;"")</f>
        <v/>
      </c>
    </row>
    <row r="311">
      <c r="A311" s="15" t="n">
        <v>4</v>
      </c>
      <c r="B311" s="15" t="inlineStr">
        <is>
          <t>K-43</t>
        </is>
      </c>
      <c r="C311" s="15" t="inlineStr">
        <is>
          <t>1385/26/03</t>
        </is>
      </c>
      <c r="D311" s="15" t="inlineStr">
        <is>
          <t>الشركة العربية للصناعة والتجارة الدولية</t>
        </is>
      </c>
      <c r="E311" s="15" t="inlineStr">
        <is>
          <t>LV</t>
        </is>
      </c>
      <c r="F311" s="15" t="inlineStr">
        <is>
          <t>0.6/1 KV 3*240+120</t>
        </is>
      </c>
      <c r="G311" s="15" t="inlineStr">
        <is>
          <t>EX09</t>
        </is>
      </c>
      <c r="H311" s="15" t="inlineStr">
        <is>
          <t>Wooden Drums</t>
        </is>
      </c>
      <c r="I311" s="15" t="inlineStr">
        <is>
          <t>Hold</t>
        </is>
      </c>
      <c r="J311" s="15" t="inlineStr">
        <is>
          <t>A</t>
        </is>
      </c>
      <c r="K311" s="15" t="inlineStr">
        <is>
          <t>N</t>
        </is>
      </c>
      <c r="L311" s="15" t="n">
        <v>2050</v>
      </c>
      <c r="M311" s="16" t="n">
        <v>4.503850000000001</v>
      </c>
      <c r="N311" s="16" t="n">
        <v>0</v>
      </c>
      <c r="O311" s="16" t="n">
        <v>0</v>
      </c>
      <c r="P311" s="16" t="n">
        <v>4.503850000000001</v>
      </c>
      <c r="Q311">
        <f>--($A311=IF('الداشبورد'!$B$5="الكل",$A311,'الداشبورد'!$B$5))</f>
        <v/>
      </c>
      <c r="R311">
        <f>--($E311=IF('الداشبورد'!$B$6="الكل",$E311,'الداشبورد'!$B$6))</f>
        <v/>
      </c>
      <c r="S311">
        <f>--($K311=IF('الداشبورد'!$B$7="الكل",$K311,IF('الداشبورد'!$B$7="تصدير","Y","N")))</f>
        <v/>
      </c>
      <c r="T311">
        <f>--($J311=IF('الداشبورد'!$B$8="الكل",$J311,IF('الداشبورد'!$B$8="AL","A","C")))</f>
        <v/>
      </c>
      <c r="U311">
        <f>--($I311=IF('الداشبورد'!$B$9="الكل",$I311,IF('الداشبورد'!$B$9="بدون حالة","P",'الداشبورد'!$B$9)))</f>
        <v/>
      </c>
      <c r="V311">
        <f>--($D311=IF('الداشبورد'!$B$10="الكل",$D311,'الداشبورد'!$B$10))</f>
        <v/>
      </c>
      <c r="W311">
        <f>--($G311=IF('الداشبورد'!$B$11="الكل",$G311,'الداشبورد'!$B$11))</f>
        <v/>
      </c>
      <c r="X311">
        <f>Q311*R311*S311*T311*U311*V311*W311*--($C311&lt;&gt;"")</f>
        <v/>
      </c>
    </row>
    <row r="312">
      <c r="A312" s="15" t="n">
        <v>4</v>
      </c>
      <c r="B312" s="15" t="inlineStr">
        <is>
          <t>R184539</t>
        </is>
      </c>
      <c r="C312" s="15" t="inlineStr">
        <is>
          <t>1385/26/03</t>
        </is>
      </c>
      <c r="D312" s="15" t="inlineStr">
        <is>
          <t>الشركة العربية للصناعة والتجارة الدولية</t>
        </is>
      </c>
      <c r="E312" s="15" t="inlineStr">
        <is>
          <t>LV</t>
        </is>
      </c>
      <c r="F312" s="15" t="inlineStr">
        <is>
          <t>0.6/1 KV 3*240+120</t>
        </is>
      </c>
      <c r="G312" s="15" t="inlineStr">
        <is>
          <t>EX09</t>
        </is>
      </c>
      <c r="H312" s="15" t="inlineStr">
        <is>
          <t>Wooden Drums</t>
        </is>
      </c>
      <c r="I312" s="15" t="inlineStr">
        <is>
          <t>OK</t>
        </is>
      </c>
      <c r="J312" s="15" t="inlineStr">
        <is>
          <t>A</t>
        </is>
      </c>
      <c r="K312" s="15" t="inlineStr">
        <is>
          <t>N</t>
        </is>
      </c>
      <c r="L312" s="15" t="n">
        <v>1015</v>
      </c>
      <c r="M312" s="16" t="n">
        <v>2.229955</v>
      </c>
      <c r="N312" s="16" t="n">
        <v>0</v>
      </c>
      <c r="O312" s="16" t="n">
        <v>0</v>
      </c>
      <c r="P312" s="16" t="n">
        <v>2.229955</v>
      </c>
      <c r="Q312">
        <f>--($A312=IF('الداشبورد'!$B$5="الكل",$A312,'الداشبورد'!$B$5))</f>
        <v/>
      </c>
      <c r="R312">
        <f>--($E312=IF('الداشبورد'!$B$6="الكل",$E312,'الداشبورد'!$B$6))</f>
        <v/>
      </c>
      <c r="S312">
        <f>--($K312=IF('الداشبورد'!$B$7="الكل",$K312,IF('الداشبورد'!$B$7="تصدير","Y","N")))</f>
        <v/>
      </c>
      <c r="T312">
        <f>--($J312=IF('الداشبورد'!$B$8="الكل",$J312,IF('الداشبورد'!$B$8="AL","A","C")))</f>
        <v/>
      </c>
      <c r="U312">
        <f>--($I312=IF('الداشبورد'!$B$9="الكل",$I312,IF('الداشبورد'!$B$9="بدون حالة","P",'الداشبورد'!$B$9)))</f>
        <v/>
      </c>
      <c r="V312">
        <f>--($D312=IF('الداشبورد'!$B$10="الكل",$D312,'الداشبورد'!$B$10))</f>
        <v/>
      </c>
      <c r="W312">
        <f>--($G312=IF('الداشبورد'!$B$11="الكل",$G312,'الداشبورد'!$B$11))</f>
        <v/>
      </c>
      <c r="X312">
        <f>Q312*R312*S312*T312*U312*V312*W312*--($C312&lt;&gt;"")</f>
        <v/>
      </c>
    </row>
    <row r="313">
      <c r="A313" s="15" t="n">
        <v>4</v>
      </c>
      <c r="B313" s="15" t="inlineStr">
        <is>
          <t>T184545</t>
        </is>
      </c>
      <c r="C313" s="15" t="inlineStr">
        <is>
          <t>1385/26/03</t>
        </is>
      </c>
      <c r="D313" s="15" t="inlineStr">
        <is>
          <t>الشركة العربية للصناعة والتجارة الدولية</t>
        </is>
      </c>
      <c r="E313" s="15" t="inlineStr">
        <is>
          <t>LV</t>
        </is>
      </c>
      <c r="F313" s="15" t="inlineStr">
        <is>
          <t>0.6/1 KV 3*240+120</t>
        </is>
      </c>
      <c r="G313" s="15" t="inlineStr">
        <is>
          <t>EX09</t>
        </is>
      </c>
      <c r="H313" s="15" t="inlineStr">
        <is>
          <t>Wooden Drums</t>
        </is>
      </c>
      <c r="I313" s="15" t="inlineStr">
        <is>
          <t>OK</t>
        </is>
      </c>
      <c r="J313" s="15" t="inlineStr">
        <is>
          <t>A</t>
        </is>
      </c>
      <c r="K313" s="15" t="inlineStr">
        <is>
          <t>N</t>
        </is>
      </c>
      <c r="L313" s="15" t="n">
        <v>1005</v>
      </c>
      <c r="M313" s="16" t="n">
        <v>2.207985</v>
      </c>
      <c r="N313" s="16" t="n">
        <v>0</v>
      </c>
      <c r="O313" s="16" t="n">
        <v>0</v>
      </c>
      <c r="P313" s="16" t="n">
        <v>2.207985</v>
      </c>
      <c r="Q313">
        <f>--($A313=IF('الداشبورد'!$B$5="الكل",$A313,'الداشبورد'!$B$5))</f>
        <v/>
      </c>
      <c r="R313">
        <f>--($E313=IF('الداشبورد'!$B$6="الكل",$E313,'الداشبورد'!$B$6))</f>
        <v/>
      </c>
      <c r="S313">
        <f>--($K313=IF('الداشبورد'!$B$7="الكل",$K313,IF('الداشبورد'!$B$7="تصدير","Y","N")))</f>
        <v/>
      </c>
      <c r="T313">
        <f>--($J313=IF('الداشبورد'!$B$8="الكل",$J313,IF('الداشبورد'!$B$8="AL","A","C")))</f>
        <v/>
      </c>
      <c r="U313">
        <f>--($I313=IF('الداشبورد'!$B$9="الكل",$I313,IF('الداشبورد'!$B$9="بدون حالة","P",'الداشبورد'!$B$9)))</f>
        <v/>
      </c>
      <c r="V313">
        <f>--($D313=IF('الداشبورد'!$B$10="الكل",$D313,'الداشبورد'!$B$10))</f>
        <v/>
      </c>
      <c r="W313">
        <f>--($G313=IF('الداشبورد'!$B$11="الكل",$G313,'الداشبورد'!$B$11))</f>
        <v/>
      </c>
      <c r="X313">
        <f>Q313*R313*S313*T313*U313*V313*W313*--($C313&lt;&gt;"")</f>
        <v/>
      </c>
    </row>
    <row r="314">
      <c r="A314" s="15" t="n">
        <v>4</v>
      </c>
      <c r="B314" s="15" t="inlineStr">
        <is>
          <t>R184579</t>
        </is>
      </c>
      <c r="C314" s="15" t="inlineStr">
        <is>
          <t>1385/26/03</t>
        </is>
      </c>
      <c r="D314" s="15" t="inlineStr">
        <is>
          <t>الشركة العربية للصناعة والتجارة الدولية</t>
        </is>
      </c>
      <c r="E314" s="15" t="inlineStr">
        <is>
          <t>LV</t>
        </is>
      </c>
      <c r="F314" s="15" t="inlineStr">
        <is>
          <t>0.6/1 KV 3*240+120</t>
        </is>
      </c>
      <c r="G314" s="15" t="inlineStr">
        <is>
          <t>EX09</t>
        </is>
      </c>
      <c r="H314" s="15" t="inlineStr">
        <is>
          <t>Wooden Drums</t>
        </is>
      </c>
      <c r="I314" s="15" t="inlineStr">
        <is>
          <t>OK</t>
        </is>
      </c>
      <c r="J314" s="15" t="inlineStr">
        <is>
          <t>A</t>
        </is>
      </c>
      <c r="K314" s="15" t="inlineStr">
        <is>
          <t>N</t>
        </is>
      </c>
      <c r="L314" s="15" t="n">
        <v>1003</v>
      </c>
      <c r="M314" s="16" t="n">
        <v>2.203591</v>
      </c>
      <c r="N314" s="16" t="n">
        <v>0</v>
      </c>
      <c r="O314" s="16" t="n">
        <v>0</v>
      </c>
      <c r="P314" s="16" t="n">
        <v>2.203591</v>
      </c>
      <c r="Q314">
        <f>--($A314=IF('الداشبورد'!$B$5="الكل",$A314,'الداشبورد'!$B$5))</f>
        <v/>
      </c>
      <c r="R314">
        <f>--($E314=IF('الداشبورد'!$B$6="الكل",$E314,'الداشبورد'!$B$6))</f>
        <v/>
      </c>
      <c r="S314">
        <f>--($K314=IF('الداشبورد'!$B$7="الكل",$K314,IF('الداشبورد'!$B$7="تصدير","Y","N")))</f>
        <v/>
      </c>
      <c r="T314">
        <f>--($J314=IF('الداشبورد'!$B$8="الكل",$J314,IF('الداشبورد'!$B$8="AL","A","C")))</f>
        <v/>
      </c>
      <c r="U314">
        <f>--($I314=IF('الداشبورد'!$B$9="الكل",$I314,IF('الداشبورد'!$B$9="بدون حالة","P",'الداشبورد'!$B$9)))</f>
        <v/>
      </c>
      <c r="V314">
        <f>--($D314=IF('الداشبورد'!$B$10="الكل",$D314,'الداشبورد'!$B$10))</f>
        <v/>
      </c>
      <c r="W314">
        <f>--($G314=IF('الداشبورد'!$B$11="الكل",$G314,'الداشبورد'!$B$11))</f>
        <v/>
      </c>
      <c r="X314">
        <f>Q314*R314*S314*T314*U314*V314*W314*--($C314&lt;&gt;"")</f>
        <v/>
      </c>
    </row>
    <row r="315">
      <c r="A315" s="15" t="n">
        <v>4</v>
      </c>
      <c r="B315" s="15" t="inlineStr">
        <is>
          <t>R184580</t>
        </is>
      </c>
      <c r="C315" s="15" t="inlineStr">
        <is>
          <t>1385/26/03</t>
        </is>
      </c>
      <c r="D315" s="15" t="inlineStr">
        <is>
          <t>الشركة العربية للصناعة والتجارة الدولية</t>
        </is>
      </c>
      <c r="E315" s="15" t="inlineStr">
        <is>
          <t>LV</t>
        </is>
      </c>
      <c r="F315" s="15" t="inlineStr">
        <is>
          <t>0.6/1 KV 3*240+120</t>
        </is>
      </c>
      <c r="G315" s="15" t="inlineStr">
        <is>
          <t>EX09</t>
        </is>
      </c>
      <c r="H315" s="15" t="inlineStr">
        <is>
          <t>Wooden Drums</t>
        </is>
      </c>
      <c r="I315" s="15" t="inlineStr">
        <is>
          <t>OK</t>
        </is>
      </c>
      <c r="J315" s="15" t="inlineStr">
        <is>
          <t>A</t>
        </is>
      </c>
      <c r="K315" s="15" t="inlineStr">
        <is>
          <t>N</t>
        </is>
      </c>
      <c r="L315" s="15" t="n">
        <v>1012</v>
      </c>
      <c r="M315" s="16" t="n">
        <v>2.223364</v>
      </c>
      <c r="N315" s="16" t="n">
        <v>0</v>
      </c>
      <c r="O315" s="16" t="n">
        <v>0</v>
      </c>
      <c r="P315" s="16" t="n">
        <v>2.223364</v>
      </c>
      <c r="Q315">
        <f>--($A315=IF('الداشبورد'!$B$5="الكل",$A315,'الداشبورد'!$B$5))</f>
        <v/>
      </c>
      <c r="R315">
        <f>--($E315=IF('الداشبورد'!$B$6="الكل",$E315,'الداشبورد'!$B$6))</f>
        <v/>
      </c>
      <c r="S315">
        <f>--($K315=IF('الداشبورد'!$B$7="الكل",$K315,IF('الداشبورد'!$B$7="تصدير","Y","N")))</f>
        <v/>
      </c>
      <c r="T315">
        <f>--($J315=IF('الداشبورد'!$B$8="الكل",$J315,IF('الداشبورد'!$B$8="AL","A","C")))</f>
        <v/>
      </c>
      <c r="U315">
        <f>--($I315=IF('الداشبورد'!$B$9="الكل",$I315,IF('الداشبورد'!$B$9="بدون حالة","P",'الداشبورد'!$B$9)))</f>
        <v/>
      </c>
      <c r="V315">
        <f>--($D315=IF('الداشبورد'!$B$10="الكل",$D315,'الداشبورد'!$B$10))</f>
        <v/>
      </c>
      <c r="W315">
        <f>--($G315=IF('الداشبورد'!$B$11="الكل",$G315,'الداشبورد'!$B$11))</f>
        <v/>
      </c>
      <c r="X315">
        <f>Q315*R315*S315*T315*U315*V315*W315*--($C315&lt;&gt;"")</f>
        <v/>
      </c>
    </row>
    <row r="316">
      <c r="A316" s="15" t="n">
        <v>4</v>
      </c>
      <c r="B316" s="15" t="inlineStr">
        <is>
          <t>R184583</t>
        </is>
      </c>
      <c r="C316" s="15" t="inlineStr">
        <is>
          <t>1385/26/03</t>
        </is>
      </c>
      <c r="D316" s="15" t="inlineStr">
        <is>
          <t>الشركة العربية للصناعة والتجارة الدولية</t>
        </is>
      </c>
      <c r="E316" s="15" t="inlineStr">
        <is>
          <t>LV</t>
        </is>
      </c>
      <c r="F316" s="15" t="inlineStr">
        <is>
          <t>0.6/1 KV 3*240+120</t>
        </is>
      </c>
      <c r="G316" s="15" t="inlineStr">
        <is>
          <t>EX09</t>
        </is>
      </c>
      <c r="H316" s="15" t="inlineStr">
        <is>
          <t>Wooden Drums</t>
        </is>
      </c>
      <c r="I316" s="15" t="inlineStr">
        <is>
          <t>OK</t>
        </is>
      </c>
      <c r="J316" s="15" t="inlineStr">
        <is>
          <t>A</t>
        </is>
      </c>
      <c r="K316" s="15" t="inlineStr">
        <is>
          <t>N</t>
        </is>
      </c>
      <c r="L316" s="15" t="n">
        <v>1012</v>
      </c>
      <c r="M316" s="16" t="n">
        <v>2.223364</v>
      </c>
      <c r="N316" s="16" t="n">
        <v>0</v>
      </c>
      <c r="O316" s="16" t="n">
        <v>0</v>
      </c>
      <c r="P316" s="16" t="n">
        <v>2.223364</v>
      </c>
      <c r="Q316">
        <f>--($A316=IF('الداشبورد'!$B$5="الكل",$A316,'الداشبورد'!$B$5))</f>
        <v/>
      </c>
      <c r="R316">
        <f>--($E316=IF('الداشبورد'!$B$6="الكل",$E316,'الداشبورد'!$B$6))</f>
        <v/>
      </c>
      <c r="S316">
        <f>--($K316=IF('الداشبورد'!$B$7="الكل",$K316,IF('الداشبورد'!$B$7="تصدير","Y","N")))</f>
        <v/>
      </c>
      <c r="T316">
        <f>--($J316=IF('الداشبورد'!$B$8="الكل",$J316,IF('الداشبورد'!$B$8="AL","A","C")))</f>
        <v/>
      </c>
      <c r="U316">
        <f>--($I316=IF('الداشبورد'!$B$9="الكل",$I316,IF('الداشبورد'!$B$9="بدون حالة","P",'الداشبورد'!$B$9)))</f>
        <v/>
      </c>
      <c r="V316">
        <f>--($D316=IF('الداشبورد'!$B$10="الكل",$D316,'الداشبورد'!$B$10))</f>
        <v/>
      </c>
      <c r="W316">
        <f>--($G316=IF('الداشبورد'!$B$11="الكل",$G316,'الداشبورد'!$B$11))</f>
        <v/>
      </c>
      <c r="X316">
        <f>Q316*R316*S316*T316*U316*V316*W316*--($C316&lt;&gt;"")</f>
        <v/>
      </c>
    </row>
    <row r="317">
      <c r="A317" s="15" t="n">
        <v>4</v>
      </c>
      <c r="B317" s="15" t="inlineStr">
        <is>
          <t>R184582</t>
        </is>
      </c>
      <c r="C317" s="15" t="inlineStr">
        <is>
          <t>1385/26/03</t>
        </is>
      </c>
      <c r="D317" s="15" t="inlineStr">
        <is>
          <t>الشركة العربية للصناعة والتجارة الدولية</t>
        </is>
      </c>
      <c r="E317" s="15" t="inlineStr">
        <is>
          <t>LV</t>
        </is>
      </c>
      <c r="F317" s="15" t="inlineStr">
        <is>
          <t>0.6/1 KV 3*240+120</t>
        </is>
      </c>
      <c r="G317" s="15" t="inlineStr">
        <is>
          <t>EX09</t>
        </is>
      </c>
      <c r="H317" s="15" t="inlineStr">
        <is>
          <t>Wooden Drums</t>
        </is>
      </c>
      <c r="I317" s="15" t="inlineStr">
        <is>
          <t>OK</t>
        </is>
      </c>
      <c r="J317" s="15" t="inlineStr">
        <is>
          <t>A</t>
        </is>
      </c>
      <c r="K317" s="15" t="inlineStr">
        <is>
          <t>N</t>
        </is>
      </c>
      <c r="L317" s="15" t="n">
        <v>1003</v>
      </c>
      <c r="M317" s="16" t="n">
        <v>2.203591</v>
      </c>
      <c r="N317" s="16" t="n">
        <v>0</v>
      </c>
      <c r="O317" s="16" t="n">
        <v>0</v>
      </c>
      <c r="P317" s="16" t="n">
        <v>2.203591</v>
      </c>
      <c r="Q317">
        <f>--($A317=IF('الداشبورد'!$B$5="الكل",$A317,'الداشبورد'!$B$5))</f>
        <v/>
      </c>
      <c r="R317">
        <f>--($E317=IF('الداشبورد'!$B$6="الكل",$E317,'الداشبورد'!$B$6))</f>
        <v/>
      </c>
      <c r="S317">
        <f>--($K317=IF('الداشبورد'!$B$7="الكل",$K317,IF('الداشبورد'!$B$7="تصدير","Y","N")))</f>
        <v/>
      </c>
      <c r="T317">
        <f>--($J317=IF('الداشبورد'!$B$8="الكل",$J317,IF('الداشبورد'!$B$8="AL","A","C")))</f>
        <v/>
      </c>
      <c r="U317">
        <f>--($I317=IF('الداشبورد'!$B$9="الكل",$I317,IF('الداشبورد'!$B$9="بدون حالة","P",'الداشبورد'!$B$9)))</f>
        <v/>
      </c>
      <c r="V317">
        <f>--($D317=IF('الداشبورد'!$B$10="الكل",$D317,'الداشبورد'!$B$10))</f>
        <v/>
      </c>
      <c r="W317">
        <f>--($G317=IF('الداشبورد'!$B$11="الكل",$G317,'الداشبورد'!$B$11))</f>
        <v/>
      </c>
      <c r="X317">
        <f>Q317*R317*S317*T317*U317*V317*W317*--($C317&lt;&gt;"")</f>
        <v/>
      </c>
    </row>
    <row r="318">
      <c r="A318" s="15" t="n">
        <v>4</v>
      </c>
      <c r="B318" s="15" t="inlineStr">
        <is>
          <t>R184585</t>
        </is>
      </c>
      <c r="C318" s="15" t="inlineStr">
        <is>
          <t>1385/26/03</t>
        </is>
      </c>
      <c r="D318" s="15" t="inlineStr">
        <is>
          <t>الشركة العربية للصناعة والتجارة الدولية</t>
        </is>
      </c>
      <c r="E318" s="15" t="inlineStr">
        <is>
          <t>LV</t>
        </is>
      </c>
      <c r="F318" s="15" t="inlineStr">
        <is>
          <t>0.6/1 KV 3*240+120</t>
        </is>
      </c>
      <c r="G318" s="15" t="inlineStr">
        <is>
          <t>EX09</t>
        </is>
      </c>
      <c r="H318" s="15" t="inlineStr">
        <is>
          <t>Wooden Drums</t>
        </is>
      </c>
      <c r="I318" s="15" t="inlineStr">
        <is>
          <t>OK</t>
        </is>
      </c>
      <c r="J318" s="15" t="inlineStr">
        <is>
          <t>A</t>
        </is>
      </c>
      <c r="K318" s="15" t="inlineStr">
        <is>
          <t>N</t>
        </is>
      </c>
      <c r="L318" s="15" t="n">
        <v>1003</v>
      </c>
      <c r="M318" s="16" t="n">
        <v>2.203591</v>
      </c>
      <c r="N318" s="16" t="n">
        <v>0</v>
      </c>
      <c r="O318" s="16" t="n">
        <v>0</v>
      </c>
      <c r="P318" s="16" t="n">
        <v>2.203591</v>
      </c>
      <c r="Q318">
        <f>--($A318=IF('الداشبورد'!$B$5="الكل",$A318,'الداشبورد'!$B$5))</f>
        <v/>
      </c>
      <c r="R318">
        <f>--($E318=IF('الداشبورد'!$B$6="الكل",$E318,'الداشبورد'!$B$6))</f>
        <v/>
      </c>
      <c r="S318">
        <f>--($K318=IF('الداشبورد'!$B$7="الكل",$K318,IF('الداشبورد'!$B$7="تصدير","Y","N")))</f>
        <v/>
      </c>
      <c r="T318">
        <f>--($J318=IF('الداشبورد'!$B$8="الكل",$J318,IF('الداشبورد'!$B$8="AL","A","C")))</f>
        <v/>
      </c>
      <c r="U318">
        <f>--($I318=IF('الداشبورد'!$B$9="الكل",$I318,IF('الداشبورد'!$B$9="بدون حالة","P",'الداشبورد'!$B$9)))</f>
        <v/>
      </c>
      <c r="V318">
        <f>--($D318=IF('الداشبورد'!$B$10="الكل",$D318,'الداشبورد'!$B$10))</f>
        <v/>
      </c>
      <c r="W318">
        <f>--($G318=IF('الداشبورد'!$B$11="الكل",$G318,'الداشبورد'!$B$11))</f>
        <v/>
      </c>
      <c r="X318">
        <f>Q318*R318*S318*T318*U318*V318*W318*--($C318&lt;&gt;"")</f>
        <v/>
      </c>
    </row>
    <row r="319">
      <c r="A319" s="15" t="n">
        <v>4</v>
      </c>
      <c r="B319" s="15" t="inlineStr">
        <is>
          <t>R184584</t>
        </is>
      </c>
      <c r="C319" s="15" t="inlineStr">
        <is>
          <t>1385/26/03</t>
        </is>
      </c>
      <c r="D319" s="15" t="inlineStr">
        <is>
          <t>الشركة العربية للصناعة والتجارة الدولية</t>
        </is>
      </c>
      <c r="E319" s="15" t="inlineStr">
        <is>
          <t>LV</t>
        </is>
      </c>
      <c r="F319" s="15" t="inlineStr">
        <is>
          <t>0.6/1 KV 3*240+120</t>
        </is>
      </c>
      <c r="G319" s="15" t="inlineStr">
        <is>
          <t>EX09</t>
        </is>
      </c>
      <c r="H319" s="15" t="inlineStr">
        <is>
          <t>Wooden Drums</t>
        </is>
      </c>
      <c r="I319" s="15" t="inlineStr">
        <is>
          <t>OK</t>
        </is>
      </c>
      <c r="J319" s="15" t="inlineStr">
        <is>
          <t>A</t>
        </is>
      </c>
      <c r="K319" s="15" t="inlineStr">
        <is>
          <t>N</t>
        </is>
      </c>
      <c r="L319" s="15" t="n">
        <v>1010</v>
      </c>
      <c r="M319" s="16" t="n">
        <v>2.21897</v>
      </c>
      <c r="N319" s="16" t="n">
        <v>0</v>
      </c>
      <c r="O319" s="16" t="n">
        <v>0</v>
      </c>
      <c r="P319" s="16" t="n">
        <v>2.21897</v>
      </c>
      <c r="Q319">
        <f>--($A319=IF('الداشبورد'!$B$5="الكل",$A319,'الداشبورد'!$B$5))</f>
        <v/>
      </c>
      <c r="R319">
        <f>--($E319=IF('الداشبورد'!$B$6="الكل",$E319,'الداشبورد'!$B$6))</f>
        <v/>
      </c>
      <c r="S319">
        <f>--($K319=IF('الداشبورد'!$B$7="الكل",$K319,IF('الداشبورد'!$B$7="تصدير","Y","N")))</f>
        <v/>
      </c>
      <c r="T319">
        <f>--($J319=IF('الداشبورد'!$B$8="الكل",$J319,IF('الداشبورد'!$B$8="AL","A","C")))</f>
        <v/>
      </c>
      <c r="U319">
        <f>--($I319=IF('الداشبورد'!$B$9="الكل",$I319,IF('الداشبورد'!$B$9="بدون حالة","P",'الداشبورد'!$B$9)))</f>
        <v/>
      </c>
      <c r="V319">
        <f>--($D319=IF('الداشبورد'!$B$10="الكل",$D319,'الداشبورد'!$B$10))</f>
        <v/>
      </c>
      <c r="W319">
        <f>--($G319=IF('الداشبورد'!$B$11="الكل",$G319,'الداشبورد'!$B$11))</f>
        <v/>
      </c>
      <c r="X319">
        <f>Q319*R319*S319*T319*U319*V319*W319*--($C319&lt;&gt;"")</f>
        <v/>
      </c>
    </row>
    <row r="320">
      <c r="A320" s="15" t="n">
        <v>4</v>
      </c>
      <c r="B320" s="15" t="inlineStr">
        <is>
          <t>P184601</t>
        </is>
      </c>
      <c r="C320" s="15" t="inlineStr">
        <is>
          <t>1200/26/03</t>
        </is>
      </c>
      <c r="D320" s="15" t="inlineStr">
        <is>
          <t>INSELL</t>
        </is>
      </c>
      <c r="E320" s="15" t="inlineStr">
        <is>
          <t>MV</t>
        </is>
      </c>
      <c r="F320" s="15" t="inlineStr">
        <is>
          <t>12/20 KV 1X150/25</t>
        </is>
      </c>
      <c r="G320" s="15" t="inlineStr">
        <is>
          <t>EX05</t>
        </is>
      </c>
      <c r="H320" s="15" t="inlineStr">
        <is>
          <t>Wooden Drums</t>
        </is>
      </c>
      <c r="I320" s="15" t="inlineStr">
        <is>
          <t>OK</t>
        </is>
      </c>
      <c r="J320" s="15" t="inlineStr">
        <is>
          <t>A</t>
        </is>
      </c>
      <c r="K320" s="15" t="inlineStr">
        <is>
          <t>Y</t>
        </is>
      </c>
      <c r="L320" s="15" t="n">
        <v>2010</v>
      </c>
      <c r="M320" s="16" t="n">
        <v>0.7838999999999999</v>
      </c>
      <c r="N320" s="16" t="n">
        <v>0.91053</v>
      </c>
      <c r="O320" s="16" t="n">
        <v>0</v>
      </c>
      <c r="P320" s="16" t="n">
        <v>1.69443</v>
      </c>
      <c r="Q320">
        <f>--($A320=IF('الداشبورد'!$B$5="الكل",$A320,'الداشبورد'!$B$5))</f>
        <v/>
      </c>
      <c r="R320">
        <f>--($E320=IF('الداشبورد'!$B$6="الكل",$E320,'الداشبورد'!$B$6))</f>
        <v/>
      </c>
      <c r="S320">
        <f>--($K320=IF('الداشبورد'!$B$7="الكل",$K320,IF('الداشبورد'!$B$7="تصدير","Y","N")))</f>
        <v/>
      </c>
      <c r="T320">
        <f>--($J320=IF('الداشبورد'!$B$8="الكل",$J320,IF('الداشبورد'!$B$8="AL","A","C")))</f>
        <v/>
      </c>
      <c r="U320">
        <f>--($I320=IF('الداشبورد'!$B$9="الكل",$I320,IF('الداشبورد'!$B$9="بدون حالة","P",'الداشبورد'!$B$9)))</f>
        <v/>
      </c>
      <c r="V320">
        <f>--($D320=IF('الداشبورد'!$B$10="الكل",$D320,'الداشبورد'!$B$10))</f>
        <v/>
      </c>
      <c r="W320">
        <f>--($G320=IF('الداشبورد'!$B$11="الكل",$G320,'الداشبورد'!$B$11))</f>
        <v/>
      </c>
      <c r="X320">
        <f>Q320*R320*S320*T320*U320*V320*W320*--($C320&lt;&gt;"")</f>
        <v/>
      </c>
    </row>
    <row r="321">
      <c r="A321" s="15" t="n">
        <v>4</v>
      </c>
      <c r="B321" s="15" t="inlineStr">
        <is>
          <t>Q184484</t>
        </is>
      </c>
      <c r="C321" s="15" t="inlineStr">
        <is>
          <t>1237/26/01</t>
        </is>
      </c>
      <c r="D321" s="15" t="inlineStr">
        <is>
          <t>Al Jawad- Cote D'ivoire</t>
        </is>
      </c>
      <c r="E321" s="15" t="inlineStr">
        <is>
          <t>MV</t>
        </is>
      </c>
      <c r="F321" s="15" t="inlineStr">
        <is>
          <t>12/20KV 3X1X240</t>
        </is>
      </c>
      <c r="G321" s="15" t="inlineStr">
        <is>
          <t>ST01</t>
        </is>
      </c>
      <c r="H321" s="15" t="inlineStr">
        <is>
          <t>Wooden Drums</t>
        </is>
      </c>
      <c r="I321" s="15" t="inlineStr">
        <is>
          <t>P</t>
        </is>
      </c>
      <c r="J321" s="15" t="inlineStr">
        <is>
          <t>A</t>
        </is>
      </c>
      <c r="K321" s="15" t="inlineStr">
        <is>
          <t>Y</t>
        </is>
      </c>
      <c r="L321" s="15" t="n">
        <v>815</v>
      </c>
      <c r="M321" s="16" t="n">
        <v>1.524865</v>
      </c>
      <c r="N321" s="16" t="n">
        <v>0</v>
      </c>
      <c r="O321" s="16" t="n">
        <v>0</v>
      </c>
      <c r="P321" s="16" t="n">
        <v>1.524865</v>
      </c>
      <c r="Q321">
        <f>--($A321=IF('الداشبورد'!$B$5="الكل",$A321,'الداشبورد'!$B$5))</f>
        <v/>
      </c>
      <c r="R321">
        <f>--($E321=IF('الداشبورد'!$B$6="الكل",$E321,'الداشبورد'!$B$6))</f>
        <v/>
      </c>
      <c r="S321">
        <f>--($K321=IF('الداشبورد'!$B$7="الكل",$K321,IF('الداشبورد'!$B$7="تصدير","Y","N")))</f>
        <v/>
      </c>
      <c r="T321">
        <f>--($J321=IF('الداشبورد'!$B$8="الكل",$J321,IF('الداشبورد'!$B$8="AL","A","C")))</f>
        <v/>
      </c>
      <c r="U321">
        <f>--($I321=IF('الداشبورد'!$B$9="الكل",$I321,IF('الداشبورد'!$B$9="بدون حالة","P",'الداشبورد'!$B$9)))</f>
        <v/>
      </c>
      <c r="V321">
        <f>--($D321=IF('الداشبورد'!$B$10="الكل",$D321,'الداشبورد'!$B$10))</f>
        <v/>
      </c>
      <c r="W321">
        <f>--($G321=IF('الداشبورد'!$B$11="الكل",$G321,'الداشبورد'!$B$11))</f>
        <v/>
      </c>
      <c r="X321">
        <f>Q321*R321*S321*T321*U321*V321*W321*--($C321&lt;&gt;"")</f>
        <v/>
      </c>
    </row>
    <row r="322">
      <c r="A322" s="15" t="n">
        <v>4</v>
      </c>
      <c r="B322" s="15" t="inlineStr">
        <is>
          <t>Q184486</t>
        </is>
      </c>
      <c r="C322" s="15" t="inlineStr">
        <is>
          <t>1237/26/01</t>
        </is>
      </c>
      <c r="D322" s="15" t="inlineStr">
        <is>
          <t>Al Jawad- Cote D'ivoire</t>
        </is>
      </c>
      <c r="E322" s="15" t="inlineStr">
        <is>
          <t>MV</t>
        </is>
      </c>
      <c r="F322" s="15" t="inlineStr">
        <is>
          <t>12/20KV 3X1X240</t>
        </is>
      </c>
      <c r="G322" s="15" t="inlineStr">
        <is>
          <t>ST01</t>
        </is>
      </c>
      <c r="H322" s="15" t="inlineStr">
        <is>
          <t>Wooden Drums</t>
        </is>
      </c>
      <c r="I322" s="15" t="inlineStr">
        <is>
          <t>P</t>
        </is>
      </c>
      <c r="J322" s="15" t="inlineStr">
        <is>
          <t>A</t>
        </is>
      </c>
      <c r="K322" s="15" t="inlineStr">
        <is>
          <t>Y</t>
        </is>
      </c>
      <c r="L322" s="15" t="n">
        <v>802</v>
      </c>
      <c r="M322" s="16" t="n">
        <v>1.500542</v>
      </c>
      <c r="N322" s="16" t="n">
        <v>0</v>
      </c>
      <c r="O322" s="16" t="n">
        <v>0</v>
      </c>
      <c r="P322" s="16" t="n">
        <v>1.500542</v>
      </c>
      <c r="Q322">
        <f>--($A322=IF('الداشبورد'!$B$5="الكل",$A322,'الداشبورد'!$B$5))</f>
        <v/>
      </c>
      <c r="R322">
        <f>--($E322=IF('الداشبورد'!$B$6="الكل",$E322,'الداشبورد'!$B$6))</f>
        <v/>
      </c>
      <c r="S322">
        <f>--($K322=IF('الداشبورد'!$B$7="الكل",$K322,IF('الداشبورد'!$B$7="تصدير","Y","N")))</f>
        <v/>
      </c>
      <c r="T322">
        <f>--($J322=IF('الداشبورد'!$B$8="الكل",$J322,IF('الداشبورد'!$B$8="AL","A","C")))</f>
        <v/>
      </c>
      <c r="U322">
        <f>--($I322=IF('الداشبورد'!$B$9="الكل",$I322,IF('الداشبورد'!$B$9="بدون حالة","P",'الداشبورد'!$B$9)))</f>
        <v/>
      </c>
      <c r="V322">
        <f>--($D322=IF('الداشبورد'!$B$10="الكل",$D322,'الداشبورد'!$B$10))</f>
        <v/>
      </c>
      <c r="W322">
        <f>--($G322=IF('الداشبورد'!$B$11="الكل",$G322,'الداشبورد'!$B$11))</f>
        <v/>
      </c>
      <c r="X322">
        <f>Q322*R322*S322*T322*U322*V322*W322*--($C322&lt;&gt;"")</f>
        <v/>
      </c>
    </row>
    <row r="323">
      <c r="A323" s="15" t="n">
        <v>4</v>
      </c>
      <c r="B323" s="15" t="inlineStr">
        <is>
          <t>P184375</t>
        </is>
      </c>
      <c r="C323" s="15" t="inlineStr">
        <is>
          <t>1385/26/11</t>
        </is>
      </c>
      <c r="D323" s="15" t="inlineStr">
        <is>
          <t>الشركة العربية للصناعة والتجارة الدولية</t>
        </is>
      </c>
      <c r="E323" s="15" t="inlineStr">
        <is>
          <t>LV</t>
        </is>
      </c>
      <c r="F323" s="15" t="inlineStr">
        <is>
          <t>0.6/1 KV 4*25</t>
        </is>
      </c>
      <c r="G323" s="15" t="inlineStr">
        <is>
          <t>EX13</t>
        </is>
      </c>
      <c r="H323" s="15" t="inlineStr">
        <is>
          <t>Wooden Drums</t>
        </is>
      </c>
      <c r="I323" s="15" t="inlineStr">
        <is>
          <t>OK</t>
        </is>
      </c>
      <c r="J323" s="15" t="inlineStr">
        <is>
          <t>A</t>
        </is>
      </c>
      <c r="K323" s="15" t="inlineStr">
        <is>
          <t>N</t>
        </is>
      </c>
      <c r="L323" s="15" t="n">
        <v>2040</v>
      </c>
      <c r="M323" s="16" t="n">
        <v>0.52632</v>
      </c>
      <c r="N323" s="16" t="n">
        <v>0</v>
      </c>
      <c r="O323" s="16" t="n">
        <v>0</v>
      </c>
      <c r="P323" s="16" t="n">
        <v>0.52632</v>
      </c>
      <c r="Q323">
        <f>--($A323=IF('الداشبورد'!$B$5="الكل",$A323,'الداشبورد'!$B$5))</f>
        <v/>
      </c>
      <c r="R323">
        <f>--($E323=IF('الداشبورد'!$B$6="الكل",$E323,'الداشبورد'!$B$6))</f>
        <v/>
      </c>
      <c r="S323">
        <f>--($K323=IF('الداشبورد'!$B$7="الكل",$K323,IF('الداشبورد'!$B$7="تصدير","Y","N")))</f>
        <v/>
      </c>
      <c r="T323">
        <f>--($J323=IF('الداشبورد'!$B$8="الكل",$J323,IF('الداشبورد'!$B$8="AL","A","C")))</f>
        <v/>
      </c>
      <c r="U323">
        <f>--($I323=IF('الداشبورد'!$B$9="الكل",$I323,IF('الداشبورد'!$B$9="بدون حالة","P",'الداشبورد'!$B$9)))</f>
        <v/>
      </c>
      <c r="V323">
        <f>--($D323=IF('الداشبورد'!$B$10="الكل",$D323,'الداشبورد'!$B$10))</f>
        <v/>
      </c>
      <c r="W323">
        <f>--($G323=IF('الداشبورد'!$B$11="الكل",$G323,'الداشبورد'!$B$11))</f>
        <v/>
      </c>
      <c r="X323">
        <f>Q323*R323*S323*T323*U323*V323*W323*--($C323&lt;&gt;"")</f>
        <v/>
      </c>
    </row>
    <row r="324">
      <c r="A324" s="15" t="n">
        <v>4</v>
      </c>
      <c r="B324" s="15" t="inlineStr">
        <is>
          <t>N184474</t>
        </is>
      </c>
      <c r="C324" s="15" t="inlineStr">
        <is>
          <t>1385/26/11</t>
        </is>
      </c>
      <c r="D324" s="15" t="inlineStr">
        <is>
          <t>الشركة العربية للصناعة والتجارة الدولية</t>
        </is>
      </c>
      <c r="E324" s="15" t="inlineStr">
        <is>
          <t>LV</t>
        </is>
      </c>
      <c r="F324" s="15" t="inlineStr">
        <is>
          <t>0.6/1 KV 4*25</t>
        </is>
      </c>
      <c r="G324" s="15" t="inlineStr">
        <is>
          <t>EX13</t>
        </is>
      </c>
      <c r="H324" s="15" t="inlineStr">
        <is>
          <t>Wooden Drums</t>
        </is>
      </c>
      <c r="I324" s="15" t="inlineStr">
        <is>
          <t>OK</t>
        </is>
      </c>
      <c r="J324" s="15" t="inlineStr">
        <is>
          <t>A</t>
        </is>
      </c>
      <c r="K324" s="15" t="inlineStr">
        <is>
          <t>N</t>
        </is>
      </c>
      <c r="L324" s="15" t="n">
        <v>2008</v>
      </c>
      <c r="M324" s="16" t="n">
        <v>0.518064</v>
      </c>
      <c r="N324" s="16" t="n">
        <v>0</v>
      </c>
      <c r="O324" s="16" t="n">
        <v>0</v>
      </c>
      <c r="P324" s="16" t="n">
        <v>0.518064</v>
      </c>
      <c r="Q324">
        <f>--($A324=IF('الداشبورد'!$B$5="الكل",$A324,'الداشبورد'!$B$5))</f>
        <v/>
      </c>
      <c r="R324">
        <f>--($E324=IF('الداشبورد'!$B$6="الكل",$E324,'الداشبورد'!$B$6))</f>
        <v/>
      </c>
      <c r="S324">
        <f>--($K324=IF('الداشبورد'!$B$7="الكل",$K324,IF('الداشبورد'!$B$7="تصدير","Y","N")))</f>
        <v/>
      </c>
      <c r="T324">
        <f>--($J324=IF('الداشبورد'!$B$8="الكل",$J324,IF('الداشبورد'!$B$8="AL","A","C")))</f>
        <v/>
      </c>
      <c r="U324">
        <f>--($I324=IF('الداشبورد'!$B$9="الكل",$I324,IF('الداشبورد'!$B$9="بدون حالة","P",'الداشبورد'!$B$9)))</f>
        <v/>
      </c>
      <c r="V324">
        <f>--($D324=IF('الداشبورد'!$B$10="الكل",$D324,'الداشبورد'!$B$10))</f>
        <v/>
      </c>
      <c r="W324">
        <f>--($G324=IF('الداشبورد'!$B$11="الكل",$G324,'الداشبورد'!$B$11))</f>
        <v/>
      </c>
      <c r="X324">
        <f>Q324*R324*S324*T324*U324*V324*W324*--($C324&lt;&gt;"")</f>
        <v/>
      </c>
    </row>
    <row r="325">
      <c r="A325" s="15" t="n">
        <v>4</v>
      </c>
      <c r="B325" s="15" t="inlineStr">
        <is>
          <t>P184586</t>
        </is>
      </c>
      <c r="C325" s="15" t="inlineStr">
        <is>
          <t>1385/26/11</t>
        </is>
      </c>
      <c r="D325" s="15" t="inlineStr">
        <is>
          <t>الشركة العربية للصناعة والتجارة الدولية</t>
        </is>
      </c>
      <c r="E325" s="15" t="inlineStr">
        <is>
          <t>LV</t>
        </is>
      </c>
      <c r="F325" s="15" t="inlineStr">
        <is>
          <t>0.6/1 KV 4*25</t>
        </is>
      </c>
      <c r="G325" s="15" t="inlineStr">
        <is>
          <t>EX13</t>
        </is>
      </c>
      <c r="H325" s="15" t="inlineStr">
        <is>
          <t>Wooden Drums</t>
        </is>
      </c>
      <c r="I325" s="15" t="inlineStr">
        <is>
          <t>OK</t>
        </is>
      </c>
      <c r="J325" s="15" t="inlineStr">
        <is>
          <t>A</t>
        </is>
      </c>
      <c r="K325" s="15" t="inlineStr">
        <is>
          <t>N</t>
        </is>
      </c>
      <c r="L325" s="15" t="n">
        <v>2000</v>
      </c>
      <c r="M325" s="16" t="n">
        <v>0.516</v>
      </c>
      <c r="N325" s="16" t="n">
        <v>0</v>
      </c>
      <c r="O325" s="16" t="n">
        <v>0</v>
      </c>
      <c r="P325" s="16" t="n">
        <v>0.516</v>
      </c>
      <c r="Q325">
        <f>--($A325=IF('الداشبورد'!$B$5="الكل",$A325,'الداشبورد'!$B$5))</f>
        <v/>
      </c>
      <c r="R325">
        <f>--($E325=IF('الداشبورد'!$B$6="الكل",$E325,'الداشبورد'!$B$6))</f>
        <v/>
      </c>
      <c r="S325">
        <f>--($K325=IF('الداشبورد'!$B$7="الكل",$K325,IF('الداشبورد'!$B$7="تصدير","Y","N")))</f>
        <v/>
      </c>
      <c r="T325">
        <f>--($J325=IF('الداشبورد'!$B$8="الكل",$J325,IF('الداشبورد'!$B$8="AL","A","C")))</f>
        <v/>
      </c>
      <c r="U325">
        <f>--($I325=IF('الداشبورد'!$B$9="الكل",$I325,IF('الداشبورد'!$B$9="بدون حالة","P",'الداشبورد'!$B$9)))</f>
        <v/>
      </c>
      <c r="V325">
        <f>--($D325=IF('الداشبورد'!$B$10="الكل",$D325,'الداشبورد'!$B$10))</f>
        <v/>
      </c>
      <c r="W325">
        <f>--($G325=IF('الداشبورد'!$B$11="الكل",$G325,'الداشبورد'!$B$11))</f>
        <v/>
      </c>
      <c r="X325">
        <f>Q325*R325*S325*T325*U325*V325*W325*--($C325&lt;&gt;"")</f>
        <v/>
      </c>
    </row>
    <row r="326">
      <c r="A326" s="15" t="n">
        <v>4</v>
      </c>
      <c r="B326" s="15" t="inlineStr">
        <is>
          <t>M184587</t>
        </is>
      </c>
      <c r="C326" s="15" t="inlineStr">
        <is>
          <t>1385/26/11</t>
        </is>
      </c>
      <c r="D326" s="15" t="inlineStr">
        <is>
          <t>الشركة العربية للصناعة والتجارة الدولية</t>
        </is>
      </c>
      <c r="E326" s="15" t="inlineStr">
        <is>
          <t>LV</t>
        </is>
      </c>
      <c r="F326" s="15" t="inlineStr">
        <is>
          <t>0.6/1 KV 4*25</t>
        </is>
      </c>
      <c r="G326" s="15" t="inlineStr">
        <is>
          <t>EX13</t>
        </is>
      </c>
      <c r="H326" s="15" t="inlineStr">
        <is>
          <t>Wooden Drums</t>
        </is>
      </c>
      <c r="I326" s="15" t="inlineStr">
        <is>
          <t>OK</t>
        </is>
      </c>
      <c r="J326" s="15" t="inlineStr">
        <is>
          <t>A</t>
        </is>
      </c>
      <c r="K326" s="15" t="inlineStr">
        <is>
          <t>N</t>
        </is>
      </c>
      <c r="L326" s="15" t="n">
        <v>2010</v>
      </c>
      <c r="M326" s="16" t="n">
        <v>0.51858</v>
      </c>
      <c r="N326" s="16" t="n">
        <v>0</v>
      </c>
      <c r="O326" s="16" t="n">
        <v>0</v>
      </c>
      <c r="P326" s="16" t="n">
        <v>0.51858</v>
      </c>
      <c r="Q326">
        <f>--($A326=IF('الداشبورد'!$B$5="الكل",$A326,'الداشبورد'!$B$5))</f>
        <v/>
      </c>
      <c r="R326">
        <f>--($E326=IF('الداشبورد'!$B$6="الكل",$E326,'الداشبورد'!$B$6))</f>
        <v/>
      </c>
      <c r="S326">
        <f>--($K326=IF('الداشبورد'!$B$7="الكل",$K326,IF('الداشبورد'!$B$7="تصدير","Y","N")))</f>
        <v/>
      </c>
      <c r="T326">
        <f>--($J326=IF('الداشبورد'!$B$8="الكل",$J326,IF('الداشبورد'!$B$8="AL","A","C")))</f>
        <v/>
      </c>
      <c r="U326">
        <f>--($I326=IF('الداشبورد'!$B$9="الكل",$I326,IF('الداشبورد'!$B$9="بدون حالة","P",'الداشبورد'!$B$9)))</f>
        <v/>
      </c>
      <c r="V326">
        <f>--($D326=IF('الداشبورد'!$B$10="الكل",$D326,'الداشبورد'!$B$10))</f>
        <v/>
      </c>
      <c r="W326">
        <f>--($G326=IF('الداشبورد'!$B$11="الكل",$G326,'الداشبورد'!$B$11))</f>
        <v/>
      </c>
      <c r="X326">
        <f>Q326*R326*S326*T326*U326*V326*W326*--($C326&lt;&gt;"")</f>
        <v/>
      </c>
    </row>
    <row r="327">
      <c r="A327" s="15" t="n">
        <v>4</v>
      </c>
      <c r="B327" s="15" t="inlineStr">
        <is>
          <t>L183345</t>
        </is>
      </c>
      <c r="C327" s="15" t="inlineStr">
        <is>
          <t>1405/26/05</t>
        </is>
      </c>
      <c r="D327" s="15" t="inlineStr">
        <is>
          <t>Kharafi National</t>
        </is>
      </c>
      <c r="E327" s="15" t="inlineStr">
        <is>
          <t>CC</t>
        </is>
      </c>
      <c r="F327" s="15" t="inlineStr">
        <is>
          <t>0.6/1 KV 3X6</t>
        </is>
      </c>
      <c r="G327" s="15" t="inlineStr">
        <is>
          <t>EX13</t>
        </is>
      </c>
      <c r="H327" s="15" t="inlineStr">
        <is>
          <t>Wooden Drums</t>
        </is>
      </c>
      <c r="I327" s="15" t="inlineStr">
        <is>
          <t>OK</t>
        </is>
      </c>
      <c r="J327" s="15" t="inlineStr">
        <is>
          <t>C</t>
        </is>
      </c>
      <c r="K327" s="15" t="inlineStr">
        <is>
          <t>N</t>
        </is>
      </c>
      <c r="L327" s="15" t="n">
        <v>5150</v>
      </c>
      <c r="M327" s="16" t="n">
        <v>0.8188500000000001</v>
      </c>
      <c r="N327" s="16" t="n">
        <v>0</v>
      </c>
      <c r="O327" s="16" t="n">
        <v>0</v>
      </c>
      <c r="P327" s="16" t="n">
        <v>0.8188500000000001</v>
      </c>
      <c r="Q327">
        <f>--($A327=IF('الداشبورد'!$B$5="الكل",$A327,'الداشبورد'!$B$5))</f>
        <v/>
      </c>
      <c r="R327">
        <f>--($E327=IF('الداشبورد'!$B$6="الكل",$E327,'الداشبورد'!$B$6))</f>
        <v/>
      </c>
      <c r="S327">
        <f>--($K327=IF('الداشبورد'!$B$7="الكل",$K327,IF('الداشبورد'!$B$7="تصدير","Y","N")))</f>
        <v/>
      </c>
      <c r="T327">
        <f>--($J327=IF('الداشبورد'!$B$8="الكل",$J327,IF('الداشبورد'!$B$8="AL","A","C")))</f>
        <v/>
      </c>
      <c r="U327">
        <f>--($I327=IF('الداشبورد'!$B$9="الكل",$I327,IF('الداشبورد'!$B$9="بدون حالة","P",'الداشبورد'!$B$9)))</f>
        <v/>
      </c>
      <c r="V327">
        <f>--($D327=IF('الداشبورد'!$B$10="الكل",$D327,'الداشبورد'!$B$10))</f>
        <v/>
      </c>
      <c r="W327">
        <f>--($G327=IF('الداشبورد'!$B$11="الكل",$G327,'الداشبورد'!$B$11))</f>
        <v/>
      </c>
      <c r="X327">
        <f>Q327*R327*S327*T327*U327*V327*W327*--($C327&lt;&gt;"")</f>
        <v/>
      </c>
    </row>
    <row r="328">
      <c r="A328" s="15" t="n">
        <v>3</v>
      </c>
      <c r="B328" s="15" t="inlineStr">
        <is>
          <t>E182394</t>
        </is>
      </c>
      <c r="C328" s="15" t="inlineStr">
        <is>
          <t>1428/26/03</t>
        </is>
      </c>
      <c r="D328" s="15" t="inlineStr">
        <is>
          <t>تطوير مصر للاستثمار السياحي واستصلاح الاراضي</t>
        </is>
      </c>
      <c r="E328" s="15" t="inlineStr">
        <is>
          <t>BC</t>
        </is>
      </c>
      <c r="F328" s="15" t="inlineStr">
        <is>
          <t>450/750 1X16</t>
        </is>
      </c>
      <c r="G328" s="15" t="inlineStr">
        <is>
          <t>EX012</t>
        </is>
      </c>
      <c r="H328" s="15" t="inlineStr">
        <is>
          <t>Wooden Drums</t>
        </is>
      </c>
      <c r="I328" s="15" t="inlineStr">
        <is>
          <t>OK</t>
        </is>
      </c>
      <c r="J328" s="15" t="inlineStr">
        <is>
          <t>A</t>
        </is>
      </c>
      <c r="K328" s="15" t="inlineStr">
        <is>
          <t>N</t>
        </is>
      </c>
      <c r="L328" s="15" t="n">
        <v>980</v>
      </c>
      <c r="M328" s="16" t="n">
        <v>0.04018</v>
      </c>
      <c r="N328" s="16" t="n">
        <v>0</v>
      </c>
      <c r="O328" s="16" t="n">
        <v>0</v>
      </c>
      <c r="P328" s="16" t="n">
        <v>0.04018</v>
      </c>
      <c r="Q328">
        <f>--($A328=IF('الداشبورد'!$B$5="الكل",$A328,'الداشبورد'!$B$5))</f>
        <v/>
      </c>
      <c r="R328">
        <f>--($E328=IF('الداشبورد'!$B$6="الكل",$E328,'الداشبورد'!$B$6))</f>
        <v/>
      </c>
      <c r="S328">
        <f>--($K328=IF('الداشبورد'!$B$7="الكل",$K328,IF('الداشبورد'!$B$7="تصدير","Y","N")))</f>
        <v/>
      </c>
      <c r="T328">
        <f>--($J328=IF('الداشبورد'!$B$8="الكل",$J328,IF('الداشبورد'!$B$8="AL","A","C")))</f>
        <v/>
      </c>
      <c r="U328">
        <f>--($I328=IF('الداشبورد'!$B$9="الكل",$I328,IF('الداشبورد'!$B$9="بدون حالة","P",'الداشبورد'!$B$9)))</f>
        <v/>
      </c>
      <c r="V328">
        <f>--($D328=IF('الداشبورد'!$B$10="الكل",$D328,'الداشبورد'!$B$10))</f>
        <v/>
      </c>
      <c r="W328">
        <f>--($G328=IF('الداشبورد'!$B$11="الكل",$G328,'الداشبورد'!$B$11))</f>
        <v/>
      </c>
      <c r="X328">
        <f>Q328*R328*S328*T328*U328*V328*W328*--($C328&lt;&gt;"")</f>
        <v/>
      </c>
    </row>
    <row r="329">
      <c r="A329" s="15" t="n">
        <v>3</v>
      </c>
      <c r="B329" s="15" t="inlineStr">
        <is>
          <t>B184413</t>
        </is>
      </c>
      <c r="C329" s="15" t="inlineStr">
        <is>
          <t>1624/26/04</t>
        </is>
      </c>
      <c r="D329" s="15" t="inlineStr">
        <is>
          <t>شركة انوار المدينة لاستيراد المواد الكهربائية</t>
        </is>
      </c>
      <c r="E329" s="15" t="inlineStr">
        <is>
          <t>LV</t>
        </is>
      </c>
      <c r="F329" s="15" t="inlineStr">
        <is>
          <t>0.6/1KV 2*16</t>
        </is>
      </c>
      <c r="G329" s="15" t="inlineStr">
        <is>
          <t>EX14</t>
        </is>
      </c>
      <c r="H329" s="15" t="inlineStr">
        <is>
          <t>Wooden Drums</t>
        </is>
      </c>
      <c r="I329" s="15" t="inlineStr">
        <is>
          <t>OK</t>
        </is>
      </c>
      <c r="J329" s="15" t="inlineStr">
        <is>
          <t>A</t>
        </is>
      </c>
      <c r="K329" s="15" t="inlineStr">
        <is>
          <t>Y</t>
        </is>
      </c>
      <c r="L329" s="15" t="n">
        <v>104</v>
      </c>
      <c r="M329" s="16" t="n">
        <v>0.008631999999999999</v>
      </c>
      <c r="N329" s="16" t="n">
        <v>0</v>
      </c>
      <c r="O329" s="16" t="n">
        <v>0</v>
      </c>
      <c r="P329" s="16" t="n">
        <v>0.008631999999999999</v>
      </c>
      <c r="Q329">
        <f>--($A329=IF('الداشبورد'!$B$5="الكل",$A329,'الداشبورد'!$B$5))</f>
        <v/>
      </c>
      <c r="R329">
        <f>--($E329=IF('الداشبورد'!$B$6="الكل",$E329,'الداشبورد'!$B$6))</f>
        <v/>
      </c>
      <c r="S329">
        <f>--($K329=IF('الداشبورد'!$B$7="الكل",$K329,IF('الداشبورد'!$B$7="تصدير","Y","N")))</f>
        <v/>
      </c>
      <c r="T329">
        <f>--($J329=IF('الداشبورد'!$B$8="الكل",$J329,IF('الداشبورد'!$B$8="AL","A","C")))</f>
        <v/>
      </c>
      <c r="U329">
        <f>--($I329=IF('الداشبورد'!$B$9="الكل",$I329,IF('الداشبورد'!$B$9="بدون حالة","P",'الداشبورد'!$B$9)))</f>
        <v/>
      </c>
      <c r="V329">
        <f>--($D329=IF('الداشبورد'!$B$10="الكل",$D329,'الداشبورد'!$B$10))</f>
        <v/>
      </c>
      <c r="W329">
        <f>--($G329=IF('الداشبورد'!$B$11="الكل",$G329,'الداشبورد'!$B$11))</f>
        <v/>
      </c>
      <c r="X329">
        <f>Q329*R329*S329*T329*U329*V329*W329*--($C329&lt;&gt;"")</f>
        <v/>
      </c>
    </row>
    <row r="330">
      <c r="A330" s="15" t="n">
        <v>3</v>
      </c>
      <c r="B330" s="15" t="inlineStr">
        <is>
          <t>M181732</t>
        </is>
      </c>
      <c r="C330" s="15" t="inlineStr">
        <is>
          <t>1338/26/11</t>
        </is>
      </c>
      <c r="D330" s="15" t="inlineStr">
        <is>
          <t>كونكورد للهندسة والمقاولات</t>
        </is>
      </c>
      <c r="E330" s="15" t="inlineStr">
        <is>
          <t>LV</t>
        </is>
      </c>
      <c r="F330" s="15" t="inlineStr">
        <is>
          <t>0.6/1 KV 3X35+16</t>
        </is>
      </c>
      <c r="G330" s="15" t="inlineStr">
        <is>
          <t>EX14</t>
        </is>
      </c>
      <c r="H330" s="15" t="inlineStr">
        <is>
          <t>Wooden Drums</t>
        </is>
      </c>
      <c r="I330" s="15" t="inlineStr">
        <is>
          <t>OK</t>
        </is>
      </c>
      <c r="J330" s="15" t="inlineStr">
        <is>
          <t>C</t>
        </is>
      </c>
      <c r="K330" s="15" t="inlineStr">
        <is>
          <t>N</t>
        </is>
      </c>
      <c r="L330" s="15" t="n">
        <v>1201</v>
      </c>
      <c r="M330" s="16" t="n">
        <v>1.232226</v>
      </c>
      <c r="N330" s="16" t="n">
        <v>0</v>
      </c>
      <c r="O330" s="16" t="n">
        <v>0</v>
      </c>
      <c r="P330" s="16" t="n">
        <v>1.232226</v>
      </c>
      <c r="Q330">
        <f>--($A330=IF('الداشبورد'!$B$5="الكل",$A330,'الداشبورد'!$B$5))</f>
        <v/>
      </c>
      <c r="R330">
        <f>--($E330=IF('الداشبورد'!$B$6="الكل",$E330,'الداشبورد'!$B$6))</f>
        <v/>
      </c>
      <c r="S330">
        <f>--($K330=IF('الداشبورد'!$B$7="الكل",$K330,IF('الداشبورد'!$B$7="تصدير","Y","N")))</f>
        <v/>
      </c>
      <c r="T330">
        <f>--($J330=IF('الداشبورد'!$B$8="الكل",$J330,IF('الداشبورد'!$B$8="AL","A","C")))</f>
        <v/>
      </c>
      <c r="U330">
        <f>--($I330=IF('الداشبورد'!$B$9="الكل",$I330,IF('الداشبورد'!$B$9="بدون حالة","P",'الداشبورد'!$B$9)))</f>
        <v/>
      </c>
      <c r="V330">
        <f>--($D330=IF('الداشبورد'!$B$10="الكل",$D330,'الداشبورد'!$B$10))</f>
        <v/>
      </c>
      <c r="W330">
        <f>--($G330=IF('الداشبورد'!$B$11="الكل",$G330,'الداشبورد'!$B$11))</f>
        <v/>
      </c>
      <c r="X330">
        <f>Q330*R330*S330*T330*U330*V330*W330*--($C330&lt;&gt;"")</f>
        <v/>
      </c>
    </row>
    <row r="331">
      <c r="A331" s="15" t="n">
        <v>2</v>
      </c>
      <c r="B331" s="15" t="inlineStr">
        <is>
          <t>Q184027</t>
        </is>
      </c>
      <c r="C331" s="15" t="inlineStr">
        <is>
          <t>1213/26/02</t>
        </is>
      </c>
      <c r="D331" s="15" t="inlineStr">
        <is>
          <t>Eland Cables</t>
        </is>
      </c>
      <c r="E331" s="15" t="inlineStr">
        <is>
          <t>MV</t>
        </is>
      </c>
      <c r="F331" s="15" t="inlineStr">
        <is>
          <t>18/30 KV 1X240</t>
        </is>
      </c>
      <c r="G331" s="15" t="inlineStr">
        <is>
          <t>EX06</t>
        </is>
      </c>
      <c r="H331" s="15" t="inlineStr">
        <is>
          <t>Wooden Drums</t>
        </is>
      </c>
      <c r="I331" s="15" t="inlineStr">
        <is>
          <t>Hold</t>
        </is>
      </c>
      <c r="J331" s="15" t="inlineStr">
        <is>
          <t>A</t>
        </is>
      </c>
      <c r="K331" s="15" t="inlineStr">
        <is>
          <t>Y</t>
        </is>
      </c>
      <c r="L331" s="15" t="n">
        <v>2045</v>
      </c>
      <c r="M331" s="16" t="n">
        <v>1.27199</v>
      </c>
      <c r="N331" s="16" t="n">
        <v>0.439675</v>
      </c>
      <c r="O331" s="16" t="n">
        <v>0</v>
      </c>
      <c r="P331" s="16" t="n">
        <v>1.711665</v>
      </c>
      <c r="Q331">
        <f>--($A331=IF('الداشبورد'!$B$5="الكل",$A331,'الداشبورد'!$B$5))</f>
        <v/>
      </c>
      <c r="R331">
        <f>--($E331=IF('الداشبورد'!$B$6="الكل",$E331,'الداشبورد'!$B$6))</f>
        <v/>
      </c>
      <c r="S331">
        <f>--($K331=IF('الداشبورد'!$B$7="الكل",$K331,IF('الداشبورد'!$B$7="تصدير","Y","N")))</f>
        <v/>
      </c>
      <c r="T331">
        <f>--($J331=IF('الداشبورد'!$B$8="الكل",$J331,IF('الداشبورد'!$B$8="AL","A","C")))</f>
        <v/>
      </c>
      <c r="U331">
        <f>--($I331=IF('الداشبورد'!$B$9="الكل",$I331,IF('الداشبورد'!$B$9="بدون حالة","P",'الداشبورد'!$B$9)))</f>
        <v/>
      </c>
      <c r="V331">
        <f>--($D331=IF('الداشبورد'!$B$10="الكل",$D331,'الداشبورد'!$B$10))</f>
        <v/>
      </c>
      <c r="W331">
        <f>--($G331=IF('الداشبورد'!$B$11="الكل",$G331,'الداشبورد'!$B$11))</f>
        <v/>
      </c>
      <c r="X331">
        <f>Q331*R331*S331*T331*U331*V331*W331*--($C331&lt;&gt;"")</f>
        <v/>
      </c>
    </row>
    <row r="332">
      <c r="A332" s="15" t="n">
        <v>1</v>
      </c>
      <c r="B332" s="15" t="inlineStr">
        <is>
          <t>E110</t>
        </is>
      </c>
      <c r="C332" s="15" t="inlineStr">
        <is>
          <t>1672/26/01</t>
        </is>
      </c>
      <c r="D332" s="15" t="inlineStr">
        <is>
          <t>Sadacavi</t>
        </is>
      </c>
      <c r="E332" s="15" t="inlineStr">
        <is>
          <t>LV</t>
        </is>
      </c>
      <c r="F332" s="15" t="inlineStr">
        <is>
          <t>1.8/3 KV 1X240</t>
        </is>
      </c>
      <c r="G332" s="15" t="inlineStr">
        <is>
          <t>EX08</t>
        </is>
      </c>
      <c r="H332" s="15" t="inlineStr">
        <is>
          <t>Wooden Drums</t>
        </is>
      </c>
      <c r="I332" s="15" t="inlineStr">
        <is>
          <t>Hold</t>
        </is>
      </c>
      <c r="J332" s="15" t="inlineStr">
        <is>
          <t>A</t>
        </is>
      </c>
      <c r="K332" s="15" t="inlineStr">
        <is>
          <t>Y</t>
        </is>
      </c>
      <c r="L332" s="15" t="n">
        <v>2040</v>
      </c>
      <c r="M332" s="16" t="n">
        <v>1.27704</v>
      </c>
      <c r="N332" s="16" t="n">
        <v>0</v>
      </c>
      <c r="O332" s="16" t="n">
        <v>0</v>
      </c>
      <c r="P332" s="16" t="n">
        <v>1.27704</v>
      </c>
      <c r="Q332">
        <f>--($A332=IF('الداشبورد'!$B$5="الكل",$A332,'الداشبورد'!$B$5))</f>
        <v/>
      </c>
      <c r="R332">
        <f>--($E332=IF('الداشبورد'!$B$6="الكل",$E332,'الداشبورد'!$B$6))</f>
        <v/>
      </c>
      <c r="S332">
        <f>--($K332=IF('الداشبورد'!$B$7="الكل",$K332,IF('الداشبورد'!$B$7="تصدير","Y","N")))</f>
        <v/>
      </c>
      <c r="T332">
        <f>--($J332=IF('الداشبورد'!$B$8="الكل",$J332,IF('الداشبورد'!$B$8="AL","A","C")))</f>
        <v/>
      </c>
      <c r="U332">
        <f>--($I332=IF('الداشبورد'!$B$9="الكل",$I332,IF('الداشبورد'!$B$9="بدون حالة","P",'الداشبورد'!$B$9)))</f>
        <v/>
      </c>
      <c r="V332">
        <f>--($D332=IF('الداشبورد'!$B$10="الكل",$D332,'الداشبورد'!$B$10))</f>
        <v/>
      </c>
      <c r="W332">
        <f>--($G332=IF('الداشبورد'!$B$11="الكل",$G332,'الداشبورد'!$B$11))</f>
        <v/>
      </c>
      <c r="X332">
        <f>Q332*R332*S332*T332*U332*V332*W332*--($C332&lt;&gt;"")</f>
        <v/>
      </c>
    </row>
    <row r="333">
      <c r="A333" s="15" t="n">
        <v>4</v>
      </c>
      <c r="B333" s="15" t="inlineStr">
        <is>
          <t>G184577</t>
        </is>
      </c>
      <c r="C333" s="15" t="inlineStr">
        <is>
          <t>1672/26/01</t>
        </is>
      </c>
      <c r="D333" s="15" t="inlineStr">
        <is>
          <t>Sadacavi</t>
        </is>
      </c>
      <c r="E333" s="15" t="inlineStr">
        <is>
          <t>LV</t>
        </is>
      </c>
      <c r="F333" s="15" t="inlineStr">
        <is>
          <t>1.8/3 KV 1X240</t>
        </is>
      </c>
      <c r="G333" s="15" t="inlineStr">
        <is>
          <t>RW01</t>
        </is>
      </c>
      <c r="H333" s="15" t="inlineStr">
        <is>
          <t>Wooden Drums</t>
        </is>
      </c>
      <c r="I333" s="15" t="inlineStr">
        <is>
          <t>OK</t>
        </is>
      </c>
      <c r="J333" s="15" t="inlineStr">
        <is>
          <t>A</t>
        </is>
      </c>
      <c r="K333" s="15" t="inlineStr">
        <is>
          <t>Y</t>
        </is>
      </c>
      <c r="L333" s="15" t="n">
        <v>510</v>
      </c>
      <c r="M333" s="16" t="n">
        <v>0.31926</v>
      </c>
      <c r="N333" s="16" t="n">
        <v>0</v>
      </c>
      <c r="O333" s="16" t="n">
        <v>0</v>
      </c>
      <c r="P333" s="16" t="n">
        <v>0.31926</v>
      </c>
      <c r="Q333">
        <f>--($A333=IF('الداشبورد'!$B$5="الكل",$A333,'الداشبورد'!$B$5))</f>
        <v/>
      </c>
      <c r="R333">
        <f>--($E333=IF('الداشبورد'!$B$6="الكل",$E333,'الداشبورد'!$B$6))</f>
        <v/>
      </c>
      <c r="S333">
        <f>--($K333=IF('الداشبورد'!$B$7="الكل",$K333,IF('الداشبورد'!$B$7="تصدير","Y","N")))</f>
        <v/>
      </c>
      <c r="T333">
        <f>--($J333=IF('الداشبورد'!$B$8="الكل",$J333,IF('الداشبورد'!$B$8="AL","A","C")))</f>
        <v/>
      </c>
      <c r="U333">
        <f>--($I333=IF('الداشبورد'!$B$9="الكل",$I333,IF('الداشبورد'!$B$9="بدون حالة","P",'الداشبورد'!$B$9)))</f>
        <v/>
      </c>
      <c r="V333">
        <f>--($D333=IF('الداشبورد'!$B$10="الكل",$D333,'الداشبورد'!$B$10))</f>
        <v/>
      </c>
      <c r="W333">
        <f>--($G333=IF('الداشبورد'!$B$11="الكل",$G333,'الداشبورد'!$B$11))</f>
        <v/>
      </c>
      <c r="X333">
        <f>Q333*R333*S333*T333*U333*V333*W333*--($C333&lt;&gt;"")</f>
        <v/>
      </c>
    </row>
    <row r="334">
      <c r="A334" s="15" t="n">
        <v>4</v>
      </c>
      <c r="B334" s="15" t="inlineStr">
        <is>
          <t>J184588</t>
        </is>
      </c>
      <c r="C334" s="15" t="inlineStr">
        <is>
          <t>1672/26/01</t>
        </is>
      </c>
      <c r="D334" s="15" t="inlineStr">
        <is>
          <t>Sadacavi</t>
        </is>
      </c>
      <c r="E334" s="15" t="inlineStr">
        <is>
          <t>LV</t>
        </is>
      </c>
      <c r="F334" s="15" t="inlineStr">
        <is>
          <t>1.8/3 KV 1X240</t>
        </is>
      </c>
      <c r="G334" s="15" t="inlineStr">
        <is>
          <t>RW01</t>
        </is>
      </c>
      <c r="H334" s="15" t="inlineStr">
        <is>
          <t>Wooden Drums</t>
        </is>
      </c>
      <c r="I334" s="15" t="inlineStr">
        <is>
          <t>OK</t>
        </is>
      </c>
      <c r="J334" s="15" t="inlineStr">
        <is>
          <t>A</t>
        </is>
      </c>
      <c r="K334" s="15" t="inlineStr">
        <is>
          <t>Y</t>
        </is>
      </c>
      <c r="L334" s="15" t="n">
        <v>1010</v>
      </c>
      <c r="M334" s="16" t="n">
        <v>0.63226</v>
      </c>
      <c r="N334" s="16" t="n">
        <v>0</v>
      </c>
      <c r="O334" s="16" t="n">
        <v>0</v>
      </c>
      <c r="P334" s="16" t="n">
        <v>0.63226</v>
      </c>
      <c r="Q334">
        <f>--($A334=IF('الداشبورد'!$B$5="الكل",$A334,'الداشبورد'!$B$5))</f>
        <v/>
      </c>
      <c r="R334">
        <f>--($E334=IF('الداشبورد'!$B$6="الكل",$E334,'الداشبورد'!$B$6))</f>
        <v/>
      </c>
      <c r="S334">
        <f>--($K334=IF('الداشبورد'!$B$7="الكل",$K334,IF('الداشبورد'!$B$7="تصدير","Y","N")))</f>
        <v/>
      </c>
      <c r="T334">
        <f>--($J334=IF('الداشبورد'!$B$8="الكل",$J334,IF('الداشبورد'!$B$8="AL","A","C")))</f>
        <v/>
      </c>
      <c r="U334">
        <f>--($I334=IF('الداشبورد'!$B$9="الكل",$I334,IF('الداشبورد'!$B$9="بدون حالة","P",'الداشبورد'!$B$9)))</f>
        <v/>
      </c>
      <c r="V334">
        <f>--($D334=IF('الداشبورد'!$B$10="الكل",$D334,'الداشبورد'!$B$10))</f>
        <v/>
      </c>
      <c r="W334">
        <f>--($G334=IF('الداشبورد'!$B$11="الكل",$G334,'الداشبورد'!$B$11))</f>
        <v/>
      </c>
      <c r="X334">
        <f>Q334*R334*S334*T334*U334*V334*W334*--($C334&lt;&gt;"")</f>
        <v/>
      </c>
    </row>
    <row r="335">
      <c r="A335" s="15" t="n">
        <v>4</v>
      </c>
      <c r="B335" s="15" t="inlineStr">
        <is>
          <t>S184319</t>
        </is>
      </c>
      <c r="C335" s="15" t="inlineStr">
        <is>
          <t>1279/26/01</t>
        </is>
      </c>
      <c r="D335" s="15" t="inlineStr">
        <is>
          <t>Eland Cables</t>
        </is>
      </c>
      <c r="E335" s="15" t="inlineStr">
        <is>
          <t>MV</t>
        </is>
      </c>
      <c r="F335" s="15" t="inlineStr">
        <is>
          <t>19/33 KV 3X1X185</t>
        </is>
      </c>
      <c r="G335" s="15" t="inlineStr">
        <is>
          <t>RW03</t>
        </is>
      </c>
      <c r="H335" s="15" t="inlineStr">
        <is>
          <t>Wooden Drums</t>
        </is>
      </c>
      <c r="I335" s="15" t="inlineStr">
        <is>
          <t>OK</t>
        </is>
      </c>
      <c r="J335" s="15" t="inlineStr">
        <is>
          <t>A</t>
        </is>
      </c>
      <c r="K335" s="15" t="inlineStr">
        <is>
          <t>Y</t>
        </is>
      </c>
      <c r="L335" s="15" t="n">
        <v>507</v>
      </c>
      <c r="M335" s="16" t="n">
        <v>0.7275450000000001</v>
      </c>
      <c r="N335" s="16" t="n">
        <v>0.485706</v>
      </c>
      <c r="O335" s="16" t="n">
        <v>0</v>
      </c>
      <c r="P335" s="16" t="n">
        <v>1.213251</v>
      </c>
      <c r="Q335">
        <f>--($A335=IF('الداشبورد'!$B$5="الكل",$A335,'الداشبورد'!$B$5))</f>
        <v/>
      </c>
      <c r="R335">
        <f>--($E335=IF('الداشبورد'!$B$6="الكل",$E335,'الداشبورد'!$B$6))</f>
        <v/>
      </c>
      <c r="S335">
        <f>--($K335=IF('الداشبورد'!$B$7="الكل",$K335,IF('الداشبورد'!$B$7="تصدير","Y","N")))</f>
        <v/>
      </c>
      <c r="T335">
        <f>--($J335=IF('الداشبورد'!$B$8="الكل",$J335,IF('الداشبورد'!$B$8="AL","A","C")))</f>
        <v/>
      </c>
      <c r="U335">
        <f>--($I335=IF('الداشبورد'!$B$9="الكل",$I335,IF('الداشبورد'!$B$9="بدون حالة","P",'الداشبورد'!$B$9)))</f>
        <v/>
      </c>
      <c r="V335">
        <f>--($D335=IF('الداشبورد'!$B$10="الكل",$D335,'الداشبورد'!$B$10))</f>
        <v/>
      </c>
      <c r="W335">
        <f>--($G335=IF('الداشبورد'!$B$11="الكل",$G335,'الداشبورد'!$B$11))</f>
        <v/>
      </c>
      <c r="X335">
        <f>Q335*R335*S335*T335*U335*V335*W335*--($C335&lt;&gt;"")</f>
        <v/>
      </c>
    </row>
    <row r="336">
      <c r="A336" s="15" t="n">
        <v>2</v>
      </c>
      <c r="B336" s="15" t="inlineStr">
        <is>
          <t>G184345</t>
        </is>
      </c>
      <c r="C336" s="15" t="inlineStr">
        <is>
          <t>1392/26/07</t>
        </is>
      </c>
      <c r="D336" s="15" t="inlineStr">
        <is>
          <t>أوتاك  للتجارة والهندسية</t>
        </is>
      </c>
      <c r="E336" s="15" t="inlineStr">
        <is>
          <t>LV</t>
        </is>
      </c>
      <c r="F336" s="15" t="inlineStr">
        <is>
          <t>0.6/1 KV 3*50+25</t>
        </is>
      </c>
      <c r="G336" s="15" t="inlineStr">
        <is>
          <t>EX03</t>
        </is>
      </c>
      <c r="H336" s="15" t="inlineStr">
        <is>
          <t>Wooden Drums</t>
        </is>
      </c>
      <c r="I336" s="15" t="inlineStr">
        <is>
          <t>OK</t>
        </is>
      </c>
      <c r="J336" s="15" t="inlineStr">
        <is>
          <t>A</t>
        </is>
      </c>
      <c r="K336" s="15" t="inlineStr">
        <is>
          <t>N</t>
        </is>
      </c>
      <c r="L336" s="15" t="n">
        <v>94</v>
      </c>
      <c r="M336" s="16" t="n">
        <v>0.041736</v>
      </c>
      <c r="N336" s="16" t="n">
        <v>0</v>
      </c>
      <c r="O336" s="16" t="n">
        <v>0</v>
      </c>
      <c r="P336" s="16" t="n">
        <v>0.041736</v>
      </c>
      <c r="Q336">
        <f>--($A336=IF('الداشبورد'!$B$5="الكل",$A336,'الداشبورد'!$B$5))</f>
        <v/>
      </c>
      <c r="R336">
        <f>--($E336=IF('الداشبورد'!$B$6="الكل",$E336,'الداشبورد'!$B$6))</f>
        <v/>
      </c>
      <c r="S336">
        <f>--($K336=IF('الداشبورد'!$B$7="الكل",$K336,IF('الداشبورد'!$B$7="تصدير","Y","N")))</f>
        <v/>
      </c>
      <c r="T336">
        <f>--($J336=IF('الداشبورد'!$B$8="الكل",$J336,IF('الداشبورد'!$B$8="AL","A","C")))</f>
        <v/>
      </c>
      <c r="U336">
        <f>--($I336=IF('الداشبورد'!$B$9="الكل",$I336,IF('الداشبورد'!$B$9="بدون حالة","P",'الداشبورد'!$B$9)))</f>
        <v/>
      </c>
      <c r="V336">
        <f>--($D336=IF('الداشبورد'!$B$10="الكل",$D336,'الداشبورد'!$B$10))</f>
        <v/>
      </c>
      <c r="W336">
        <f>--($G336=IF('الداشبورد'!$B$11="الكل",$G336,'الداشبورد'!$B$11))</f>
        <v/>
      </c>
      <c r="X336">
        <f>Q336*R336*S336*T336*U336*V336*W336*--($C336&lt;&gt;"")</f>
        <v/>
      </c>
    </row>
    <row r="337">
      <c r="A337" s="15" t="n">
        <v>4</v>
      </c>
      <c r="B337" s="15" t="inlineStr">
        <is>
          <t>J184233</t>
        </is>
      </c>
      <c r="C337" s="15" t="inlineStr">
        <is>
          <t>1410/26/01</t>
        </is>
      </c>
      <c r="D337" s="15" t="inlineStr">
        <is>
          <t>Sadacavi</t>
        </is>
      </c>
      <c r="E337" s="15" t="inlineStr">
        <is>
          <t>LV</t>
        </is>
      </c>
      <c r="F337" s="15" t="inlineStr">
        <is>
          <t>0.6/1KV 1*150</t>
        </is>
      </c>
      <c r="G337" s="15" t="inlineStr">
        <is>
          <t>EX01</t>
        </is>
      </c>
      <c r="H337" s="15" t="inlineStr">
        <is>
          <t>Wooden Drums</t>
        </is>
      </c>
      <c r="I337" s="15" t="inlineStr">
        <is>
          <t>P</t>
        </is>
      </c>
      <c r="J337" s="15" t="inlineStr">
        <is>
          <t>A</t>
        </is>
      </c>
      <c r="K337" s="15" t="inlineStr">
        <is>
          <t>Y</t>
        </is>
      </c>
      <c r="L337" s="15" t="n">
        <v>2057</v>
      </c>
      <c r="M337" s="16" t="n">
        <v>0.80223</v>
      </c>
      <c r="N337" s="16" t="n">
        <v>0</v>
      </c>
      <c r="O337" s="16" t="n">
        <v>0</v>
      </c>
      <c r="P337" s="16" t="n">
        <v>0.80223</v>
      </c>
      <c r="Q337">
        <f>--($A337=IF('الداشبورد'!$B$5="الكل",$A337,'الداشبورد'!$B$5))</f>
        <v/>
      </c>
      <c r="R337">
        <f>--($E337=IF('الداشبورد'!$B$6="الكل",$E337,'الداشبورد'!$B$6))</f>
        <v/>
      </c>
      <c r="S337">
        <f>--($K337=IF('الداشبورد'!$B$7="الكل",$K337,IF('الداشبورد'!$B$7="تصدير","Y","N")))</f>
        <v/>
      </c>
      <c r="T337">
        <f>--($J337=IF('الداشبورد'!$B$8="الكل",$J337,IF('الداشبورد'!$B$8="AL","A","C")))</f>
        <v/>
      </c>
      <c r="U337">
        <f>--($I337=IF('الداشبورد'!$B$9="الكل",$I337,IF('الداشبورد'!$B$9="بدون حالة","P",'الداشبورد'!$B$9)))</f>
        <v/>
      </c>
      <c r="V337">
        <f>--($D337=IF('الداشبورد'!$B$10="الكل",$D337,'الداشبورد'!$B$10))</f>
        <v/>
      </c>
      <c r="W337">
        <f>--($G337=IF('الداشبورد'!$B$11="الكل",$G337,'الداشبورد'!$B$11))</f>
        <v/>
      </c>
      <c r="X337">
        <f>Q337*R337*S337*T337*U337*V337*W337*--($C337&lt;&gt;"")</f>
        <v/>
      </c>
    </row>
    <row r="338">
      <c r="A338" s="15" t="n">
        <v>4</v>
      </c>
      <c r="B338" s="15" t="inlineStr">
        <is>
          <t>P159</t>
        </is>
      </c>
      <c r="C338" s="15" t="inlineStr">
        <is>
          <t>1595/26/09</t>
        </is>
      </c>
      <c r="D338" s="15" t="inlineStr">
        <is>
          <t>Helukabel Germany</t>
        </is>
      </c>
      <c r="E338" s="15" t="inlineStr">
        <is>
          <t>LV</t>
        </is>
      </c>
      <c r="F338" s="15" t="inlineStr">
        <is>
          <t>0.6/1 KV 1X120</t>
        </is>
      </c>
      <c r="G338" s="15" t="inlineStr">
        <is>
          <t>EX03</t>
        </is>
      </c>
      <c r="H338" s="15" t="inlineStr">
        <is>
          <t>Wooden Drums</t>
        </is>
      </c>
      <c r="I338" s="15" t="inlineStr">
        <is>
          <t>Hold</t>
        </is>
      </c>
      <c r="J338" s="15" t="inlineStr">
        <is>
          <t>A</t>
        </is>
      </c>
      <c r="K338" s="15" t="inlineStr">
        <is>
          <t>Y</t>
        </is>
      </c>
      <c r="L338" s="15" t="n">
        <v>2070</v>
      </c>
      <c r="M338" s="16" t="n">
        <v>0.6520499999999999</v>
      </c>
      <c r="N338" s="16" t="n">
        <v>0</v>
      </c>
      <c r="O338" s="16" t="n">
        <v>0</v>
      </c>
      <c r="P338" s="16" t="n">
        <v>0.6520499999999999</v>
      </c>
      <c r="Q338">
        <f>--($A338=IF('الداشبورد'!$B$5="الكل",$A338,'الداشبورد'!$B$5))</f>
        <v/>
      </c>
      <c r="R338">
        <f>--($E338=IF('الداشبورد'!$B$6="الكل",$E338,'الداشبورد'!$B$6))</f>
        <v/>
      </c>
      <c r="S338">
        <f>--($K338=IF('الداشبورد'!$B$7="الكل",$K338,IF('الداشبورد'!$B$7="تصدير","Y","N")))</f>
        <v/>
      </c>
      <c r="T338">
        <f>--($J338=IF('الداشبورد'!$B$8="الكل",$J338,IF('الداشبورد'!$B$8="AL","A","C")))</f>
        <v/>
      </c>
      <c r="U338">
        <f>--($I338=IF('الداشبورد'!$B$9="الكل",$I338,IF('الداشبورد'!$B$9="بدون حالة","P",'الداشبورد'!$B$9)))</f>
        <v/>
      </c>
      <c r="V338">
        <f>--($D338=IF('الداشبورد'!$B$10="الكل",$D338,'الداشبورد'!$B$10))</f>
        <v/>
      </c>
      <c r="W338">
        <f>--($G338=IF('الداشبورد'!$B$11="الكل",$G338,'الداشبورد'!$B$11))</f>
        <v/>
      </c>
      <c r="X338">
        <f>Q338*R338*S338*T338*U338*V338*W338*--($C338&lt;&gt;"")</f>
        <v/>
      </c>
    </row>
    <row r="339">
      <c r="A339" s="15" t="n">
        <v>4</v>
      </c>
      <c r="B339" s="15" t="inlineStr">
        <is>
          <t>R183389</t>
        </is>
      </c>
      <c r="C339" s="15" t="inlineStr">
        <is>
          <t>1205/26/01</t>
        </is>
      </c>
      <c r="D339" s="15" t="inlineStr">
        <is>
          <t>CASSIS Equipements</t>
        </is>
      </c>
      <c r="E339" s="15" t="inlineStr">
        <is>
          <t>MV</t>
        </is>
      </c>
      <c r="F339" s="15" t="inlineStr">
        <is>
          <t>18/30KV 3*1*240</t>
        </is>
      </c>
      <c r="G339" s="15" t="inlineStr">
        <is>
          <t>RW01</t>
        </is>
      </c>
      <c r="H339" s="15" t="inlineStr">
        <is>
          <t>Wooden Drums</t>
        </is>
      </c>
      <c r="I339" s="15" t="inlineStr">
        <is>
          <t>OK</t>
        </is>
      </c>
      <c r="J339" s="15" t="inlineStr">
        <is>
          <t>A</t>
        </is>
      </c>
      <c r="K339" s="15" t="inlineStr">
        <is>
          <t>Y</t>
        </is>
      </c>
      <c r="L339" s="15" t="n">
        <v>401</v>
      </c>
      <c r="M339" s="16" t="n">
        <v>0.7502709999999999</v>
      </c>
      <c r="N339" s="16" t="n">
        <v>0</v>
      </c>
      <c r="O339" s="16" t="n">
        <v>0</v>
      </c>
      <c r="P339" s="16" t="n">
        <v>0.7502709999999999</v>
      </c>
      <c r="Q339">
        <f>--($A339=IF('الداشبورد'!$B$5="الكل",$A339,'الداشبورد'!$B$5))</f>
        <v/>
      </c>
      <c r="R339">
        <f>--($E339=IF('الداشبورد'!$B$6="الكل",$E339,'الداشبورد'!$B$6))</f>
        <v/>
      </c>
      <c r="S339">
        <f>--($K339=IF('الداشبورد'!$B$7="الكل",$K339,IF('الداشبورد'!$B$7="تصدير","Y","N")))</f>
        <v/>
      </c>
      <c r="T339">
        <f>--($J339=IF('الداشبورد'!$B$8="الكل",$J339,IF('الداشبورد'!$B$8="AL","A","C")))</f>
        <v/>
      </c>
      <c r="U339">
        <f>--($I339=IF('الداشبورد'!$B$9="الكل",$I339,IF('الداشبورد'!$B$9="بدون حالة","P",'الداشبورد'!$B$9)))</f>
        <v/>
      </c>
      <c r="V339">
        <f>--($D339=IF('الداشبورد'!$B$10="الكل",$D339,'الداشبورد'!$B$10))</f>
        <v/>
      </c>
      <c r="W339">
        <f>--($G339=IF('الداشبورد'!$B$11="الكل",$G339,'الداشبورد'!$B$11))</f>
        <v/>
      </c>
      <c r="X339">
        <f>Q339*R339*S339*T339*U339*V339*W339*--($C339&lt;&gt;"")</f>
        <v/>
      </c>
    </row>
    <row r="340">
      <c r="A340" s="15" t="n">
        <v>1</v>
      </c>
      <c r="B340" s="15" t="inlineStr">
        <is>
          <t>P184161</t>
        </is>
      </c>
      <c r="C340" s="15" t="inlineStr">
        <is>
          <t>1555/26/01</t>
        </is>
      </c>
      <c r="D340" s="15" t="inlineStr">
        <is>
          <t>Eland Cables</t>
        </is>
      </c>
      <c r="E340" s="15" t="inlineStr">
        <is>
          <t>MV</t>
        </is>
      </c>
      <c r="F340" s="15" t="inlineStr">
        <is>
          <t>12/20 KV 1X630</t>
        </is>
      </c>
      <c r="G340" s="15" t="inlineStr">
        <is>
          <t>EX06</t>
        </is>
      </c>
      <c r="H340" s="15" t="inlineStr">
        <is>
          <t>Wooden Drums</t>
        </is>
      </c>
      <c r="I340" s="15" t="inlineStr">
        <is>
          <t>OK</t>
        </is>
      </c>
      <c r="J340" s="15" t="inlineStr">
        <is>
          <t>A</t>
        </is>
      </c>
      <c r="K340" s="15" t="inlineStr">
        <is>
          <t>Y</t>
        </is>
      </c>
      <c r="L340" s="15" t="n">
        <v>947</v>
      </c>
      <c r="M340" s="16" t="n">
        <v>1.6099</v>
      </c>
      <c r="N340" s="16" t="n">
        <v>0.140156</v>
      </c>
      <c r="O340" s="16" t="n">
        <v>0</v>
      </c>
      <c r="P340" s="16" t="n">
        <v>1.750056</v>
      </c>
      <c r="Q340">
        <f>--($A340=IF('الداشبورد'!$B$5="الكل",$A340,'الداشبورد'!$B$5))</f>
        <v/>
      </c>
      <c r="R340">
        <f>--($E340=IF('الداشبورد'!$B$6="الكل",$E340,'الداشبورد'!$B$6))</f>
        <v/>
      </c>
      <c r="S340">
        <f>--($K340=IF('الداشبورد'!$B$7="الكل",$K340,IF('الداشبورد'!$B$7="تصدير","Y","N")))</f>
        <v/>
      </c>
      <c r="T340">
        <f>--($J340=IF('الداشبورد'!$B$8="الكل",$J340,IF('الداشبورد'!$B$8="AL","A","C")))</f>
        <v/>
      </c>
      <c r="U340">
        <f>--($I340=IF('الداشبورد'!$B$9="الكل",$I340,IF('الداشبورد'!$B$9="بدون حالة","P",'الداشبورد'!$B$9)))</f>
        <v/>
      </c>
      <c r="V340">
        <f>--($D340=IF('الداشبورد'!$B$10="الكل",$D340,'الداشبورد'!$B$10))</f>
        <v/>
      </c>
      <c r="W340">
        <f>--($G340=IF('الداشبورد'!$B$11="الكل",$G340,'الداشبورد'!$B$11))</f>
        <v/>
      </c>
      <c r="X340">
        <f>Q340*R340*S340*T340*U340*V340*W340*--($C340&lt;&gt;"")</f>
        <v/>
      </c>
    </row>
    <row r="341">
      <c r="A341" s="15" t="n">
        <v>2</v>
      </c>
      <c r="B341" s="15" t="inlineStr">
        <is>
          <t>J184239</t>
        </is>
      </c>
      <c r="C341" s="15" t="inlineStr">
        <is>
          <t>1530/26/03</t>
        </is>
      </c>
      <c r="D341" s="15" t="inlineStr">
        <is>
          <t>اراب الجديدة</t>
        </is>
      </c>
      <c r="E341" s="15" t="inlineStr">
        <is>
          <t>LV</t>
        </is>
      </c>
      <c r="F341" s="15" t="inlineStr">
        <is>
          <t>0.6/1 KV 3X120+70</t>
        </is>
      </c>
      <c r="G341" s="15" t="inlineStr">
        <is>
          <t>EX03</t>
        </is>
      </c>
      <c r="H341" s="15" t="inlineStr">
        <is>
          <t>Wooden Drums</t>
        </is>
      </c>
      <c r="I341" s="15" t="inlineStr">
        <is>
          <t>OK</t>
        </is>
      </c>
      <c r="J341" s="15" t="inlineStr">
        <is>
          <t>A</t>
        </is>
      </c>
      <c r="K341" s="15" t="inlineStr">
        <is>
          <t>N</t>
        </is>
      </c>
      <c r="L341" s="15" t="n">
        <v>493</v>
      </c>
      <c r="M341" s="16" t="n">
        <v>0.560048</v>
      </c>
      <c r="N341" s="16" t="n">
        <v>0</v>
      </c>
      <c r="O341" s="16" t="n">
        <v>0</v>
      </c>
      <c r="P341" s="16" t="n">
        <v>0.560048</v>
      </c>
      <c r="Q341">
        <f>--($A341=IF('الداشبورد'!$B$5="الكل",$A341,'الداشبورد'!$B$5))</f>
        <v/>
      </c>
      <c r="R341">
        <f>--($E341=IF('الداشبورد'!$B$6="الكل",$E341,'الداشبورد'!$B$6))</f>
        <v/>
      </c>
      <c r="S341">
        <f>--($K341=IF('الداشبورد'!$B$7="الكل",$K341,IF('الداشبورد'!$B$7="تصدير","Y","N")))</f>
        <v/>
      </c>
      <c r="T341">
        <f>--($J341=IF('الداشبورد'!$B$8="الكل",$J341,IF('الداشبورد'!$B$8="AL","A","C")))</f>
        <v/>
      </c>
      <c r="U341">
        <f>--($I341=IF('الداشبورد'!$B$9="الكل",$I341,IF('الداشبورد'!$B$9="بدون حالة","P",'الداشبورد'!$B$9)))</f>
        <v/>
      </c>
      <c r="V341">
        <f>--($D341=IF('الداشبورد'!$B$10="الكل",$D341,'الداشبورد'!$B$10))</f>
        <v/>
      </c>
      <c r="W341">
        <f>--($G341=IF('الداشبورد'!$B$11="الكل",$G341,'الداشبورد'!$B$11))</f>
        <v/>
      </c>
      <c r="X341">
        <f>Q341*R341*S341*T341*U341*V341*W341*--($C341&lt;&gt;"")</f>
        <v/>
      </c>
    </row>
    <row r="342">
      <c r="A342" s="15" t="n">
        <v>2</v>
      </c>
      <c r="B342" s="15" t="inlineStr">
        <is>
          <t>C184355</t>
        </is>
      </c>
      <c r="C342" s="15" t="inlineStr">
        <is>
          <t>1549/26/12</t>
        </is>
      </c>
      <c r="D342" s="15" t="inlineStr">
        <is>
          <t>Next Technologies Limited</t>
        </is>
      </c>
      <c r="E342" s="15" t="inlineStr">
        <is>
          <t>LV</t>
        </is>
      </c>
      <c r="F342" s="15" t="inlineStr">
        <is>
          <t>0.6/1 KV 1X50</t>
        </is>
      </c>
      <c r="G342" s="15" t="inlineStr">
        <is>
          <t>EX09</t>
        </is>
      </c>
      <c r="H342" s="15" t="inlineStr">
        <is>
          <t>Wooden Drums</t>
        </is>
      </c>
      <c r="I342" s="15" t="inlineStr">
        <is>
          <t>OK</t>
        </is>
      </c>
      <c r="J342" s="15" t="inlineStr">
        <is>
          <t>C</t>
        </is>
      </c>
      <c r="K342" s="15" t="inlineStr">
        <is>
          <t>Y</t>
        </is>
      </c>
      <c r="L342" s="15" t="n">
        <v>169</v>
      </c>
      <c r="M342" s="16" t="n">
        <v>0.06844500000000001</v>
      </c>
      <c r="N342" s="16" t="n">
        <v>0</v>
      </c>
      <c r="O342" s="16" t="n">
        <v>0.015717</v>
      </c>
      <c r="P342" s="16" t="n">
        <v>0.08416200000000001</v>
      </c>
      <c r="Q342">
        <f>--($A342=IF('الداشبورد'!$B$5="الكل",$A342,'الداشبورد'!$B$5))</f>
        <v/>
      </c>
      <c r="R342">
        <f>--($E342=IF('الداشبورد'!$B$6="الكل",$E342,'الداشبورد'!$B$6))</f>
        <v/>
      </c>
      <c r="S342">
        <f>--($K342=IF('الداشبورد'!$B$7="الكل",$K342,IF('الداشبورد'!$B$7="تصدير","Y","N")))</f>
        <v/>
      </c>
      <c r="T342">
        <f>--($J342=IF('الداشبورد'!$B$8="الكل",$J342,IF('الداشبورد'!$B$8="AL","A","C")))</f>
        <v/>
      </c>
      <c r="U342">
        <f>--($I342=IF('الداشبورد'!$B$9="الكل",$I342,IF('الداشبورد'!$B$9="بدون حالة","P",'الداشبورد'!$B$9)))</f>
        <v/>
      </c>
      <c r="V342">
        <f>--($D342=IF('الداشبورد'!$B$10="الكل",$D342,'الداشبورد'!$B$10))</f>
        <v/>
      </c>
      <c r="W342">
        <f>--($G342=IF('الداشبورد'!$B$11="الكل",$G342,'الداشبورد'!$B$11))</f>
        <v/>
      </c>
      <c r="X342">
        <f>Q342*R342*S342*T342*U342*V342*W342*--($C342&lt;&gt;"")</f>
        <v/>
      </c>
    </row>
    <row r="343">
      <c r="A343" s="15" t="n">
        <v>4</v>
      </c>
      <c r="B343" s="15" t="inlineStr">
        <is>
          <t>E184569</t>
        </is>
      </c>
      <c r="C343" s="15" t="inlineStr">
        <is>
          <t>1549/26/13</t>
        </is>
      </c>
      <c r="D343" s="15" t="inlineStr">
        <is>
          <t>Next Technologies Limited</t>
        </is>
      </c>
      <c r="E343" s="15" t="inlineStr">
        <is>
          <t>LV</t>
        </is>
      </c>
      <c r="F343" s="15" t="inlineStr">
        <is>
          <t>0.6/1 KV 1x120</t>
        </is>
      </c>
      <c r="G343" s="15" t="inlineStr">
        <is>
          <t>RW01</t>
        </is>
      </c>
      <c r="H343" s="15" t="inlineStr">
        <is>
          <t>Wooden Drums</t>
        </is>
      </c>
      <c r="I343" s="15" t="inlineStr">
        <is>
          <t>OK</t>
        </is>
      </c>
      <c r="J343" s="15" t="inlineStr">
        <is>
          <t>C</t>
        </is>
      </c>
      <c r="K343" s="15" t="inlineStr">
        <is>
          <t>Y</t>
        </is>
      </c>
      <c r="L343" s="15" t="n">
        <v>189</v>
      </c>
      <c r="M343" s="16" t="n">
        <v>0.19467</v>
      </c>
      <c r="N343" s="16" t="n">
        <v>0</v>
      </c>
      <c r="O343" s="16" t="n">
        <v>0.025704</v>
      </c>
      <c r="P343" s="16" t="n">
        <v>0.220374</v>
      </c>
      <c r="Q343">
        <f>--($A343=IF('الداشبورد'!$B$5="الكل",$A343,'الداشبورد'!$B$5))</f>
        <v/>
      </c>
      <c r="R343">
        <f>--($E343=IF('الداشبورد'!$B$6="الكل",$E343,'الداشبورد'!$B$6))</f>
        <v/>
      </c>
      <c r="S343">
        <f>--($K343=IF('الداشبورد'!$B$7="الكل",$K343,IF('الداشبورد'!$B$7="تصدير","Y","N")))</f>
        <v/>
      </c>
      <c r="T343">
        <f>--($J343=IF('الداشبورد'!$B$8="الكل",$J343,IF('الداشبورد'!$B$8="AL","A","C")))</f>
        <v/>
      </c>
      <c r="U343">
        <f>--($I343=IF('الداشبورد'!$B$9="الكل",$I343,IF('الداشبورد'!$B$9="بدون حالة","P",'الداشبورد'!$B$9)))</f>
        <v/>
      </c>
      <c r="V343">
        <f>--($D343=IF('الداشبورد'!$B$10="الكل",$D343,'الداشبورد'!$B$10))</f>
        <v/>
      </c>
      <c r="W343">
        <f>--($G343=IF('الداشبورد'!$B$11="الكل",$G343,'الداشبورد'!$B$11))</f>
        <v/>
      </c>
      <c r="X343">
        <f>Q343*R343*S343*T343*U343*V343*W343*--($C343&lt;&gt;"")</f>
        <v/>
      </c>
    </row>
    <row r="344">
      <c r="A344" s="15" t="n">
        <v>4</v>
      </c>
      <c r="B344" s="15" t="inlineStr">
        <is>
          <t>M184608</t>
        </is>
      </c>
      <c r="C344" s="15" t="inlineStr">
        <is>
          <t>1085/26/01</t>
        </is>
      </c>
      <c r="D344" s="15" t="inlineStr">
        <is>
          <t>Cleveland Cables Company</t>
        </is>
      </c>
      <c r="E344" s="15" t="inlineStr">
        <is>
          <t>LV</t>
        </is>
      </c>
      <c r="F344" s="15" t="inlineStr">
        <is>
          <t>1.8/3 KV 1X400</t>
        </is>
      </c>
      <c r="G344" s="15" t="inlineStr">
        <is>
          <t>EX05</t>
        </is>
      </c>
      <c r="H344" s="15" t="inlineStr">
        <is>
          <t>Wooden Drums</t>
        </is>
      </c>
      <c r="I344" s="15" t="inlineStr">
        <is>
          <t>OK</t>
        </is>
      </c>
      <c r="J344" s="15" t="inlineStr">
        <is>
          <t>A</t>
        </is>
      </c>
      <c r="K344" s="15" t="inlineStr">
        <is>
          <t>Y</t>
        </is>
      </c>
      <c r="L344" s="15" t="n">
        <v>724</v>
      </c>
      <c r="M344" s="16" t="n">
        <v>0.7211040000000001</v>
      </c>
      <c r="N344" s="16" t="n">
        <v>0</v>
      </c>
      <c r="O344" s="16" t="n">
        <v>0.241092</v>
      </c>
      <c r="P344" s="16" t="n">
        <v>0.9621960000000001</v>
      </c>
      <c r="Q344">
        <f>--($A344=IF('الداشبورد'!$B$5="الكل",$A344,'الداشبورد'!$B$5))</f>
        <v/>
      </c>
      <c r="R344">
        <f>--($E344=IF('الداشبورد'!$B$6="الكل",$E344,'الداشبورد'!$B$6))</f>
        <v/>
      </c>
      <c r="S344">
        <f>--($K344=IF('الداشبورد'!$B$7="الكل",$K344,IF('الداشبورد'!$B$7="تصدير","Y","N")))</f>
        <v/>
      </c>
      <c r="T344">
        <f>--($J344=IF('الداشبورد'!$B$8="الكل",$J344,IF('الداشبورد'!$B$8="AL","A","C")))</f>
        <v/>
      </c>
      <c r="U344">
        <f>--($I344=IF('الداشبورد'!$B$9="الكل",$I344,IF('الداشبورد'!$B$9="بدون حالة","P",'الداشبورد'!$B$9)))</f>
        <v/>
      </c>
      <c r="V344">
        <f>--($D344=IF('الداشبورد'!$B$10="الكل",$D344,'الداشبورد'!$B$10))</f>
        <v/>
      </c>
      <c r="W344">
        <f>--($G344=IF('الداشبورد'!$B$11="الكل",$G344,'الداشبورد'!$B$11))</f>
        <v/>
      </c>
      <c r="X344">
        <f>Q344*R344*S344*T344*U344*V344*W344*--($C344&lt;&gt;"")</f>
        <v/>
      </c>
    </row>
    <row r="345">
      <c r="A345" s="15" t="n">
        <v>4</v>
      </c>
      <c r="B345" s="15" t="inlineStr">
        <is>
          <t>P184467</t>
        </is>
      </c>
      <c r="C345" s="15" t="inlineStr">
        <is>
          <t>1385/26/11</t>
        </is>
      </c>
      <c r="D345" s="15" t="inlineStr">
        <is>
          <t>الشركة العربية للصناعة والتجارة الدولية</t>
        </is>
      </c>
      <c r="E345" s="15" t="inlineStr">
        <is>
          <t>LV</t>
        </is>
      </c>
      <c r="F345" s="15" t="inlineStr">
        <is>
          <t>0.6/1 KV 4*25</t>
        </is>
      </c>
      <c r="G345" s="15" t="inlineStr">
        <is>
          <t>EX13</t>
        </is>
      </c>
      <c r="H345" s="15" t="inlineStr">
        <is>
          <t>Wooden Drums</t>
        </is>
      </c>
      <c r="I345" s="15" t="inlineStr">
        <is>
          <t>OK</t>
        </is>
      </c>
      <c r="J345" s="15" t="inlineStr">
        <is>
          <t>A</t>
        </is>
      </c>
      <c r="K345" s="15" t="inlineStr">
        <is>
          <t>N</t>
        </is>
      </c>
      <c r="L345" s="15" t="n">
        <v>1953</v>
      </c>
      <c r="M345" s="16" t="n">
        <v>0.503874</v>
      </c>
      <c r="N345" s="16" t="n">
        <v>0</v>
      </c>
      <c r="O345" s="16" t="n">
        <v>0</v>
      </c>
      <c r="P345" s="16" t="n">
        <v>0.503874</v>
      </c>
      <c r="Q345">
        <f>--($A345=IF('الداشبورد'!$B$5="الكل",$A345,'الداشبورد'!$B$5))</f>
        <v/>
      </c>
      <c r="R345">
        <f>--($E345=IF('الداشبورد'!$B$6="الكل",$E345,'الداشبورد'!$B$6))</f>
        <v/>
      </c>
      <c r="S345">
        <f>--($K345=IF('الداشبورد'!$B$7="الكل",$K345,IF('الداشبورد'!$B$7="تصدير","Y","N")))</f>
        <v/>
      </c>
      <c r="T345">
        <f>--($J345=IF('الداشبورد'!$B$8="الكل",$J345,IF('الداشبورد'!$B$8="AL","A","C")))</f>
        <v/>
      </c>
      <c r="U345">
        <f>--($I345=IF('الداشبورد'!$B$9="الكل",$I345,IF('الداشبورد'!$B$9="بدون حالة","P",'الداشبورد'!$B$9)))</f>
        <v/>
      </c>
      <c r="V345">
        <f>--($D345=IF('الداشبورد'!$B$10="الكل",$D345,'الداشبورد'!$B$10))</f>
        <v/>
      </c>
      <c r="W345">
        <f>--($G345=IF('الداشبورد'!$B$11="الكل",$G345,'الداشبورد'!$B$11))</f>
        <v/>
      </c>
      <c r="X345">
        <f>Q345*R345*S345*T345*U345*V345*W345*--($C345&lt;&gt;"")</f>
        <v/>
      </c>
    </row>
    <row r="346">
      <c r="A346" s="15" t="n">
        <v>4</v>
      </c>
      <c r="B346" s="15" t="inlineStr">
        <is>
          <t>P-65</t>
        </is>
      </c>
      <c r="C346" s="15" t="inlineStr">
        <is>
          <t>1659/26/17</t>
        </is>
      </c>
      <c r="D346" s="15" t="inlineStr">
        <is>
          <t>Energya El Sewedy Helal International Limited – Ke</t>
        </is>
      </c>
      <c r="E346" s="15" t="inlineStr">
        <is>
          <t>CC</t>
        </is>
      </c>
      <c r="F346" s="15" t="inlineStr">
        <is>
          <t>300/500 V 3X1.5</t>
        </is>
      </c>
      <c r="G346" s="15" t="inlineStr">
        <is>
          <t>EX14</t>
        </is>
      </c>
      <c r="H346" s="15" t="inlineStr">
        <is>
          <t>Wooden Drums</t>
        </is>
      </c>
      <c r="I346" s="15" t="inlineStr">
        <is>
          <t>P</t>
        </is>
      </c>
      <c r="J346" s="15" t="inlineStr">
        <is>
          <t>C</t>
        </is>
      </c>
      <c r="K346" s="15" t="inlineStr">
        <is>
          <t>Y</t>
        </is>
      </c>
      <c r="L346" s="15" t="n">
        <v>3040</v>
      </c>
      <c r="M346" s="16" t="n">
        <v>0.1064</v>
      </c>
      <c r="N346" s="16" t="n">
        <v>0</v>
      </c>
      <c r="O346" s="16" t="n">
        <v>0</v>
      </c>
      <c r="P346" s="16" t="n">
        <v>0.1064</v>
      </c>
      <c r="Q346">
        <f>--($A346=IF('الداشبورد'!$B$5="الكل",$A346,'الداشبورد'!$B$5))</f>
        <v/>
      </c>
      <c r="R346">
        <f>--($E346=IF('الداشبورد'!$B$6="الكل",$E346,'الداشبورد'!$B$6))</f>
        <v/>
      </c>
      <c r="S346">
        <f>--($K346=IF('الداشبورد'!$B$7="الكل",$K346,IF('الداشبورد'!$B$7="تصدير","Y","N")))</f>
        <v/>
      </c>
      <c r="T346">
        <f>--($J346=IF('الداشبورد'!$B$8="الكل",$J346,IF('الداشبورد'!$B$8="AL","A","C")))</f>
        <v/>
      </c>
      <c r="U346">
        <f>--($I346=IF('الداشبورد'!$B$9="الكل",$I346,IF('الداشبورد'!$B$9="بدون حالة","P",'الداشبورد'!$B$9)))</f>
        <v/>
      </c>
      <c r="V346">
        <f>--($D346=IF('الداشبورد'!$B$10="الكل",$D346,'الداشبورد'!$B$10))</f>
        <v/>
      </c>
      <c r="W346">
        <f>--($G346=IF('الداشبورد'!$B$11="الكل",$G346,'الداشبورد'!$B$11))</f>
        <v/>
      </c>
      <c r="X346">
        <f>Q346*R346*S346*T346*U346*V346*W346*--($C346&lt;&gt;"")</f>
        <v/>
      </c>
    </row>
    <row r="347">
      <c r="A347" s="15" t="n">
        <v>4</v>
      </c>
      <c r="B347" s="15" t="inlineStr">
        <is>
          <t>37937</t>
        </is>
      </c>
      <c r="C347" s="15" t="inlineStr">
        <is>
          <t>1652/26/03</t>
        </is>
      </c>
      <c r="D347" s="15" t="inlineStr">
        <is>
          <t>Schneider Electric</t>
        </is>
      </c>
      <c r="E347" s="15" t="inlineStr">
        <is>
          <t>BC</t>
        </is>
      </c>
      <c r="F347" s="15" t="inlineStr">
        <is>
          <t>300/500 1*1</t>
        </is>
      </c>
      <c r="G347" s="15" t="inlineStr">
        <is>
          <t>CO03</t>
        </is>
      </c>
      <c r="H347" s="15" t="inlineStr">
        <is>
          <t>Plastic Spool 100M</t>
        </is>
      </c>
      <c r="I347" s="15" t="inlineStr">
        <is>
          <t>OK</t>
        </is>
      </c>
      <c r="J347" s="15" t="inlineStr">
        <is>
          <t>C</t>
        </is>
      </c>
      <c r="K347" s="15" t="inlineStr">
        <is>
          <t>N</t>
        </is>
      </c>
      <c r="L347" s="15" t="n">
        <v>6000</v>
      </c>
      <c r="M347" s="16" t="n">
        <v>0.048</v>
      </c>
      <c r="N347" s="16" t="n">
        <v>0</v>
      </c>
      <c r="O347" s="16" t="n">
        <v>0</v>
      </c>
      <c r="P347" s="16" t="n">
        <v>0.048</v>
      </c>
      <c r="Q347">
        <f>--($A347=IF('الداشبورد'!$B$5="الكل",$A347,'الداشبورد'!$B$5))</f>
        <v/>
      </c>
      <c r="R347">
        <f>--($E347=IF('الداشبورد'!$B$6="الكل",$E347,'الداشبورد'!$B$6))</f>
        <v/>
      </c>
      <c r="S347">
        <f>--($K347=IF('الداشبورد'!$B$7="الكل",$K347,IF('الداشبورد'!$B$7="تصدير","Y","N")))</f>
        <v/>
      </c>
      <c r="T347">
        <f>--($J347=IF('الداشبورد'!$B$8="الكل",$J347,IF('الداشبورد'!$B$8="AL","A","C")))</f>
        <v/>
      </c>
      <c r="U347">
        <f>--($I347=IF('الداشبورد'!$B$9="الكل",$I347,IF('الداشبورد'!$B$9="بدون حالة","P",'الداشبورد'!$B$9)))</f>
        <v/>
      </c>
      <c r="V347">
        <f>--($D347=IF('الداشبورد'!$B$10="الكل",$D347,'الداشبورد'!$B$10))</f>
        <v/>
      </c>
      <c r="W347">
        <f>--($G347=IF('الداشبورد'!$B$11="الكل",$G347,'الداشبورد'!$B$11))</f>
        <v/>
      </c>
      <c r="X347">
        <f>Q347*R347*S347*T347*U347*V347*W347*--($C347&lt;&gt;"")</f>
        <v/>
      </c>
    </row>
    <row r="348">
      <c r="A348" s="15" t="n">
        <v>4</v>
      </c>
      <c r="B348" s="15" t="inlineStr">
        <is>
          <t>37906</t>
        </is>
      </c>
      <c r="C348" s="15" t="inlineStr">
        <is>
          <t>9/25/04</t>
        </is>
      </c>
      <c r="D348" s="15" t="inlineStr">
        <is>
          <t>Helal Elsewedy</t>
        </is>
      </c>
      <c r="E348" s="15" t="inlineStr">
        <is>
          <t>BC</t>
        </is>
      </c>
      <c r="F348" s="15" t="inlineStr">
        <is>
          <t>300/500 V 1X1</t>
        </is>
      </c>
      <c r="G348" s="15" t="inlineStr">
        <is>
          <t>CO03</t>
        </is>
      </c>
      <c r="H348" s="15" t="inlineStr">
        <is>
          <t>Plastic Spool 100M</t>
        </is>
      </c>
      <c r="I348" s="15" t="inlineStr">
        <is>
          <t>OK</t>
        </is>
      </c>
      <c r="J348" s="15" t="inlineStr">
        <is>
          <t>C</t>
        </is>
      </c>
      <c r="K348" s="15" t="inlineStr">
        <is>
          <t>N</t>
        </is>
      </c>
      <c r="L348" s="15" t="n">
        <v>5400</v>
      </c>
      <c r="M348" s="16" t="n">
        <v>0.0432</v>
      </c>
      <c r="N348" s="16" t="n">
        <v>0</v>
      </c>
      <c r="O348" s="16" t="n">
        <v>0</v>
      </c>
      <c r="P348" s="16" t="n">
        <v>0.0432</v>
      </c>
      <c r="Q348">
        <f>--($A348=IF('الداشبورد'!$B$5="الكل",$A348,'الداشبورد'!$B$5))</f>
        <v/>
      </c>
      <c r="R348">
        <f>--($E348=IF('الداشبورد'!$B$6="الكل",$E348,'الداشبورد'!$B$6))</f>
        <v/>
      </c>
      <c r="S348">
        <f>--($K348=IF('الداشبورد'!$B$7="الكل",$K348,IF('الداشبورد'!$B$7="تصدير","Y","N")))</f>
        <v/>
      </c>
      <c r="T348">
        <f>--($J348=IF('الداشبورد'!$B$8="الكل",$J348,IF('الداشبورد'!$B$8="AL","A","C")))</f>
        <v/>
      </c>
      <c r="U348">
        <f>--($I348=IF('الداشبورد'!$B$9="الكل",$I348,IF('الداشبورد'!$B$9="بدون حالة","P",'الداشبورد'!$B$9)))</f>
        <v/>
      </c>
      <c r="V348">
        <f>--($D348=IF('الداشبورد'!$B$10="الكل",$D348,'الداشبورد'!$B$10))</f>
        <v/>
      </c>
      <c r="W348">
        <f>--($G348=IF('الداشبورد'!$B$11="الكل",$G348,'الداشبورد'!$B$11))</f>
        <v/>
      </c>
      <c r="X348">
        <f>Q348*R348*S348*T348*U348*V348*W348*--($C348&lt;&gt;"")</f>
        <v/>
      </c>
    </row>
    <row r="349">
      <c r="A349" s="15" t="n">
        <v>4</v>
      </c>
      <c r="B349" s="15" t="inlineStr">
        <is>
          <t>37905</t>
        </is>
      </c>
      <c r="C349" s="15" t="inlineStr">
        <is>
          <t>9/25/07</t>
        </is>
      </c>
      <c r="D349" s="15" t="inlineStr">
        <is>
          <t>Helal Elsewedy</t>
        </is>
      </c>
      <c r="E349" s="15" t="inlineStr">
        <is>
          <t>BC</t>
        </is>
      </c>
      <c r="F349" s="15" t="inlineStr">
        <is>
          <t>450/750 V 1X1.5</t>
        </is>
      </c>
      <c r="G349" s="15" t="inlineStr">
        <is>
          <t>CO01</t>
        </is>
      </c>
      <c r="H349" s="15" t="inlineStr">
        <is>
          <t>Plastic Spool 100M</t>
        </is>
      </c>
      <c r="I349" s="15" t="inlineStr">
        <is>
          <t>OK</t>
        </is>
      </c>
      <c r="J349" s="15" t="inlineStr">
        <is>
          <t>C</t>
        </is>
      </c>
      <c r="K349" s="15" t="inlineStr">
        <is>
          <t>N</t>
        </is>
      </c>
      <c r="L349" s="15" t="n">
        <v>22200</v>
      </c>
      <c r="M349" s="16" t="n">
        <v>0.2664</v>
      </c>
      <c r="N349" s="16" t="n">
        <v>0</v>
      </c>
      <c r="O349" s="16" t="n">
        <v>0</v>
      </c>
      <c r="P349" s="16" t="n">
        <v>0.2664</v>
      </c>
      <c r="Q349">
        <f>--($A349=IF('الداشبورد'!$B$5="الكل",$A349,'الداشبورد'!$B$5))</f>
        <v/>
      </c>
      <c r="R349">
        <f>--($E349=IF('الداشبورد'!$B$6="الكل",$E349,'الداشبورد'!$B$6))</f>
        <v/>
      </c>
      <c r="S349">
        <f>--($K349=IF('الداشبورد'!$B$7="الكل",$K349,IF('الداشبورد'!$B$7="تصدير","Y","N")))</f>
        <v/>
      </c>
      <c r="T349">
        <f>--($J349=IF('الداشبورد'!$B$8="الكل",$J349,IF('الداشبورد'!$B$8="AL","A","C")))</f>
        <v/>
      </c>
      <c r="U349">
        <f>--($I349=IF('الداشبورد'!$B$9="الكل",$I349,IF('الداشبورد'!$B$9="بدون حالة","P",'الداشبورد'!$B$9)))</f>
        <v/>
      </c>
      <c r="V349">
        <f>--($D349=IF('الداشبورد'!$B$10="الكل",$D349,'الداشبورد'!$B$10))</f>
        <v/>
      </c>
      <c r="W349">
        <f>--($G349=IF('الداشبورد'!$B$11="الكل",$G349,'الداشبورد'!$B$11))</f>
        <v/>
      </c>
      <c r="X349">
        <f>Q349*R349*S349*T349*U349*V349*W349*--($C349&lt;&gt;"")</f>
        <v/>
      </c>
    </row>
    <row r="350">
      <c r="A350" s="15" t="n">
        <v>4</v>
      </c>
      <c r="B350" s="15" t="inlineStr">
        <is>
          <t>37909</t>
        </is>
      </c>
      <c r="C350" s="15" t="inlineStr">
        <is>
          <t>9/25/01</t>
        </is>
      </c>
      <c r="D350" s="15" t="inlineStr">
        <is>
          <t>Helal Elsewedy</t>
        </is>
      </c>
      <c r="E350" s="15" t="inlineStr">
        <is>
          <t>BC</t>
        </is>
      </c>
      <c r="F350" s="15" t="inlineStr">
        <is>
          <t>300/500 1*1</t>
        </is>
      </c>
      <c r="G350" s="15" t="inlineStr">
        <is>
          <t>CO01</t>
        </is>
      </c>
      <c r="H350" s="15" t="inlineStr">
        <is>
          <t>Plastic Spool 100M</t>
        </is>
      </c>
      <c r="I350" s="15" t="inlineStr">
        <is>
          <t>OK</t>
        </is>
      </c>
      <c r="J350" s="15" t="inlineStr">
        <is>
          <t>C</t>
        </is>
      </c>
      <c r="K350" s="15" t="inlineStr">
        <is>
          <t>N</t>
        </is>
      </c>
      <c r="L350" s="15" t="n">
        <v>34000</v>
      </c>
      <c r="M350" s="16" t="n">
        <v>0.272</v>
      </c>
      <c r="N350" s="16" t="n">
        <v>0</v>
      </c>
      <c r="O350" s="16" t="n">
        <v>0</v>
      </c>
      <c r="P350" s="16" t="n">
        <v>0.272</v>
      </c>
      <c r="Q350">
        <f>--($A350=IF('الداشبورد'!$B$5="الكل",$A350,'الداشبورد'!$B$5))</f>
        <v/>
      </c>
      <c r="R350">
        <f>--($E350=IF('الداشبورد'!$B$6="الكل",$E350,'الداشبورد'!$B$6))</f>
        <v/>
      </c>
      <c r="S350">
        <f>--($K350=IF('الداشبورد'!$B$7="الكل",$K350,IF('الداشبورد'!$B$7="تصدير","Y","N")))</f>
        <v/>
      </c>
      <c r="T350">
        <f>--($J350=IF('الداشبورد'!$B$8="الكل",$J350,IF('الداشبورد'!$B$8="AL","A","C")))</f>
        <v/>
      </c>
      <c r="U350">
        <f>--($I350=IF('الداشبورد'!$B$9="الكل",$I350,IF('الداشبورد'!$B$9="بدون حالة","P",'الداشبورد'!$B$9)))</f>
        <v/>
      </c>
      <c r="V350">
        <f>--($D350=IF('الداشبورد'!$B$10="الكل",$D350,'الداشبورد'!$B$10))</f>
        <v/>
      </c>
      <c r="W350">
        <f>--($G350=IF('الداشبورد'!$B$11="الكل",$G350,'الداشبورد'!$B$11))</f>
        <v/>
      </c>
      <c r="X350">
        <f>Q350*R350*S350*T350*U350*V350*W350*--($C350&lt;&gt;"")</f>
        <v/>
      </c>
    </row>
    <row r="351">
      <c r="A351" s="15" t="n">
        <v>4</v>
      </c>
      <c r="B351" s="15" t="inlineStr">
        <is>
          <t>37907</t>
        </is>
      </c>
      <c r="C351" s="15" t="inlineStr">
        <is>
          <t>9/25/03</t>
        </is>
      </c>
      <c r="D351" s="15" t="inlineStr">
        <is>
          <t>Helal Elsewedy</t>
        </is>
      </c>
      <c r="E351" s="15" t="inlineStr">
        <is>
          <t>BC</t>
        </is>
      </c>
      <c r="F351" s="15" t="inlineStr">
        <is>
          <t>300/500 1*1</t>
        </is>
      </c>
      <c r="G351" s="15" t="inlineStr">
        <is>
          <t>CO01</t>
        </is>
      </c>
      <c r="H351" s="15" t="inlineStr">
        <is>
          <t>Plastic Spool 100M</t>
        </is>
      </c>
      <c r="I351" s="15" t="inlineStr">
        <is>
          <t>OK</t>
        </is>
      </c>
      <c r="J351" s="15" t="inlineStr">
        <is>
          <t>C</t>
        </is>
      </c>
      <c r="K351" s="15" t="inlineStr">
        <is>
          <t>N</t>
        </is>
      </c>
      <c r="L351" s="15" t="n">
        <v>5700</v>
      </c>
      <c r="M351" s="16" t="n">
        <v>0.0456</v>
      </c>
      <c r="N351" s="16" t="n">
        <v>0</v>
      </c>
      <c r="O351" s="16" t="n">
        <v>0</v>
      </c>
      <c r="P351" s="16" t="n">
        <v>0.0456</v>
      </c>
      <c r="Q351">
        <f>--($A351=IF('الداشبورد'!$B$5="الكل",$A351,'الداشبورد'!$B$5))</f>
        <v/>
      </c>
      <c r="R351">
        <f>--($E351=IF('الداشبورد'!$B$6="الكل",$E351,'الداشبورد'!$B$6))</f>
        <v/>
      </c>
      <c r="S351">
        <f>--($K351=IF('الداشبورد'!$B$7="الكل",$K351,IF('الداشبورد'!$B$7="تصدير","Y","N")))</f>
        <v/>
      </c>
      <c r="T351">
        <f>--($J351=IF('الداشبورد'!$B$8="الكل",$J351,IF('الداشبورد'!$B$8="AL","A","C")))</f>
        <v/>
      </c>
      <c r="U351">
        <f>--($I351=IF('الداشبورد'!$B$9="الكل",$I351,IF('الداشبورد'!$B$9="بدون حالة","P",'الداشبورد'!$B$9)))</f>
        <v/>
      </c>
      <c r="V351">
        <f>--($D351=IF('الداشبورد'!$B$10="الكل",$D351,'الداشبورد'!$B$10))</f>
        <v/>
      </c>
      <c r="W351">
        <f>--($G351=IF('الداشبورد'!$B$11="الكل",$G351,'الداشبورد'!$B$11))</f>
        <v/>
      </c>
      <c r="X351">
        <f>Q351*R351*S351*T351*U351*V351*W351*--($C351&lt;&gt;"")</f>
        <v/>
      </c>
    </row>
    <row r="352">
      <c r="A352" s="15" t="n">
        <v>1</v>
      </c>
      <c r="B352" s="15" t="inlineStr">
        <is>
          <t>N183646</t>
        </is>
      </c>
      <c r="C352" s="15" t="inlineStr">
        <is>
          <t>213/21/205</t>
        </is>
      </c>
      <c r="D352" s="15" t="inlineStr">
        <is>
          <t>CABLES FREE STOCK</t>
        </is>
      </c>
      <c r="E352" s="15" t="inlineStr">
        <is>
          <t>LV</t>
        </is>
      </c>
      <c r="F352" s="15" t="inlineStr">
        <is>
          <t>450/750 V 1*95</t>
        </is>
      </c>
      <c r="G352" s="15" t="inlineStr">
        <is>
          <t>EX01</t>
        </is>
      </c>
      <c r="H352" s="15" t="inlineStr">
        <is>
          <t>Wooden Drums</t>
        </is>
      </c>
      <c r="I352" s="15" t="inlineStr">
        <is>
          <t>OK</t>
        </is>
      </c>
      <c r="J352" s="15" t="inlineStr">
        <is>
          <t>A</t>
        </is>
      </c>
      <c r="K352" s="15" t="inlineStr">
        <is>
          <t>N</t>
        </is>
      </c>
      <c r="L352" s="15" t="n">
        <v>1154</v>
      </c>
      <c r="M352" s="16" t="n">
        <v>0.28273</v>
      </c>
      <c r="N352" s="16" t="n">
        <v>0</v>
      </c>
      <c r="O352" s="16" t="n">
        <v>0</v>
      </c>
      <c r="P352" s="16" t="n">
        <v>0.28273</v>
      </c>
      <c r="Q352">
        <f>--($A352=IF('الداشبورد'!$B$5="الكل",$A352,'الداشبورد'!$B$5))</f>
        <v/>
      </c>
      <c r="R352">
        <f>--($E352=IF('الداشبورد'!$B$6="الكل",$E352,'الداشبورد'!$B$6))</f>
        <v/>
      </c>
      <c r="S352">
        <f>--($K352=IF('الداشبورد'!$B$7="الكل",$K352,IF('الداشبورد'!$B$7="تصدير","Y","N")))</f>
        <v/>
      </c>
      <c r="T352">
        <f>--($J352=IF('الداشبورد'!$B$8="الكل",$J352,IF('الداشبورد'!$B$8="AL","A","C")))</f>
        <v/>
      </c>
      <c r="U352">
        <f>--($I352=IF('الداشبورد'!$B$9="الكل",$I352,IF('الداشبورد'!$B$9="بدون حالة","P",'الداشبورد'!$B$9)))</f>
        <v/>
      </c>
      <c r="V352">
        <f>--($D352=IF('الداشبورد'!$B$10="الكل",$D352,'الداشبورد'!$B$10))</f>
        <v/>
      </c>
      <c r="W352">
        <f>--($G352=IF('الداشبورد'!$B$11="الكل",$G352,'الداشبورد'!$B$11))</f>
        <v/>
      </c>
      <c r="X352">
        <f>Q352*R352*S352*T352*U352*V352*W352*--($C352&lt;&gt;"")</f>
        <v/>
      </c>
    </row>
    <row r="353">
      <c r="A353" s="15" t="n">
        <v>2</v>
      </c>
      <c r="B353" s="15" t="inlineStr">
        <is>
          <t>G183068</t>
        </is>
      </c>
      <c r="C353" s="15" t="inlineStr">
        <is>
          <t>1279/25/30</t>
        </is>
      </c>
      <c r="D353" s="15" t="inlineStr">
        <is>
          <t>Energya Stock</t>
        </is>
      </c>
      <c r="E353" s="15" t="inlineStr">
        <is>
          <t>LV</t>
        </is>
      </c>
      <c r="F353" s="15" t="inlineStr">
        <is>
          <t>0.6/1 KV 4*10</t>
        </is>
      </c>
      <c r="G353" s="15" t="inlineStr">
        <is>
          <t>EX13</t>
        </is>
      </c>
      <c r="H353" s="15" t="inlineStr">
        <is>
          <t>Wooden Drums</t>
        </is>
      </c>
      <c r="I353" s="15" t="inlineStr">
        <is>
          <t>OK</t>
        </is>
      </c>
      <c r="J353" s="15" t="inlineStr">
        <is>
          <t>C</t>
        </is>
      </c>
      <c r="K353" s="15" t="inlineStr">
        <is>
          <t>N</t>
        </is>
      </c>
      <c r="L353" s="15" t="n">
        <v>602</v>
      </c>
      <c r="M353" s="16" t="n">
        <v>0.205282</v>
      </c>
      <c r="N353" s="16" t="n">
        <v>0</v>
      </c>
      <c r="O353" s="16" t="n">
        <v>0</v>
      </c>
      <c r="P353" s="16" t="n">
        <v>0.205282</v>
      </c>
      <c r="Q353">
        <f>--($A353=IF('الداشبورد'!$B$5="الكل",$A353,'الداشبورد'!$B$5))</f>
        <v/>
      </c>
      <c r="R353">
        <f>--($E353=IF('الداشبورد'!$B$6="الكل",$E353,'الداشبورد'!$B$6))</f>
        <v/>
      </c>
      <c r="S353">
        <f>--($K353=IF('الداشبورد'!$B$7="الكل",$K353,IF('الداشبورد'!$B$7="تصدير","Y","N")))</f>
        <v/>
      </c>
      <c r="T353">
        <f>--($J353=IF('الداشبورد'!$B$8="الكل",$J353,IF('الداشبورد'!$B$8="AL","A","C")))</f>
        <v/>
      </c>
      <c r="U353">
        <f>--($I353=IF('الداشبورد'!$B$9="الكل",$I353,IF('الداشبورد'!$B$9="بدون حالة","P",'الداشبورد'!$B$9)))</f>
        <v/>
      </c>
      <c r="V353">
        <f>--($D353=IF('الداشبورد'!$B$10="الكل",$D353,'الداشبورد'!$B$10))</f>
        <v/>
      </c>
      <c r="W353">
        <f>--($G353=IF('الداشبورد'!$B$11="الكل",$G353,'الداشبورد'!$B$11))</f>
        <v/>
      </c>
      <c r="X353">
        <f>Q353*R353*S353*T353*U353*V353*W353*--($C353&lt;&gt;"")</f>
        <v/>
      </c>
    </row>
    <row r="354">
      <c r="A354" s="15" t="n">
        <v>4</v>
      </c>
      <c r="B354" s="15" t="inlineStr">
        <is>
          <t>37908</t>
        </is>
      </c>
      <c r="C354" s="15" t="inlineStr">
        <is>
          <t>9/25/02</t>
        </is>
      </c>
      <c r="D354" s="15" t="inlineStr">
        <is>
          <t>Helal Elsewedy</t>
        </is>
      </c>
      <c r="E354" s="15" t="inlineStr">
        <is>
          <t>BC</t>
        </is>
      </c>
      <c r="F354" s="15" t="inlineStr">
        <is>
          <t>300/500 V 1X1</t>
        </is>
      </c>
      <c r="G354" s="15" t="inlineStr">
        <is>
          <t>CO01</t>
        </is>
      </c>
      <c r="H354" s="15" t="inlineStr">
        <is>
          <t>Plastic Spool 100M</t>
        </is>
      </c>
      <c r="I354" s="15" t="inlineStr">
        <is>
          <t>OK</t>
        </is>
      </c>
      <c r="J354" s="15" t="inlineStr">
        <is>
          <t>C</t>
        </is>
      </c>
      <c r="K354" s="15" t="inlineStr">
        <is>
          <t>N</t>
        </is>
      </c>
      <c r="L354" s="15" t="n">
        <v>11600</v>
      </c>
      <c r="M354" s="16" t="n">
        <v>0.09279999999999999</v>
      </c>
      <c r="N354" s="16" t="n">
        <v>0</v>
      </c>
      <c r="O354" s="16" t="n">
        <v>0</v>
      </c>
      <c r="P354" s="16" t="n">
        <v>0.09279999999999999</v>
      </c>
      <c r="Q354">
        <f>--($A354=IF('الداشبورد'!$B$5="الكل",$A354,'الداشبورد'!$B$5))</f>
        <v/>
      </c>
      <c r="R354">
        <f>--($E354=IF('الداشبورد'!$B$6="الكل",$E354,'الداشبورد'!$B$6))</f>
        <v/>
      </c>
      <c r="S354">
        <f>--($K354=IF('الداشبورد'!$B$7="الكل",$K354,IF('الداشبورد'!$B$7="تصدير","Y","N")))</f>
        <v/>
      </c>
      <c r="T354">
        <f>--($J354=IF('الداشبورد'!$B$8="الكل",$J354,IF('الداشبورد'!$B$8="AL","A","C")))</f>
        <v/>
      </c>
      <c r="U354">
        <f>--($I354=IF('الداشبورد'!$B$9="الكل",$I354,IF('الداشبورد'!$B$9="بدون حالة","P",'الداشبورد'!$B$9)))</f>
        <v/>
      </c>
      <c r="V354">
        <f>--($D354=IF('الداشبورد'!$B$10="الكل",$D354,'الداشبورد'!$B$10))</f>
        <v/>
      </c>
      <c r="W354">
        <f>--($G354=IF('الداشبورد'!$B$11="الكل",$G354,'الداشبورد'!$B$11))</f>
        <v/>
      </c>
      <c r="X354">
        <f>Q354*R354*S354*T354*U354*V354*W354*--($C354&lt;&gt;"")</f>
        <v/>
      </c>
    </row>
    <row r="355">
      <c r="A355" s="15" t="n">
        <v>4</v>
      </c>
      <c r="B355" s="15" t="inlineStr">
        <is>
          <t>V184124</t>
        </is>
      </c>
      <c r="C355" s="15" t="inlineStr">
        <is>
          <t>803/26/01</t>
        </is>
      </c>
      <c r="D355" s="15" t="inlineStr">
        <is>
          <t>الشركة العربية للصناعة والتجارة الدولية</t>
        </is>
      </c>
      <c r="E355" s="15" t="inlineStr">
        <is>
          <t>MV</t>
        </is>
      </c>
      <c r="F355" s="15" t="inlineStr">
        <is>
          <t>18 / 30 KV 3 X 400 MM</t>
        </is>
      </c>
      <c r="G355" s="15" t="inlineStr">
        <is>
          <t>EX03</t>
        </is>
      </c>
      <c r="H355" s="15" t="inlineStr">
        <is>
          <t>Wooden Drums</t>
        </is>
      </c>
      <c r="I355" s="15" t="inlineStr">
        <is>
          <t>OK</t>
        </is>
      </c>
      <c r="J355" s="15" t="inlineStr">
        <is>
          <t>A</t>
        </is>
      </c>
      <c r="K355" s="15" t="inlineStr">
        <is>
          <t>N</t>
        </is>
      </c>
      <c r="L355" s="15" t="n">
        <v>420</v>
      </c>
      <c r="M355" s="16" t="n">
        <v>1.28772</v>
      </c>
      <c r="N355" s="16" t="n">
        <v>0</v>
      </c>
      <c r="O355" s="16" t="n">
        <v>0</v>
      </c>
      <c r="P355" s="16" t="n">
        <v>1.28772</v>
      </c>
      <c r="Q355">
        <f>--($A355=IF('الداشبورد'!$B$5="الكل",$A355,'الداشبورد'!$B$5))</f>
        <v/>
      </c>
      <c r="R355">
        <f>--($E355=IF('الداشبورد'!$B$6="الكل",$E355,'الداشبورد'!$B$6))</f>
        <v/>
      </c>
      <c r="S355">
        <f>--($K355=IF('الداشبورد'!$B$7="الكل",$K355,IF('الداشبورد'!$B$7="تصدير","Y","N")))</f>
        <v/>
      </c>
      <c r="T355">
        <f>--($J355=IF('الداشبورد'!$B$8="الكل",$J355,IF('الداشبورد'!$B$8="AL","A","C")))</f>
        <v/>
      </c>
      <c r="U355">
        <f>--($I355=IF('الداشبورد'!$B$9="الكل",$I355,IF('الداشبورد'!$B$9="بدون حالة","P",'الداشبورد'!$B$9)))</f>
        <v/>
      </c>
      <c r="V355">
        <f>--($D355=IF('الداشبورد'!$B$10="الكل",$D355,'الداشبورد'!$B$10))</f>
        <v/>
      </c>
      <c r="W355">
        <f>--($G355=IF('الداشبورد'!$B$11="الكل",$G355,'الداشبورد'!$B$11))</f>
        <v/>
      </c>
      <c r="X355">
        <f>Q355*R355*S355*T355*U355*V355*W355*--($C355&lt;&gt;"")</f>
        <v/>
      </c>
    </row>
    <row r="356">
      <c r="A356" s="15" t="n">
        <v>4</v>
      </c>
      <c r="B356" s="15" t="inlineStr">
        <is>
          <t>V184122</t>
        </is>
      </c>
      <c r="C356" s="15" t="inlineStr">
        <is>
          <t>803/26/01</t>
        </is>
      </c>
      <c r="D356" s="15" t="inlineStr">
        <is>
          <t>الشركة العربية للصناعة والتجارة الدولية</t>
        </is>
      </c>
      <c r="E356" s="15" t="inlineStr">
        <is>
          <t>MV</t>
        </is>
      </c>
      <c r="F356" s="15" t="inlineStr">
        <is>
          <t>18 / 30 KV 3 X 400 MM</t>
        </is>
      </c>
      <c r="G356" s="15" t="inlineStr">
        <is>
          <t>EX03</t>
        </is>
      </c>
      <c r="H356" s="15" t="inlineStr">
        <is>
          <t>Wooden Drums</t>
        </is>
      </c>
      <c r="I356" s="15" t="inlineStr">
        <is>
          <t>OK</t>
        </is>
      </c>
      <c r="J356" s="15" t="inlineStr">
        <is>
          <t>A</t>
        </is>
      </c>
      <c r="K356" s="15" t="inlineStr">
        <is>
          <t>N</t>
        </is>
      </c>
      <c r="L356" s="15" t="n">
        <v>404</v>
      </c>
      <c r="M356" s="16" t="n">
        <v>1.238664</v>
      </c>
      <c r="N356" s="16" t="n">
        <v>0</v>
      </c>
      <c r="O356" s="16" t="n">
        <v>0</v>
      </c>
      <c r="P356" s="16" t="n">
        <v>1.238664</v>
      </c>
      <c r="Q356">
        <f>--($A356=IF('الداشبورد'!$B$5="الكل",$A356,'الداشبورد'!$B$5))</f>
        <v/>
      </c>
      <c r="R356">
        <f>--($E356=IF('الداشبورد'!$B$6="الكل",$E356,'الداشبورد'!$B$6))</f>
        <v/>
      </c>
      <c r="S356">
        <f>--($K356=IF('الداشبورد'!$B$7="الكل",$K356,IF('الداشبورد'!$B$7="تصدير","Y","N")))</f>
        <v/>
      </c>
      <c r="T356">
        <f>--($J356=IF('الداشبورد'!$B$8="الكل",$J356,IF('الداشبورد'!$B$8="AL","A","C")))</f>
        <v/>
      </c>
      <c r="U356">
        <f>--($I356=IF('الداشبورد'!$B$9="الكل",$I356,IF('الداشبورد'!$B$9="بدون حالة","P",'الداشبورد'!$B$9)))</f>
        <v/>
      </c>
      <c r="V356">
        <f>--($D356=IF('الداشبورد'!$B$10="الكل",$D356,'الداشبورد'!$B$10))</f>
        <v/>
      </c>
      <c r="W356">
        <f>--($G356=IF('الداشبورد'!$B$11="الكل",$G356,'الداشبورد'!$B$11))</f>
        <v/>
      </c>
      <c r="X356">
        <f>Q356*R356*S356*T356*U356*V356*W356*--($C356&lt;&gt;"")</f>
        <v/>
      </c>
    </row>
    <row r="357">
      <c r="A357" s="15" t="n">
        <v>4</v>
      </c>
      <c r="B357" s="15" t="inlineStr">
        <is>
          <t>I-5</t>
        </is>
      </c>
      <c r="C357" s="15" t="inlineStr">
        <is>
          <t>803/26/01</t>
        </is>
      </c>
      <c r="D357" s="15" t="inlineStr">
        <is>
          <t>الشركة العربية للصناعة والتجارة الدولية</t>
        </is>
      </c>
      <c r="E357" s="15" t="inlineStr">
        <is>
          <t>MV</t>
        </is>
      </c>
      <c r="F357" s="15" t="inlineStr">
        <is>
          <t>18 / 30 KV 3 X 400 MM</t>
        </is>
      </c>
      <c r="G357" s="15" t="inlineStr">
        <is>
          <t>EX03</t>
        </is>
      </c>
      <c r="H357" s="15" t="inlineStr">
        <is>
          <t>Wooden Drums</t>
        </is>
      </c>
      <c r="I357" s="15" t="inlineStr">
        <is>
          <t>Hold</t>
        </is>
      </c>
      <c r="J357" s="15" t="inlineStr">
        <is>
          <t>A</t>
        </is>
      </c>
      <c r="K357" s="15" t="inlineStr">
        <is>
          <t>N</t>
        </is>
      </c>
      <c r="L357" s="15" t="n">
        <v>400</v>
      </c>
      <c r="M357" s="16" t="n">
        <v>1.2264</v>
      </c>
      <c r="N357" s="16" t="n">
        <v>0</v>
      </c>
      <c r="O357" s="16" t="n">
        <v>0</v>
      </c>
      <c r="P357" s="16" t="n">
        <v>1.2264</v>
      </c>
      <c r="Q357">
        <f>--($A357=IF('الداشبورد'!$B$5="الكل",$A357,'الداشبورد'!$B$5))</f>
        <v/>
      </c>
      <c r="R357">
        <f>--($E357=IF('الداشبورد'!$B$6="الكل",$E357,'الداشبورد'!$B$6))</f>
        <v/>
      </c>
      <c r="S357">
        <f>--($K357=IF('الداشبورد'!$B$7="الكل",$K357,IF('الداشبورد'!$B$7="تصدير","Y","N")))</f>
        <v/>
      </c>
      <c r="T357">
        <f>--($J357=IF('الداشبورد'!$B$8="الكل",$J357,IF('الداشبورد'!$B$8="AL","A","C")))</f>
        <v/>
      </c>
      <c r="U357">
        <f>--($I357=IF('الداشبورد'!$B$9="الكل",$I357,IF('الداشبورد'!$B$9="بدون حالة","P",'الداشبورد'!$B$9)))</f>
        <v/>
      </c>
      <c r="V357">
        <f>--($D357=IF('الداشبورد'!$B$10="الكل",$D357,'الداشبورد'!$B$10))</f>
        <v/>
      </c>
      <c r="W357">
        <f>--($G357=IF('الداشبورد'!$B$11="الكل",$G357,'الداشبورد'!$B$11))</f>
        <v/>
      </c>
      <c r="X357">
        <f>Q357*R357*S357*T357*U357*V357*W357*--($C357&lt;&gt;"")</f>
        <v/>
      </c>
    </row>
    <row r="358">
      <c r="A358" s="15" t="n">
        <v>4</v>
      </c>
      <c r="B358" s="15" t="inlineStr">
        <is>
          <t>N-4</t>
        </is>
      </c>
      <c r="C358" s="15" t="inlineStr">
        <is>
          <t>803/26/01</t>
        </is>
      </c>
      <c r="D358" s="15" t="inlineStr">
        <is>
          <t>الشركة العربية للصناعة والتجارة الدولية</t>
        </is>
      </c>
      <c r="E358" s="15" t="inlineStr">
        <is>
          <t>MV</t>
        </is>
      </c>
      <c r="F358" s="15" t="inlineStr">
        <is>
          <t>18 / 30 KV 3 X 400 MM</t>
        </is>
      </c>
      <c r="G358" s="15" t="inlineStr">
        <is>
          <t>EX03</t>
        </is>
      </c>
      <c r="H358" s="15" t="inlineStr">
        <is>
          <t>Wooden Drums</t>
        </is>
      </c>
      <c r="I358" s="15" t="inlineStr">
        <is>
          <t>Hold</t>
        </is>
      </c>
      <c r="J358" s="15" t="inlineStr">
        <is>
          <t>A</t>
        </is>
      </c>
      <c r="K358" s="15" t="inlineStr">
        <is>
          <t>N</t>
        </is>
      </c>
      <c r="L358" s="15" t="n">
        <v>800</v>
      </c>
      <c r="M358" s="16" t="n">
        <v>2.4528</v>
      </c>
      <c r="N358" s="16" t="n">
        <v>0</v>
      </c>
      <c r="O358" s="16" t="n">
        <v>0</v>
      </c>
      <c r="P358" s="16" t="n">
        <v>2.4528</v>
      </c>
      <c r="Q358">
        <f>--($A358=IF('الداشبورد'!$B$5="الكل",$A358,'الداشبورد'!$B$5))</f>
        <v/>
      </c>
      <c r="R358">
        <f>--($E358=IF('الداشبورد'!$B$6="الكل",$E358,'الداشبورد'!$B$6))</f>
        <v/>
      </c>
      <c r="S358">
        <f>--($K358=IF('الداشبورد'!$B$7="الكل",$K358,IF('الداشبورد'!$B$7="تصدير","Y","N")))</f>
        <v/>
      </c>
      <c r="T358">
        <f>--($J358=IF('الداشبورد'!$B$8="الكل",$J358,IF('الداشبورد'!$B$8="AL","A","C")))</f>
        <v/>
      </c>
      <c r="U358">
        <f>--($I358=IF('الداشبورد'!$B$9="الكل",$I358,IF('الداشبورد'!$B$9="بدون حالة","P",'الداشبورد'!$B$9)))</f>
        <v/>
      </c>
      <c r="V358">
        <f>--($D358=IF('الداشبورد'!$B$10="الكل",$D358,'الداشبورد'!$B$10))</f>
        <v/>
      </c>
      <c r="W358">
        <f>--($G358=IF('الداشبورد'!$B$11="الكل",$G358,'الداشبورد'!$B$11))</f>
        <v/>
      </c>
      <c r="X358">
        <f>Q358*R358*S358*T358*U358*V358*W358*--($C358&lt;&gt;"")</f>
        <v/>
      </c>
    </row>
    <row r="359">
      <c r="A359" s="15" t="n">
        <v>2</v>
      </c>
      <c r="B359" s="15" t="inlineStr">
        <is>
          <t>G183453</t>
        </is>
      </c>
      <c r="C359" s="15" t="inlineStr">
        <is>
          <t>1392/26/08</t>
        </is>
      </c>
      <c r="D359" s="15" t="inlineStr">
        <is>
          <t>أوتاك  للتجارة والهندسية</t>
        </is>
      </c>
      <c r="E359" s="15" t="inlineStr">
        <is>
          <t>LV</t>
        </is>
      </c>
      <c r="F359" s="15" t="inlineStr">
        <is>
          <t>0.6/1 KV 4*25</t>
        </is>
      </c>
      <c r="G359" s="15" t="inlineStr">
        <is>
          <t>EX13</t>
        </is>
      </c>
      <c r="H359" s="15" t="inlineStr">
        <is>
          <t>Wooden Drums</t>
        </is>
      </c>
      <c r="I359" s="15" t="inlineStr">
        <is>
          <t>OK</t>
        </is>
      </c>
      <c r="J359" s="15" t="inlineStr">
        <is>
          <t>A</t>
        </is>
      </c>
      <c r="K359" s="15" t="inlineStr">
        <is>
          <t>N</t>
        </is>
      </c>
      <c r="L359" s="15" t="n">
        <v>495</v>
      </c>
      <c r="M359" s="16" t="n">
        <v>0.12771</v>
      </c>
      <c r="N359" s="16" t="n">
        <v>0</v>
      </c>
      <c r="O359" s="16" t="n">
        <v>0</v>
      </c>
      <c r="P359" s="16" t="n">
        <v>0.12771</v>
      </c>
      <c r="Q359">
        <f>--($A359=IF('الداشبورد'!$B$5="الكل",$A359,'الداشبورد'!$B$5))</f>
        <v/>
      </c>
      <c r="R359">
        <f>--($E359=IF('الداشبورد'!$B$6="الكل",$E359,'الداشبورد'!$B$6))</f>
        <v/>
      </c>
      <c r="S359">
        <f>--($K359=IF('الداشبورد'!$B$7="الكل",$K359,IF('الداشبورد'!$B$7="تصدير","Y","N")))</f>
        <v/>
      </c>
      <c r="T359">
        <f>--($J359=IF('الداشبورد'!$B$8="الكل",$J359,IF('الداشبورد'!$B$8="AL","A","C")))</f>
        <v/>
      </c>
      <c r="U359">
        <f>--($I359=IF('الداشبورد'!$B$9="الكل",$I359,IF('الداشبورد'!$B$9="بدون حالة","P",'الداشبورد'!$B$9)))</f>
        <v/>
      </c>
      <c r="V359">
        <f>--($D359=IF('الداشبورد'!$B$10="الكل",$D359,'الداشبورد'!$B$10))</f>
        <v/>
      </c>
      <c r="W359">
        <f>--($G359=IF('الداشبورد'!$B$11="الكل",$G359,'الداشبورد'!$B$11))</f>
        <v/>
      </c>
      <c r="X359">
        <f>Q359*R359*S359*T359*U359*V359*W359*--($C359&lt;&gt;"")</f>
        <v/>
      </c>
    </row>
    <row r="360">
      <c r="A360" s="15" t="n">
        <v>3</v>
      </c>
      <c r="B360" s="15" t="inlineStr">
        <is>
          <t>O184251</t>
        </is>
      </c>
      <c r="C360" s="15" t="inlineStr">
        <is>
          <t>1546/26/04</t>
        </is>
      </c>
      <c r="D360" s="15" t="inlineStr">
        <is>
          <t>Faber Kabel</t>
        </is>
      </c>
      <c r="E360" s="15" t="inlineStr">
        <is>
          <t>LV</t>
        </is>
      </c>
      <c r="F360" s="15" t="inlineStr">
        <is>
          <t>0.6/1 KV 1X400</t>
        </is>
      </c>
      <c r="G360" s="15" t="inlineStr">
        <is>
          <t>EX13</t>
        </is>
      </c>
      <c r="H360" s="15" t="inlineStr">
        <is>
          <t>Wooden Drums</t>
        </is>
      </c>
      <c r="I360" s="15" t="inlineStr">
        <is>
          <t>OK</t>
        </is>
      </c>
      <c r="J360" s="15" t="inlineStr">
        <is>
          <t>A</t>
        </is>
      </c>
      <c r="K360" s="15" t="inlineStr">
        <is>
          <t>Y</t>
        </is>
      </c>
      <c r="L360" s="15" t="n">
        <v>2036</v>
      </c>
      <c r="M360" s="16" t="n">
        <v>2.068576</v>
      </c>
      <c r="N360" s="16" t="n">
        <v>0</v>
      </c>
      <c r="O360" s="16" t="n">
        <v>0</v>
      </c>
      <c r="P360" s="16" t="n">
        <v>2.068576</v>
      </c>
      <c r="Q360">
        <f>--($A360=IF('الداشبورد'!$B$5="الكل",$A360,'الداشبورد'!$B$5))</f>
        <v/>
      </c>
      <c r="R360">
        <f>--($E360=IF('الداشبورد'!$B$6="الكل",$E360,'الداشبورد'!$B$6))</f>
        <v/>
      </c>
      <c r="S360">
        <f>--($K360=IF('الداشبورد'!$B$7="الكل",$K360,IF('الداشبورد'!$B$7="تصدير","Y","N")))</f>
        <v/>
      </c>
      <c r="T360">
        <f>--($J360=IF('الداشبورد'!$B$8="الكل",$J360,IF('الداشبورد'!$B$8="AL","A","C")))</f>
        <v/>
      </c>
      <c r="U360">
        <f>--($I360=IF('الداشبورد'!$B$9="الكل",$I360,IF('الداشبورد'!$B$9="بدون حالة","P",'الداشبورد'!$B$9)))</f>
        <v/>
      </c>
      <c r="V360">
        <f>--($D360=IF('الداشبورد'!$B$10="الكل",$D360,'الداشبورد'!$B$10))</f>
        <v/>
      </c>
      <c r="W360">
        <f>--($G360=IF('الداشبورد'!$B$11="الكل",$G360,'الداشبورد'!$B$11))</f>
        <v/>
      </c>
      <c r="X360">
        <f>Q360*R360*S360*T360*U360*V360*W360*--($C360&lt;&gt;"")</f>
        <v/>
      </c>
    </row>
    <row r="361">
      <c r="A361" s="15" t="n">
        <v>3</v>
      </c>
      <c r="B361" s="15" t="inlineStr">
        <is>
          <t>K181812</t>
        </is>
      </c>
      <c r="C361" s="15" t="inlineStr">
        <is>
          <t>1445/26/07</t>
        </is>
      </c>
      <c r="D361" s="15" t="inlineStr">
        <is>
          <t>Faber Kabel</t>
        </is>
      </c>
      <c r="E361" s="15" t="inlineStr">
        <is>
          <t>CC</t>
        </is>
      </c>
      <c r="F361" s="15" t="inlineStr">
        <is>
          <t>0.6/1 KV 7X4/4</t>
        </is>
      </c>
      <c r="G361" s="15" t="inlineStr">
        <is>
          <t>EX13</t>
        </is>
      </c>
      <c r="H361" s="15" t="inlineStr">
        <is>
          <t>Wooden Drums</t>
        </is>
      </c>
      <c r="I361" s="15" t="inlineStr">
        <is>
          <t>OK</t>
        </is>
      </c>
      <c r="J361" s="15" t="inlineStr">
        <is>
          <t>C</t>
        </is>
      </c>
      <c r="K361" s="15" t="inlineStr">
        <is>
          <t>Y</t>
        </is>
      </c>
      <c r="L361" s="15" t="n">
        <v>3115</v>
      </c>
      <c r="M361" s="16" t="n">
        <v>0.775635</v>
      </c>
      <c r="N361" s="16" t="n">
        <v>0.1246</v>
      </c>
      <c r="O361" s="16" t="n">
        <v>0</v>
      </c>
      <c r="P361" s="16" t="n">
        <v>0.900235</v>
      </c>
      <c r="Q361">
        <f>--($A361=IF('الداشبورد'!$B$5="الكل",$A361,'الداشبورد'!$B$5))</f>
        <v/>
      </c>
      <c r="R361">
        <f>--($E361=IF('الداشبورد'!$B$6="الكل",$E361,'الداشبورد'!$B$6))</f>
        <v/>
      </c>
      <c r="S361">
        <f>--($K361=IF('الداشبورد'!$B$7="الكل",$K361,IF('الداشبورد'!$B$7="تصدير","Y","N")))</f>
        <v/>
      </c>
      <c r="T361">
        <f>--($J361=IF('الداشبورد'!$B$8="الكل",$J361,IF('الداشبورد'!$B$8="AL","A","C")))</f>
        <v/>
      </c>
      <c r="U361">
        <f>--($I361=IF('الداشبورد'!$B$9="الكل",$I361,IF('الداشبورد'!$B$9="بدون حالة","P",'الداشبورد'!$B$9)))</f>
        <v/>
      </c>
      <c r="V361">
        <f>--($D361=IF('الداشبورد'!$B$10="الكل",$D361,'الداشبورد'!$B$10))</f>
        <v/>
      </c>
      <c r="W361">
        <f>--($G361=IF('الداشبورد'!$B$11="الكل",$G361,'الداشبورد'!$B$11))</f>
        <v/>
      </c>
      <c r="X361">
        <f>Q361*R361*S361*T361*U361*V361*W361*--($C361&lt;&gt;"")</f>
        <v/>
      </c>
    </row>
    <row r="362">
      <c r="A362" s="15" t="n">
        <v>3</v>
      </c>
      <c r="B362" s="15" t="inlineStr">
        <is>
          <t>J183891</t>
        </is>
      </c>
      <c r="C362" s="15" t="inlineStr">
        <is>
          <t>1425/26/03</t>
        </is>
      </c>
      <c r="D362" s="15" t="inlineStr">
        <is>
          <t>Faber Kabel</t>
        </is>
      </c>
      <c r="E362" s="15" t="inlineStr">
        <is>
          <t>LV</t>
        </is>
      </c>
      <c r="F362" s="15" t="inlineStr">
        <is>
          <t>0.6/1 KV 1X120</t>
        </is>
      </c>
      <c r="G362" s="15" t="inlineStr">
        <is>
          <t>EX13</t>
        </is>
      </c>
      <c r="H362" s="15" t="inlineStr">
        <is>
          <t>Wooden Drums</t>
        </is>
      </c>
      <c r="I362" s="15" t="inlineStr">
        <is>
          <t>OK</t>
        </is>
      </c>
      <c r="J362" s="15" t="inlineStr">
        <is>
          <t>A</t>
        </is>
      </c>
      <c r="K362" s="15" t="inlineStr">
        <is>
          <t>Y</t>
        </is>
      </c>
      <c r="L362" s="15" t="n">
        <v>3110</v>
      </c>
      <c r="M362" s="16" t="n">
        <v>0.97965</v>
      </c>
      <c r="N362" s="16" t="n">
        <v>0</v>
      </c>
      <c r="O362" s="16" t="n">
        <v>0</v>
      </c>
      <c r="P362" s="16" t="n">
        <v>0.97965</v>
      </c>
      <c r="Q362">
        <f>--($A362=IF('الداشبورد'!$B$5="الكل",$A362,'الداشبورد'!$B$5))</f>
        <v/>
      </c>
      <c r="R362">
        <f>--($E362=IF('الداشبورد'!$B$6="الكل",$E362,'الداشبورد'!$B$6))</f>
        <v/>
      </c>
      <c r="S362">
        <f>--($K362=IF('الداشبورد'!$B$7="الكل",$K362,IF('الداشبورد'!$B$7="تصدير","Y","N")))</f>
        <v/>
      </c>
      <c r="T362">
        <f>--($J362=IF('الداشبورد'!$B$8="الكل",$J362,IF('الداشبورد'!$B$8="AL","A","C")))</f>
        <v/>
      </c>
      <c r="U362">
        <f>--($I362=IF('الداشبورد'!$B$9="الكل",$I362,IF('الداشبورد'!$B$9="بدون حالة","P",'الداشبورد'!$B$9)))</f>
        <v/>
      </c>
      <c r="V362">
        <f>--($D362=IF('الداشبورد'!$B$10="الكل",$D362,'الداشبورد'!$B$10))</f>
        <v/>
      </c>
      <c r="W362">
        <f>--($G362=IF('الداشبورد'!$B$11="الكل",$G362,'الداشبورد'!$B$11))</f>
        <v/>
      </c>
      <c r="X362">
        <f>Q362*R362*S362*T362*U362*V362*W362*--($C362&lt;&gt;"")</f>
        <v/>
      </c>
    </row>
    <row r="363">
      <c r="A363" s="15" t="n">
        <v>5</v>
      </c>
      <c r="B363" s="15" t="inlineStr">
        <is>
          <t>H172905</t>
        </is>
      </c>
      <c r="C363" s="15" t="inlineStr">
        <is>
          <t>1927/26/02</t>
        </is>
      </c>
      <c r="D363" s="15" t="inlineStr">
        <is>
          <t>سمارت باور للهندسه والانشاءات</t>
        </is>
      </c>
      <c r="E363" s="15" t="inlineStr">
        <is>
          <t>LV</t>
        </is>
      </c>
      <c r="F363" s="15" t="inlineStr">
        <is>
          <t>0.6/1 KV 4X16</t>
        </is>
      </c>
      <c r="G363" s="15" t="inlineStr">
        <is>
          <t>EX012</t>
        </is>
      </c>
      <c r="H363" s="15" t="inlineStr">
        <is>
          <t>Wooden Drums</t>
        </is>
      </c>
      <c r="I363" s="15" t="inlineStr">
        <is>
          <t>OK</t>
        </is>
      </c>
      <c r="J363" s="15" t="inlineStr">
        <is>
          <t>A</t>
        </is>
      </c>
      <c r="K363" s="15" t="inlineStr">
        <is>
          <t>N</t>
        </is>
      </c>
      <c r="L363" s="15" t="n">
        <v>547</v>
      </c>
      <c r="M363" s="16" t="n">
        <v>0.089708</v>
      </c>
      <c r="N363" s="16" t="n">
        <v>0</v>
      </c>
      <c r="O363" s="16" t="n">
        <v>0</v>
      </c>
      <c r="P363" s="16" t="n">
        <v>0.089708</v>
      </c>
      <c r="Q363">
        <f>--($A363=IF('الداشبورد'!$B$5="الكل",$A363,'الداشبورد'!$B$5))</f>
        <v/>
      </c>
      <c r="R363">
        <f>--($E363=IF('الداشبورد'!$B$6="الكل",$E363,'الداشبورد'!$B$6))</f>
        <v/>
      </c>
      <c r="S363">
        <f>--($K363=IF('الداشبورد'!$B$7="الكل",$K363,IF('الداشبورد'!$B$7="تصدير","Y","N")))</f>
        <v/>
      </c>
      <c r="T363">
        <f>--($J363=IF('الداشبورد'!$B$8="الكل",$J363,IF('الداشبورد'!$B$8="AL","A","C")))</f>
        <v/>
      </c>
      <c r="U363">
        <f>--($I363=IF('الداشبورد'!$B$9="الكل",$I363,IF('الداشبورد'!$B$9="بدون حالة","P",'الداشبورد'!$B$9)))</f>
        <v/>
      </c>
      <c r="V363">
        <f>--($D363=IF('الداشبورد'!$B$10="الكل",$D363,'الداشبورد'!$B$10))</f>
        <v/>
      </c>
      <c r="W363">
        <f>--($G363=IF('الداشبورد'!$B$11="الكل",$G363,'الداشبورد'!$B$11))</f>
        <v/>
      </c>
      <c r="X363">
        <f>Q363*R363*S363*T363*U363*V363*W363*--($C363&lt;&gt;"")</f>
        <v/>
      </c>
    </row>
    <row r="364">
      <c r="A364" s="15" t="n">
        <v>4</v>
      </c>
      <c r="B364" s="15" t="inlineStr">
        <is>
          <t>Z3S486</t>
        </is>
      </c>
      <c r="C364" s="15" t="inlineStr">
        <is>
          <t>907/26/01</t>
        </is>
      </c>
      <c r="D364" s="15" t="inlineStr">
        <is>
          <t>Reykjafell</t>
        </is>
      </c>
      <c r="E364" s="15" t="inlineStr">
        <is>
          <t>MV</t>
        </is>
      </c>
      <c r="F364" s="15" t="inlineStr">
        <is>
          <t>18/30 KV 3X240</t>
        </is>
      </c>
      <c r="G364" s="15" t="inlineStr">
        <is>
          <t>RW01</t>
        </is>
      </c>
      <c r="H364" s="15" t="inlineStr">
        <is>
          <t>Wooden Drums</t>
        </is>
      </c>
      <c r="I364" s="15" t="inlineStr">
        <is>
          <t>OK</t>
        </is>
      </c>
      <c r="J364" s="15" t="inlineStr">
        <is>
          <t>A</t>
        </is>
      </c>
      <c r="K364" s="15" t="inlineStr">
        <is>
          <t>Y</t>
        </is>
      </c>
      <c r="L364" s="15" t="n">
        <v>462</v>
      </c>
      <c r="M364" s="16" t="n">
        <v>0.872718</v>
      </c>
      <c r="N364" s="16" t="n">
        <v>0.169554</v>
      </c>
      <c r="O364" s="16" t="n">
        <v>0</v>
      </c>
      <c r="P364" s="16" t="n">
        <v>1.042272</v>
      </c>
      <c r="Q364">
        <f>--($A364=IF('الداشبورد'!$B$5="الكل",$A364,'الداشبورد'!$B$5))</f>
        <v/>
      </c>
      <c r="R364">
        <f>--($E364=IF('الداشبورد'!$B$6="الكل",$E364,'الداشبورد'!$B$6))</f>
        <v/>
      </c>
      <c r="S364">
        <f>--($K364=IF('الداشبورد'!$B$7="الكل",$K364,IF('الداشبورد'!$B$7="تصدير","Y","N")))</f>
        <v/>
      </c>
      <c r="T364">
        <f>--($J364=IF('الداشبورد'!$B$8="الكل",$J364,IF('الداشبورد'!$B$8="AL","A","C")))</f>
        <v/>
      </c>
      <c r="U364">
        <f>--($I364=IF('الداشبورد'!$B$9="الكل",$I364,IF('الداشبورد'!$B$9="بدون حالة","P",'الداشبورد'!$B$9)))</f>
        <v/>
      </c>
      <c r="V364">
        <f>--($D364=IF('الداشبورد'!$B$10="الكل",$D364,'الداشبورد'!$B$10))</f>
        <v/>
      </c>
      <c r="W364">
        <f>--($G364=IF('الداشبورد'!$B$11="الكل",$G364,'الداشبورد'!$B$11))</f>
        <v/>
      </c>
      <c r="X364">
        <f>Q364*R364*S364*T364*U364*V364*W364*--($C364&lt;&gt;"")</f>
        <v/>
      </c>
    </row>
    <row r="365">
      <c r="A365" s="15" t="n">
        <v>4</v>
      </c>
      <c r="B365" s="15" t="inlineStr">
        <is>
          <t>P181934</t>
        </is>
      </c>
      <c r="C365" s="15" t="inlineStr">
        <is>
          <t>1345/26/02</t>
        </is>
      </c>
      <c r="D365" s="15" t="inlineStr">
        <is>
          <t>Meinhart Cables Connect</t>
        </is>
      </c>
      <c r="E365" s="15" t="inlineStr">
        <is>
          <t>LV</t>
        </is>
      </c>
      <c r="F365" s="15" t="inlineStr">
        <is>
          <t>600/1000 4X95</t>
        </is>
      </c>
      <c r="G365" s="15" t="inlineStr">
        <is>
          <t>EX08</t>
        </is>
      </c>
      <c r="H365" s="15" t="inlineStr">
        <is>
          <t>Wooden Drums</t>
        </is>
      </c>
      <c r="I365" s="15" t="inlineStr">
        <is>
          <t>OK</t>
        </is>
      </c>
      <c r="J365" s="15" t="inlineStr">
        <is>
          <t>A</t>
        </is>
      </c>
      <c r="K365" s="15" t="inlineStr">
        <is>
          <t>Y</t>
        </is>
      </c>
      <c r="L365" s="15" t="n">
        <v>2060</v>
      </c>
      <c r="M365" s="16" t="n">
        <v>2.05588</v>
      </c>
      <c r="N365" s="16" t="n">
        <v>0</v>
      </c>
      <c r="O365" s="16" t="n">
        <v>0</v>
      </c>
      <c r="P365" s="16" t="n">
        <v>2.05588</v>
      </c>
      <c r="Q365">
        <f>--($A365=IF('الداشبورد'!$B$5="الكل",$A365,'الداشبورد'!$B$5))</f>
        <v/>
      </c>
      <c r="R365">
        <f>--($E365=IF('الداشبورد'!$B$6="الكل",$E365,'الداشبورد'!$B$6))</f>
        <v/>
      </c>
      <c r="S365">
        <f>--($K365=IF('الداشبورد'!$B$7="الكل",$K365,IF('الداشبورد'!$B$7="تصدير","Y","N")))</f>
        <v/>
      </c>
      <c r="T365">
        <f>--($J365=IF('الداشبورد'!$B$8="الكل",$J365,IF('الداشبورد'!$B$8="AL","A","C")))</f>
        <v/>
      </c>
      <c r="U365">
        <f>--($I365=IF('الداشبورد'!$B$9="الكل",$I365,IF('الداشبورد'!$B$9="بدون حالة","P",'الداشبورد'!$B$9)))</f>
        <v/>
      </c>
      <c r="V365">
        <f>--($D365=IF('الداشبورد'!$B$10="الكل",$D365,'الداشبورد'!$B$10))</f>
        <v/>
      </c>
      <c r="W365">
        <f>--($G365=IF('الداشبورد'!$B$11="الكل",$G365,'الداشبورد'!$B$11))</f>
        <v/>
      </c>
      <c r="X365">
        <f>Q365*R365*S365*T365*U365*V365*W365*--($C365&lt;&gt;"")</f>
        <v/>
      </c>
    </row>
    <row r="366">
      <c r="A366" s="15" t="n">
        <v>5</v>
      </c>
      <c r="B366" s="15" t="inlineStr">
        <is>
          <t>R184618</t>
        </is>
      </c>
      <c r="C366" s="15" t="inlineStr">
        <is>
          <t>395/26/02</t>
        </is>
      </c>
      <c r="D366" s="15" t="inlineStr">
        <is>
          <t>Eland Cables</t>
        </is>
      </c>
      <c r="E366" s="15" t="inlineStr">
        <is>
          <t>MV</t>
        </is>
      </c>
      <c r="F366" s="15" t="inlineStr">
        <is>
          <t>19/33 KV 3X95</t>
        </is>
      </c>
      <c r="G366" s="15" t="inlineStr">
        <is>
          <t>EX04</t>
        </is>
      </c>
      <c r="H366" s="15" t="inlineStr">
        <is>
          <t>Wooden Drums</t>
        </is>
      </c>
      <c r="I366" s="15" t="inlineStr">
        <is>
          <t>Hold</t>
        </is>
      </c>
      <c r="J366" s="15" t="inlineStr">
        <is>
          <t>C</t>
        </is>
      </c>
      <c r="K366" s="15" t="inlineStr">
        <is>
          <t>Y</t>
        </is>
      </c>
      <c r="L366" s="15" t="n">
        <v>106</v>
      </c>
      <c r="M366" s="16" t="n">
        <v>0.260654</v>
      </c>
      <c r="N366" s="16" t="n">
        <v>0</v>
      </c>
      <c r="O366" s="16" t="n">
        <v>0</v>
      </c>
      <c r="P366" s="16" t="n">
        <v>0.260654</v>
      </c>
      <c r="Q366">
        <f>--($A366=IF('الداشبورد'!$B$5="الكل",$A366,'الداشبورد'!$B$5))</f>
        <v/>
      </c>
      <c r="R366">
        <f>--($E366=IF('الداشبورد'!$B$6="الكل",$E366,'الداشبورد'!$B$6))</f>
        <v/>
      </c>
      <c r="S366">
        <f>--($K366=IF('الداشبورد'!$B$7="الكل",$K366,IF('الداشبورد'!$B$7="تصدير","Y","N")))</f>
        <v/>
      </c>
      <c r="T366">
        <f>--($J366=IF('الداشبورد'!$B$8="الكل",$J366,IF('الداشبورد'!$B$8="AL","A","C")))</f>
        <v/>
      </c>
      <c r="U366">
        <f>--($I366=IF('الداشبورد'!$B$9="الكل",$I366,IF('الداشبورد'!$B$9="بدون حالة","P",'الداشبورد'!$B$9)))</f>
        <v/>
      </c>
      <c r="V366">
        <f>--($D366=IF('الداشبورد'!$B$10="الكل",$D366,'الداشبورد'!$B$10))</f>
        <v/>
      </c>
      <c r="W366">
        <f>--($G366=IF('الداشبورد'!$B$11="الكل",$G366,'الداشبورد'!$B$11))</f>
        <v/>
      </c>
      <c r="X366">
        <f>Q366*R366*S366*T366*U366*V366*W366*--($C366&lt;&gt;"")</f>
        <v/>
      </c>
    </row>
    <row r="367">
      <c r="A367" s="15" t="n">
        <v>5</v>
      </c>
      <c r="B367" s="15" t="inlineStr">
        <is>
          <t>WITHOUT.</t>
        </is>
      </c>
      <c r="C367" s="15" t="inlineStr">
        <is>
          <t>1205/26/01</t>
        </is>
      </c>
      <c r="D367" s="15" t="inlineStr">
        <is>
          <t>CASSIS Equipements</t>
        </is>
      </c>
      <c r="E367" s="15" t="inlineStr">
        <is>
          <t>MV</t>
        </is>
      </c>
      <c r="F367" s="15" t="inlineStr">
        <is>
          <t>18/30KV 3*1*240</t>
        </is>
      </c>
      <c r="G367" s="15" t="inlineStr">
        <is>
          <t>EX05</t>
        </is>
      </c>
      <c r="H367" s="15" t="inlineStr">
        <is>
          <t>Wooden Drums</t>
        </is>
      </c>
      <c r="I367" s="15" t="inlineStr">
        <is>
          <t>P</t>
        </is>
      </c>
      <c r="J367" s="15" t="inlineStr">
        <is>
          <t>A</t>
        </is>
      </c>
      <c r="K367" s="15" t="inlineStr">
        <is>
          <t>Y</t>
        </is>
      </c>
      <c r="L367" s="15" t="n">
        <v>415</v>
      </c>
      <c r="M367" s="16" t="n">
        <v>0.7764650000000001</v>
      </c>
      <c r="N367" s="16" t="n">
        <v>0</v>
      </c>
      <c r="O367" s="16" t="n">
        <v>0</v>
      </c>
      <c r="P367" s="16" t="n">
        <v>0.7764650000000001</v>
      </c>
      <c r="Q367">
        <f>--($A367=IF('الداشبورد'!$B$5="الكل",$A367,'الداشبورد'!$B$5))</f>
        <v/>
      </c>
      <c r="R367">
        <f>--($E367=IF('الداشبورد'!$B$6="الكل",$E367,'الداشبورد'!$B$6))</f>
        <v/>
      </c>
      <c r="S367">
        <f>--($K367=IF('الداشبورد'!$B$7="الكل",$K367,IF('الداشبورد'!$B$7="تصدير","Y","N")))</f>
        <v/>
      </c>
      <c r="T367">
        <f>--($J367=IF('الداشبورد'!$B$8="الكل",$J367,IF('الداشبورد'!$B$8="AL","A","C")))</f>
        <v/>
      </c>
      <c r="U367">
        <f>--($I367=IF('الداشبورد'!$B$9="الكل",$I367,IF('الداشبورد'!$B$9="بدون حالة","P",'الداشبورد'!$B$9)))</f>
        <v/>
      </c>
      <c r="V367">
        <f>--($D367=IF('الداشبورد'!$B$10="الكل",$D367,'الداشبورد'!$B$10))</f>
        <v/>
      </c>
      <c r="W367">
        <f>--($G367=IF('الداشبورد'!$B$11="الكل",$G367,'الداشبورد'!$B$11))</f>
        <v/>
      </c>
      <c r="X367">
        <f>Q367*R367*S367*T367*U367*V367*W367*--($C367&lt;&gt;"")</f>
        <v/>
      </c>
    </row>
    <row r="368">
      <c r="A368" s="15" t="n">
        <v>5</v>
      </c>
      <c r="B368" s="15" t="inlineStr">
        <is>
          <t>C183847</t>
        </is>
      </c>
      <c r="C368" s="15" t="inlineStr">
        <is>
          <t>1550/26/05</t>
        </is>
      </c>
      <c r="D368" s="15" t="inlineStr">
        <is>
          <t>Master Power Systems  Ltd</t>
        </is>
      </c>
      <c r="E368" s="15" t="inlineStr">
        <is>
          <t>LV</t>
        </is>
      </c>
      <c r="F368" s="15" t="inlineStr">
        <is>
          <t>0.6/1 KV 4X35</t>
        </is>
      </c>
      <c r="G368" s="15" t="inlineStr">
        <is>
          <t>EX13</t>
        </is>
      </c>
      <c r="H368" s="15" t="inlineStr">
        <is>
          <t>Wooden Drums</t>
        </is>
      </c>
      <c r="I368" s="15" t="inlineStr">
        <is>
          <t>OK</t>
        </is>
      </c>
      <c r="J368" s="15" t="inlineStr">
        <is>
          <t>A</t>
        </is>
      </c>
      <c r="K368" s="15" t="inlineStr">
        <is>
          <t>Y</t>
        </is>
      </c>
      <c r="L368" s="15" t="n">
        <v>167</v>
      </c>
      <c r="M368" s="16" t="n">
        <v>0.059118</v>
      </c>
      <c r="N368" s="16" t="n">
        <v>0</v>
      </c>
      <c r="O368" s="16" t="n">
        <v>0</v>
      </c>
      <c r="P368" s="16" t="n">
        <v>0.059118</v>
      </c>
      <c r="Q368">
        <f>--($A368=IF('الداشبورد'!$B$5="الكل",$A368,'الداشبورد'!$B$5))</f>
        <v/>
      </c>
      <c r="R368">
        <f>--($E368=IF('الداشبورد'!$B$6="الكل",$E368,'الداشبورد'!$B$6))</f>
        <v/>
      </c>
      <c r="S368">
        <f>--($K368=IF('الداشبورد'!$B$7="الكل",$K368,IF('الداشبورد'!$B$7="تصدير","Y","N")))</f>
        <v/>
      </c>
      <c r="T368">
        <f>--($J368=IF('الداشبورد'!$B$8="الكل",$J368,IF('الداشبورد'!$B$8="AL","A","C")))</f>
        <v/>
      </c>
      <c r="U368">
        <f>--($I368=IF('الداشبورد'!$B$9="الكل",$I368,IF('الداشبورد'!$B$9="بدون حالة","P",'الداشبورد'!$B$9)))</f>
        <v/>
      </c>
      <c r="V368">
        <f>--($D368=IF('الداشبورد'!$B$10="الكل",$D368,'الداشبورد'!$B$10))</f>
        <v/>
      </c>
      <c r="W368">
        <f>--($G368=IF('الداشبورد'!$B$11="الكل",$G368,'الداشبورد'!$B$11))</f>
        <v/>
      </c>
      <c r="X368">
        <f>Q368*R368*S368*T368*U368*V368*W368*--($C368&lt;&gt;"")</f>
        <v/>
      </c>
    </row>
    <row r="369">
      <c r="A369" s="15" t="n">
        <v>3</v>
      </c>
      <c r="B369" s="15" t="inlineStr">
        <is>
          <t>I184190</t>
        </is>
      </c>
      <c r="C369" s="15" t="inlineStr">
        <is>
          <t>1502/26/03</t>
        </is>
      </c>
      <c r="D369" s="15" t="inlineStr">
        <is>
          <t>Helukabel Germany</t>
        </is>
      </c>
      <c r="E369" s="15" t="inlineStr">
        <is>
          <t>LV</t>
        </is>
      </c>
      <c r="F369" s="15" t="inlineStr">
        <is>
          <t>0.6/1 KV 1X185</t>
        </is>
      </c>
      <c r="G369" s="15" t="inlineStr">
        <is>
          <t>EX03</t>
        </is>
      </c>
      <c r="H369" s="15" t="inlineStr">
        <is>
          <t>Wooden Drums</t>
        </is>
      </c>
      <c r="I369" s="15" t="inlineStr">
        <is>
          <t>P</t>
        </is>
      </c>
      <c r="J369" s="15" t="inlineStr">
        <is>
          <t>A</t>
        </is>
      </c>
      <c r="K369" s="15" t="inlineStr">
        <is>
          <t>Y</t>
        </is>
      </c>
      <c r="L369" s="15" t="n">
        <v>1007</v>
      </c>
      <c r="M369" s="16" t="n">
        <v>0.485374</v>
      </c>
      <c r="N369" s="16" t="n">
        <v>0</v>
      </c>
      <c r="O369" s="16" t="n">
        <v>0</v>
      </c>
      <c r="P369" s="16" t="n">
        <v>0.485374</v>
      </c>
      <c r="Q369">
        <f>--($A369=IF('الداشبورد'!$B$5="الكل",$A369,'الداشبورد'!$B$5))</f>
        <v/>
      </c>
      <c r="R369">
        <f>--($E369=IF('الداشبورد'!$B$6="الكل",$E369,'الداشبورد'!$B$6))</f>
        <v/>
      </c>
      <c r="S369">
        <f>--($K369=IF('الداشبورد'!$B$7="الكل",$K369,IF('الداشبورد'!$B$7="تصدير","Y","N")))</f>
        <v/>
      </c>
      <c r="T369">
        <f>--($J369=IF('الداشبورد'!$B$8="الكل",$J369,IF('الداشبورد'!$B$8="AL","A","C")))</f>
        <v/>
      </c>
      <c r="U369">
        <f>--($I369=IF('الداشبورد'!$B$9="الكل",$I369,IF('الداشبورد'!$B$9="بدون حالة","P",'الداشبورد'!$B$9)))</f>
        <v/>
      </c>
      <c r="V369">
        <f>--($D369=IF('الداشبورد'!$B$10="الكل",$D369,'الداشبورد'!$B$10))</f>
        <v/>
      </c>
      <c r="W369">
        <f>--($G369=IF('الداشبورد'!$B$11="الكل",$G369,'الداشبورد'!$B$11))</f>
        <v/>
      </c>
      <c r="X369">
        <f>Q369*R369*S369*T369*U369*V369*W369*--($C369&lt;&gt;"")</f>
        <v/>
      </c>
    </row>
    <row r="370">
      <c r="A370" s="15" t="n">
        <v>5</v>
      </c>
      <c r="B370" s="15" t="inlineStr">
        <is>
          <t>Z184610</t>
        </is>
      </c>
      <c r="C370" s="15" t="inlineStr">
        <is>
          <t>1101/26/01</t>
        </is>
      </c>
      <c r="D370" s="15" t="inlineStr">
        <is>
          <t>شركة مصر العليا لتوزيع الكهرباء</t>
        </is>
      </c>
      <c r="E370" s="15" t="inlineStr">
        <is>
          <t>MV</t>
        </is>
      </c>
      <c r="F370" s="15" t="inlineStr">
        <is>
          <t>12/20KV 3X300</t>
        </is>
      </c>
      <c r="G370" s="15" t="inlineStr">
        <is>
          <t>EX07</t>
        </is>
      </c>
      <c r="H370" s="15" t="inlineStr">
        <is>
          <t>Wooden Drums</t>
        </is>
      </c>
      <c r="I370" s="15" t="inlineStr">
        <is>
          <t>OK</t>
        </is>
      </c>
      <c r="J370" s="15" t="inlineStr">
        <is>
          <t>A</t>
        </is>
      </c>
      <c r="K370" s="15" t="inlineStr">
        <is>
          <t>N</t>
        </is>
      </c>
      <c r="L370" s="15" t="n">
        <v>420</v>
      </c>
      <c r="M370" s="16" t="n">
        <v>0.9949800000000001</v>
      </c>
      <c r="N370" s="16" t="n">
        <v>0</v>
      </c>
      <c r="O370" s="16" t="n">
        <v>0</v>
      </c>
      <c r="P370" s="16" t="n">
        <v>0.9949800000000001</v>
      </c>
      <c r="Q370">
        <f>--($A370=IF('الداشبورد'!$B$5="الكل",$A370,'الداشبورد'!$B$5))</f>
        <v/>
      </c>
      <c r="R370">
        <f>--($E370=IF('الداشبورد'!$B$6="الكل",$E370,'الداشبورد'!$B$6))</f>
        <v/>
      </c>
      <c r="S370">
        <f>--($K370=IF('الداشبورد'!$B$7="الكل",$K370,IF('الداشبورد'!$B$7="تصدير","Y","N")))</f>
        <v/>
      </c>
      <c r="T370">
        <f>--($J370=IF('الداشبورد'!$B$8="الكل",$J370,IF('الداشبورد'!$B$8="AL","A","C")))</f>
        <v/>
      </c>
      <c r="U370">
        <f>--($I370=IF('الداشبورد'!$B$9="الكل",$I370,IF('الداشبورد'!$B$9="بدون حالة","P",'الداشبورد'!$B$9)))</f>
        <v/>
      </c>
      <c r="V370">
        <f>--($D370=IF('الداشبورد'!$B$10="الكل",$D370,'الداشبورد'!$B$10))</f>
        <v/>
      </c>
      <c r="W370">
        <f>--($G370=IF('الداشبورد'!$B$11="الكل",$G370,'الداشبورد'!$B$11))</f>
        <v/>
      </c>
      <c r="X370">
        <f>Q370*R370*S370*T370*U370*V370*W370*--($C370&lt;&gt;"")</f>
        <v/>
      </c>
    </row>
    <row r="371">
      <c r="A371" s="15" t="n">
        <v>5</v>
      </c>
      <c r="B371" s="15" t="inlineStr">
        <is>
          <t>S184489</t>
        </is>
      </c>
      <c r="C371" s="15" t="inlineStr">
        <is>
          <t>1385/26/03</t>
        </is>
      </c>
      <c r="D371" s="15" t="inlineStr">
        <is>
          <t>الشركة العربية للصناعة والتجارة الدولية</t>
        </is>
      </c>
      <c r="E371" s="15" t="inlineStr">
        <is>
          <t>LV</t>
        </is>
      </c>
      <c r="F371" s="15" t="inlineStr">
        <is>
          <t>0.6/1 KV 3*240+120</t>
        </is>
      </c>
      <c r="G371" s="15" t="inlineStr">
        <is>
          <t>EX09</t>
        </is>
      </c>
      <c r="H371" s="15" t="inlineStr">
        <is>
          <t>Wooden Drums</t>
        </is>
      </c>
      <c r="I371" s="15" t="inlineStr">
        <is>
          <t>OK</t>
        </is>
      </c>
      <c r="J371" s="15" t="inlineStr">
        <is>
          <t>A</t>
        </is>
      </c>
      <c r="K371" s="15" t="inlineStr">
        <is>
          <t>N</t>
        </is>
      </c>
      <c r="L371" s="15" t="n">
        <v>1016</v>
      </c>
      <c r="M371" s="16" t="n">
        <v>2.232152</v>
      </c>
      <c r="N371" s="16" t="n">
        <v>0</v>
      </c>
      <c r="O371" s="16" t="n">
        <v>0</v>
      </c>
      <c r="P371" s="16" t="n">
        <v>2.232152</v>
      </c>
      <c r="Q371">
        <f>--($A371=IF('الداشبورد'!$B$5="الكل",$A371,'الداشبورد'!$B$5))</f>
        <v/>
      </c>
      <c r="R371">
        <f>--($E371=IF('الداشبورد'!$B$6="الكل",$E371,'الداشبورد'!$B$6))</f>
        <v/>
      </c>
      <c r="S371">
        <f>--($K371=IF('الداشبورد'!$B$7="الكل",$K371,IF('الداشبورد'!$B$7="تصدير","Y","N")))</f>
        <v/>
      </c>
      <c r="T371">
        <f>--($J371=IF('الداشبورد'!$B$8="الكل",$J371,IF('الداشبورد'!$B$8="AL","A","C")))</f>
        <v/>
      </c>
      <c r="U371">
        <f>--($I371=IF('الداشبورد'!$B$9="الكل",$I371,IF('الداشبورد'!$B$9="بدون حالة","P",'الداشبورد'!$B$9)))</f>
        <v/>
      </c>
      <c r="V371">
        <f>--($D371=IF('الداشبورد'!$B$10="الكل",$D371,'الداشبورد'!$B$10))</f>
        <v/>
      </c>
      <c r="W371">
        <f>--($G371=IF('الداشبورد'!$B$11="الكل",$G371,'الداشبورد'!$B$11))</f>
        <v/>
      </c>
      <c r="X371">
        <f>Q371*R371*S371*T371*U371*V371*W371*--($C371&lt;&gt;"")</f>
        <v/>
      </c>
    </row>
    <row r="372">
      <c r="A372" s="15" t="n">
        <v>5</v>
      </c>
      <c r="B372" s="15" t="inlineStr">
        <is>
          <t>P184602</t>
        </is>
      </c>
      <c r="C372" s="15" t="inlineStr">
        <is>
          <t>1200/26/03</t>
        </is>
      </c>
      <c r="D372" s="15" t="inlineStr">
        <is>
          <t>INSELL</t>
        </is>
      </c>
      <c r="E372" s="15" t="inlineStr">
        <is>
          <t>MV</t>
        </is>
      </c>
      <c r="F372" s="15" t="inlineStr">
        <is>
          <t>12/20 KV 1X150/25</t>
        </is>
      </c>
      <c r="G372" s="15" t="inlineStr">
        <is>
          <t>EX05</t>
        </is>
      </c>
      <c r="H372" s="15" t="inlineStr">
        <is>
          <t>Wooden Drums</t>
        </is>
      </c>
      <c r="I372" s="15" t="inlineStr">
        <is>
          <t>OK</t>
        </is>
      </c>
      <c r="J372" s="15" t="inlineStr">
        <is>
          <t>A</t>
        </is>
      </c>
      <c r="K372" s="15" t="inlineStr">
        <is>
          <t>Y</t>
        </is>
      </c>
      <c r="L372" s="15" t="n">
        <v>2014</v>
      </c>
      <c r="M372" s="16" t="n">
        <v>0.78546</v>
      </c>
      <c r="N372" s="16" t="n">
        <v>0.912342</v>
      </c>
      <c r="O372" s="16" t="n">
        <v>0</v>
      </c>
      <c r="P372" s="16" t="n">
        <v>1.697802</v>
      </c>
      <c r="Q372">
        <f>--($A372=IF('الداشبورد'!$B$5="الكل",$A372,'الداشبورد'!$B$5))</f>
        <v/>
      </c>
      <c r="R372">
        <f>--($E372=IF('الداشبورد'!$B$6="الكل",$E372,'الداشبورد'!$B$6))</f>
        <v/>
      </c>
      <c r="S372">
        <f>--($K372=IF('الداشبورد'!$B$7="الكل",$K372,IF('الداشبورد'!$B$7="تصدير","Y","N")))</f>
        <v/>
      </c>
      <c r="T372">
        <f>--($J372=IF('الداشبورد'!$B$8="الكل",$J372,IF('الداشبورد'!$B$8="AL","A","C")))</f>
        <v/>
      </c>
      <c r="U372">
        <f>--($I372=IF('الداشبورد'!$B$9="الكل",$I372,IF('الداشبورد'!$B$9="بدون حالة","P",'الداشبورد'!$B$9)))</f>
        <v/>
      </c>
      <c r="V372">
        <f>--($D372=IF('الداشبورد'!$B$10="الكل",$D372,'الداشبورد'!$B$10))</f>
        <v/>
      </c>
      <c r="W372">
        <f>--($G372=IF('الداشبورد'!$B$11="الكل",$G372,'الداشبورد'!$B$11))</f>
        <v/>
      </c>
      <c r="X372">
        <f>Q372*R372*S372*T372*U372*V372*W372*--($C372&lt;&gt;"")</f>
        <v/>
      </c>
    </row>
    <row r="373">
      <c r="A373" s="15" t="n">
        <v>5</v>
      </c>
      <c r="B373" s="15" t="inlineStr">
        <is>
          <t>P184600</t>
        </is>
      </c>
      <c r="C373" s="15" t="inlineStr">
        <is>
          <t>1200/26/03</t>
        </is>
      </c>
      <c r="D373" s="15" t="inlineStr">
        <is>
          <t>INSELL</t>
        </is>
      </c>
      <c r="E373" s="15" t="inlineStr">
        <is>
          <t>MV</t>
        </is>
      </c>
      <c r="F373" s="15" t="inlineStr">
        <is>
          <t>12/20 KV 1X150/25</t>
        </is>
      </c>
      <c r="G373" s="15" t="inlineStr">
        <is>
          <t>EX05</t>
        </is>
      </c>
      <c r="H373" s="15" t="inlineStr">
        <is>
          <t>Wooden Drums</t>
        </is>
      </c>
      <c r="I373" s="15" t="inlineStr">
        <is>
          <t>OK</t>
        </is>
      </c>
      <c r="J373" s="15" t="inlineStr">
        <is>
          <t>A</t>
        </is>
      </c>
      <c r="K373" s="15" t="inlineStr">
        <is>
          <t>Y</t>
        </is>
      </c>
      <c r="L373" s="15" t="n">
        <v>1950</v>
      </c>
      <c r="M373" s="16" t="n">
        <v>0.7605</v>
      </c>
      <c r="N373" s="16" t="n">
        <v>0.88335</v>
      </c>
      <c r="O373" s="16" t="n">
        <v>0</v>
      </c>
      <c r="P373" s="16" t="n">
        <v>1.64385</v>
      </c>
      <c r="Q373">
        <f>--($A373=IF('الداشبورد'!$B$5="الكل",$A373,'الداشبورد'!$B$5))</f>
        <v/>
      </c>
      <c r="R373">
        <f>--($E373=IF('الداشبورد'!$B$6="الكل",$E373,'الداشبورد'!$B$6))</f>
        <v/>
      </c>
      <c r="S373">
        <f>--($K373=IF('الداشبورد'!$B$7="الكل",$K373,IF('الداشبورد'!$B$7="تصدير","Y","N")))</f>
        <v/>
      </c>
      <c r="T373">
        <f>--($J373=IF('الداشبورد'!$B$8="الكل",$J373,IF('الداشبورد'!$B$8="AL","A","C")))</f>
        <v/>
      </c>
      <c r="U373">
        <f>--($I373=IF('الداشبورد'!$B$9="الكل",$I373,IF('الداشبورد'!$B$9="بدون حالة","P",'الداشبورد'!$B$9)))</f>
        <v/>
      </c>
      <c r="V373">
        <f>--($D373=IF('الداشبورد'!$B$10="الكل",$D373,'الداشبورد'!$B$10))</f>
        <v/>
      </c>
      <c r="W373">
        <f>--($G373=IF('الداشبورد'!$B$11="الكل",$G373,'الداشبورد'!$B$11))</f>
        <v/>
      </c>
      <c r="X373">
        <f>Q373*R373*S373*T373*U373*V373*W373*--($C373&lt;&gt;"")</f>
        <v/>
      </c>
    </row>
    <row r="374">
      <c r="A374" s="15" t="n">
        <v>5</v>
      </c>
      <c r="B374" s="15" t="inlineStr">
        <is>
          <t>P184599</t>
        </is>
      </c>
      <c r="C374" s="15" t="inlineStr">
        <is>
          <t>1200/26/03</t>
        </is>
      </c>
      <c r="D374" s="15" t="inlineStr">
        <is>
          <t>INSELL</t>
        </is>
      </c>
      <c r="E374" s="15" t="inlineStr">
        <is>
          <t>MV</t>
        </is>
      </c>
      <c r="F374" s="15" t="inlineStr">
        <is>
          <t>12/20 KV 1X150/25</t>
        </is>
      </c>
      <c r="G374" s="15" t="inlineStr">
        <is>
          <t>EX05</t>
        </is>
      </c>
      <c r="H374" s="15" t="inlineStr">
        <is>
          <t>Wooden Drums</t>
        </is>
      </c>
      <c r="I374" s="15" t="inlineStr">
        <is>
          <t>OK</t>
        </is>
      </c>
      <c r="J374" s="15" t="inlineStr">
        <is>
          <t>A</t>
        </is>
      </c>
      <c r="K374" s="15" t="inlineStr">
        <is>
          <t>Y</t>
        </is>
      </c>
      <c r="L374" s="15" t="n">
        <v>2038</v>
      </c>
      <c r="M374" s="16" t="n">
        <v>0.7948200000000001</v>
      </c>
      <c r="N374" s="16" t="n">
        <v>0.9232140000000001</v>
      </c>
      <c r="O374" s="16" t="n">
        <v>0</v>
      </c>
      <c r="P374" s="16" t="n">
        <v>1.718034</v>
      </c>
      <c r="Q374">
        <f>--($A374=IF('الداشبورد'!$B$5="الكل",$A374,'الداشبورد'!$B$5))</f>
        <v/>
      </c>
      <c r="R374">
        <f>--($E374=IF('الداشبورد'!$B$6="الكل",$E374,'الداشبورد'!$B$6))</f>
        <v/>
      </c>
      <c r="S374">
        <f>--($K374=IF('الداشبورد'!$B$7="الكل",$K374,IF('الداشبورد'!$B$7="تصدير","Y","N")))</f>
        <v/>
      </c>
      <c r="T374">
        <f>--($J374=IF('الداشبورد'!$B$8="الكل",$J374,IF('الداشبورد'!$B$8="AL","A","C")))</f>
        <v/>
      </c>
      <c r="U374">
        <f>--($I374=IF('الداشبورد'!$B$9="الكل",$I374,IF('الداشبورد'!$B$9="بدون حالة","P",'الداشبورد'!$B$9)))</f>
        <v/>
      </c>
      <c r="V374">
        <f>--($D374=IF('الداشبورد'!$B$10="الكل",$D374,'الداشبورد'!$B$10))</f>
        <v/>
      </c>
      <c r="W374">
        <f>--($G374=IF('الداشبورد'!$B$11="الكل",$G374,'الداشبورد'!$B$11))</f>
        <v/>
      </c>
      <c r="X374">
        <f>Q374*R374*S374*T374*U374*V374*W374*--($C374&lt;&gt;"")</f>
        <v/>
      </c>
    </row>
    <row r="375">
      <c r="A375" s="15" t="n">
        <v>5</v>
      </c>
      <c r="B375" s="15" t="inlineStr">
        <is>
          <t>P184623</t>
        </is>
      </c>
      <c r="C375" s="15" t="inlineStr">
        <is>
          <t>1200/26/03</t>
        </is>
      </c>
      <c r="D375" s="15" t="inlineStr">
        <is>
          <t>INSELL</t>
        </is>
      </c>
      <c r="E375" s="15" t="inlineStr">
        <is>
          <t>MV</t>
        </is>
      </c>
      <c r="F375" s="15" t="inlineStr">
        <is>
          <t>12/20 KV 1X150/25</t>
        </is>
      </c>
      <c r="G375" s="15" t="inlineStr">
        <is>
          <t>EX05</t>
        </is>
      </c>
      <c r="H375" s="15" t="inlineStr">
        <is>
          <t>Wooden Drums</t>
        </is>
      </c>
      <c r="I375" s="15" t="inlineStr">
        <is>
          <t>OK</t>
        </is>
      </c>
      <c r="J375" s="15" t="inlineStr">
        <is>
          <t>A</t>
        </is>
      </c>
      <c r="K375" s="15" t="inlineStr">
        <is>
          <t>Y</t>
        </is>
      </c>
      <c r="L375" s="15" t="n">
        <v>2008</v>
      </c>
      <c r="M375" s="16" t="n">
        <v>0.78312</v>
      </c>
      <c r="N375" s="16" t="n">
        <v>0.909624</v>
      </c>
      <c r="O375" s="16" t="n">
        <v>0</v>
      </c>
      <c r="P375" s="16" t="n">
        <v>1.692744</v>
      </c>
      <c r="Q375">
        <f>--($A375=IF('الداشبورد'!$B$5="الكل",$A375,'الداشبورد'!$B$5))</f>
        <v/>
      </c>
      <c r="R375">
        <f>--($E375=IF('الداشبورد'!$B$6="الكل",$E375,'الداشبورد'!$B$6))</f>
        <v/>
      </c>
      <c r="S375">
        <f>--($K375=IF('الداشبورد'!$B$7="الكل",$K375,IF('الداشبورد'!$B$7="تصدير","Y","N")))</f>
        <v/>
      </c>
      <c r="T375">
        <f>--($J375=IF('الداشبورد'!$B$8="الكل",$J375,IF('الداشبورد'!$B$8="AL","A","C")))</f>
        <v/>
      </c>
      <c r="U375">
        <f>--($I375=IF('الداشبورد'!$B$9="الكل",$I375,IF('الداشبورد'!$B$9="بدون حالة","P",'الداشبورد'!$B$9)))</f>
        <v/>
      </c>
      <c r="V375">
        <f>--($D375=IF('الداشبورد'!$B$10="الكل",$D375,'الداشبورد'!$B$10))</f>
        <v/>
      </c>
      <c r="W375">
        <f>--($G375=IF('الداشبورد'!$B$11="الكل",$G375,'الداشبورد'!$B$11))</f>
        <v/>
      </c>
      <c r="X375">
        <f>Q375*R375*S375*T375*U375*V375*W375*--($C375&lt;&gt;"")</f>
        <v/>
      </c>
    </row>
    <row r="376">
      <c r="A376" s="15" t="n">
        <v>5</v>
      </c>
      <c r="B376" s="15" t="inlineStr">
        <is>
          <t>P184627</t>
        </is>
      </c>
      <c r="C376" s="15" t="inlineStr">
        <is>
          <t>1200/26/03</t>
        </is>
      </c>
      <c r="D376" s="15" t="inlineStr">
        <is>
          <t>INSELL</t>
        </is>
      </c>
      <c r="E376" s="15" t="inlineStr">
        <is>
          <t>MV</t>
        </is>
      </c>
      <c r="F376" s="15" t="inlineStr">
        <is>
          <t>12/20 KV 1X150/25</t>
        </is>
      </c>
      <c r="G376" s="15" t="inlineStr">
        <is>
          <t>EX05</t>
        </is>
      </c>
      <c r="H376" s="15" t="inlineStr">
        <is>
          <t>Wooden Drums</t>
        </is>
      </c>
      <c r="I376" s="15" t="inlineStr">
        <is>
          <t>OK</t>
        </is>
      </c>
      <c r="J376" s="15" t="inlineStr">
        <is>
          <t>A</t>
        </is>
      </c>
      <c r="K376" s="15" t="inlineStr">
        <is>
          <t>Y</t>
        </is>
      </c>
      <c r="L376" s="15" t="n">
        <v>2005</v>
      </c>
      <c r="M376" s="16" t="n">
        <v>0.78195</v>
      </c>
      <c r="N376" s="16" t="n">
        <v>0.908265</v>
      </c>
      <c r="O376" s="16" t="n">
        <v>0</v>
      </c>
      <c r="P376" s="16" t="n">
        <v>1.690215</v>
      </c>
      <c r="Q376">
        <f>--($A376=IF('الداشبورد'!$B$5="الكل",$A376,'الداشبورد'!$B$5))</f>
        <v/>
      </c>
      <c r="R376">
        <f>--($E376=IF('الداشبورد'!$B$6="الكل",$E376,'الداشبورد'!$B$6))</f>
        <v/>
      </c>
      <c r="S376">
        <f>--($K376=IF('الداشبورد'!$B$7="الكل",$K376,IF('الداشبورد'!$B$7="تصدير","Y","N")))</f>
        <v/>
      </c>
      <c r="T376">
        <f>--($J376=IF('الداشبورد'!$B$8="الكل",$J376,IF('الداشبورد'!$B$8="AL","A","C")))</f>
        <v/>
      </c>
      <c r="U376">
        <f>--($I376=IF('الداشبورد'!$B$9="الكل",$I376,IF('الداشبورد'!$B$9="بدون حالة","P",'الداشبورد'!$B$9)))</f>
        <v/>
      </c>
      <c r="V376">
        <f>--($D376=IF('الداشبورد'!$B$10="الكل",$D376,'الداشبورد'!$B$10))</f>
        <v/>
      </c>
      <c r="W376">
        <f>--($G376=IF('الداشبورد'!$B$11="الكل",$G376,'الداشبورد'!$B$11))</f>
        <v/>
      </c>
      <c r="X376">
        <f>Q376*R376*S376*T376*U376*V376*W376*--($C376&lt;&gt;"")</f>
        <v/>
      </c>
    </row>
    <row r="377">
      <c r="A377" s="15" t="n">
        <v>5</v>
      </c>
      <c r="B377" s="15" t="inlineStr">
        <is>
          <t>P184621</t>
        </is>
      </c>
      <c r="C377" s="15" t="inlineStr">
        <is>
          <t>1200/26/03</t>
        </is>
      </c>
      <c r="D377" s="15" t="inlineStr">
        <is>
          <t>INSELL</t>
        </is>
      </c>
      <c r="E377" s="15" t="inlineStr">
        <is>
          <t>MV</t>
        </is>
      </c>
      <c r="F377" s="15" t="inlineStr">
        <is>
          <t>12/20 KV 1X150/25</t>
        </is>
      </c>
      <c r="G377" s="15" t="inlineStr">
        <is>
          <t>EX05</t>
        </is>
      </c>
      <c r="H377" s="15" t="inlineStr">
        <is>
          <t>Wooden Drums</t>
        </is>
      </c>
      <c r="I377" s="15" t="inlineStr">
        <is>
          <t>OK</t>
        </is>
      </c>
      <c r="J377" s="15" t="inlineStr">
        <is>
          <t>A</t>
        </is>
      </c>
      <c r="K377" s="15" t="inlineStr">
        <is>
          <t>Y</t>
        </is>
      </c>
      <c r="L377" s="15" t="n">
        <v>1978</v>
      </c>
      <c r="M377" s="16" t="n">
        <v>0.7714200000000001</v>
      </c>
      <c r="N377" s="16" t="n">
        <v>0.896034</v>
      </c>
      <c r="O377" s="16" t="n">
        <v>0</v>
      </c>
      <c r="P377" s="16" t="n">
        <v>1.667454</v>
      </c>
      <c r="Q377">
        <f>--($A377=IF('الداشبورد'!$B$5="الكل",$A377,'الداشبورد'!$B$5))</f>
        <v/>
      </c>
      <c r="R377">
        <f>--($E377=IF('الداشبورد'!$B$6="الكل",$E377,'الداشبورد'!$B$6))</f>
        <v/>
      </c>
      <c r="S377">
        <f>--($K377=IF('الداشبورد'!$B$7="الكل",$K377,IF('الداشبورد'!$B$7="تصدير","Y","N")))</f>
        <v/>
      </c>
      <c r="T377">
        <f>--($J377=IF('الداشبورد'!$B$8="الكل",$J377,IF('الداشبورد'!$B$8="AL","A","C")))</f>
        <v/>
      </c>
      <c r="U377">
        <f>--($I377=IF('الداشبورد'!$B$9="الكل",$I377,IF('الداشبورد'!$B$9="بدون حالة","P",'الداشبورد'!$B$9)))</f>
        <v/>
      </c>
      <c r="V377">
        <f>--($D377=IF('الداشبورد'!$B$10="الكل",$D377,'الداشبورد'!$B$10))</f>
        <v/>
      </c>
      <c r="W377">
        <f>--($G377=IF('الداشبورد'!$B$11="الكل",$G377,'الداشبورد'!$B$11))</f>
        <v/>
      </c>
      <c r="X377">
        <f>Q377*R377*S377*T377*U377*V377*W377*--($C377&lt;&gt;"")</f>
        <v/>
      </c>
    </row>
    <row r="378">
      <c r="A378" s="15" t="n">
        <v>5</v>
      </c>
      <c r="B378" s="15" t="inlineStr">
        <is>
          <t>P184622</t>
        </is>
      </c>
      <c r="C378" s="15" t="inlineStr">
        <is>
          <t>1200/26/03</t>
        </is>
      </c>
      <c r="D378" s="15" t="inlineStr">
        <is>
          <t>INSELL</t>
        </is>
      </c>
      <c r="E378" s="15" t="inlineStr">
        <is>
          <t>MV</t>
        </is>
      </c>
      <c r="F378" s="15" t="inlineStr">
        <is>
          <t>12/20 KV 1X150/25</t>
        </is>
      </c>
      <c r="G378" s="15" t="inlineStr">
        <is>
          <t>EX05</t>
        </is>
      </c>
      <c r="H378" s="15" t="inlineStr">
        <is>
          <t>Wooden Drums</t>
        </is>
      </c>
      <c r="I378" s="15" t="inlineStr">
        <is>
          <t>OK</t>
        </is>
      </c>
      <c r="J378" s="15" t="inlineStr">
        <is>
          <t>A</t>
        </is>
      </c>
      <c r="K378" s="15" t="inlineStr">
        <is>
          <t>Y</t>
        </is>
      </c>
      <c r="L378" s="15" t="n">
        <v>2004</v>
      </c>
      <c r="M378" s="16" t="n">
        <v>0.78156</v>
      </c>
      <c r="N378" s="16" t="n">
        <v>0.9078120000000001</v>
      </c>
      <c r="O378" s="16" t="n">
        <v>0</v>
      </c>
      <c r="P378" s="16" t="n">
        <v>1.689372</v>
      </c>
      <c r="Q378">
        <f>--($A378=IF('الداشبورد'!$B$5="الكل",$A378,'الداشبورد'!$B$5))</f>
        <v/>
      </c>
      <c r="R378">
        <f>--($E378=IF('الداشبورد'!$B$6="الكل",$E378,'الداشبورد'!$B$6))</f>
        <v/>
      </c>
      <c r="S378">
        <f>--($K378=IF('الداشبورد'!$B$7="الكل",$K378,IF('الداشبورد'!$B$7="تصدير","Y","N")))</f>
        <v/>
      </c>
      <c r="T378">
        <f>--($J378=IF('الداشبورد'!$B$8="الكل",$J378,IF('الداشبورد'!$B$8="AL","A","C")))</f>
        <v/>
      </c>
      <c r="U378">
        <f>--($I378=IF('الداشبورد'!$B$9="الكل",$I378,IF('الداشبورد'!$B$9="بدون حالة","P",'الداشبورد'!$B$9)))</f>
        <v/>
      </c>
      <c r="V378">
        <f>--($D378=IF('الداشبورد'!$B$10="الكل",$D378,'الداشبورد'!$B$10))</f>
        <v/>
      </c>
      <c r="W378">
        <f>--($G378=IF('الداشبورد'!$B$11="الكل",$G378,'الداشبورد'!$B$11))</f>
        <v/>
      </c>
      <c r="X378">
        <f>Q378*R378*S378*T378*U378*V378*W378*--($C378&lt;&gt;"")</f>
        <v/>
      </c>
    </row>
    <row r="379">
      <c r="A379" s="15" t="n">
        <v>5</v>
      </c>
      <c r="B379" s="15" t="inlineStr">
        <is>
          <t>P184626</t>
        </is>
      </c>
      <c r="C379" s="15" t="inlineStr">
        <is>
          <t>1200/26/03</t>
        </is>
      </c>
      <c r="D379" s="15" t="inlineStr">
        <is>
          <t>INSELL</t>
        </is>
      </c>
      <c r="E379" s="15" t="inlineStr">
        <is>
          <t>MV</t>
        </is>
      </c>
      <c r="F379" s="15" t="inlineStr">
        <is>
          <t>12/20 KV 1X150/25</t>
        </is>
      </c>
      <c r="G379" s="15" t="inlineStr">
        <is>
          <t>EX05</t>
        </is>
      </c>
      <c r="H379" s="15" t="inlineStr">
        <is>
          <t>Wooden Drums</t>
        </is>
      </c>
      <c r="I379" s="15" t="inlineStr">
        <is>
          <t>OK</t>
        </is>
      </c>
      <c r="J379" s="15" t="inlineStr">
        <is>
          <t>A</t>
        </is>
      </c>
      <c r="K379" s="15" t="inlineStr">
        <is>
          <t>Y</t>
        </is>
      </c>
      <c r="L379" s="15" t="n">
        <v>1959</v>
      </c>
      <c r="M379" s="16" t="n">
        <v>0.76401</v>
      </c>
      <c r="N379" s="16" t="n">
        <v>0.887427</v>
      </c>
      <c r="O379" s="16" t="n">
        <v>0</v>
      </c>
      <c r="P379" s="16" t="n">
        <v>1.651437</v>
      </c>
      <c r="Q379">
        <f>--($A379=IF('الداشبورد'!$B$5="الكل",$A379,'الداشبورد'!$B$5))</f>
        <v/>
      </c>
      <c r="R379">
        <f>--($E379=IF('الداشبورد'!$B$6="الكل",$E379,'الداشبورد'!$B$6))</f>
        <v/>
      </c>
      <c r="S379">
        <f>--($K379=IF('الداشبورد'!$B$7="الكل",$K379,IF('الداشبورد'!$B$7="تصدير","Y","N")))</f>
        <v/>
      </c>
      <c r="T379">
        <f>--($J379=IF('الداشبورد'!$B$8="الكل",$J379,IF('الداشبورد'!$B$8="AL","A","C")))</f>
        <v/>
      </c>
      <c r="U379">
        <f>--($I379=IF('الداشبورد'!$B$9="الكل",$I379,IF('الداشبورد'!$B$9="بدون حالة","P",'الداشبورد'!$B$9)))</f>
        <v/>
      </c>
      <c r="V379">
        <f>--($D379=IF('الداشبورد'!$B$10="الكل",$D379,'الداشبورد'!$B$10))</f>
        <v/>
      </c>
      <c r="W379">
        <f>--($G379=IF('الداشبورد'!$B$11="الكل",$G379,'الداشبورد'!$B$11))</f>
        <v/>
      </c>
      <c r="X379">
        <f>Q379*R379*S379*T379*U379*V379*W379*--($C379&lt;&gt;"")</f>
        <v/>
      </c>
    </row>
    <row r="380">
      <c r="A380" s="15" t="n">
        <v>5</v>
      </c>
      <c r="B380" s="15" t="inlineStr">
        <is>
          <t>R184619</t>
        </is>
      </c>
      <c r="C380" s="15" t="inlineStr">
        <is>
          <t>395/26/02</t>
        </is>
      </c>
      <c r="D380" s="15" t="inlineStr">
        <is>
          <t>Eland Cables</t>
        </is>
      </c>
      <c r="E380" s="15" t="inlineStr">
        <is>
          <t>MV</t>
        </is>
      </c>
      <c r="F380" s="15" t="inlineStr">
        <is>
          <t>19/33 KV 3X95</t>
        </is>
      </c>
      <c r="G380" s="15" t="inlineStr">
        <is>
          <t>EX04</t>
        </is>
      </c>
      <c r="H380" s="15" t="inlineStr">
        <is>
          <t>Wooden Drums</t>
        </is>
      </c>
      <c r="I380" s="15" t="inlineStr">
        <is>
          <t>Hold</t>
        </is>
      </c>
      <c r="J380" s="15" t="inlineStr">
        <is>
          <t>C</t>
        </is>
      </c>
      <c r="K380" s="15" t="inlineStr">
        <is>
          <t>Y</t>
        </is>
      </c>
      <c r="L380" s="15" t="n">
        <v>255</v>
      </c>
      <c r="M380" s="16" t="n">
        <v>0.6270450000000001</v>
      </c>
      <c r="N380" s="16" t="n">
        <v>0</v>
      </c>
      <c r="O380" s="16" t="n">
        <v>0</v>
      </c>
      <c r="P380" s="16" t="n">
        <v>0.6270450000000001</v>
      </c>
      <c r="Q380">
        <f>--($A380=IF('الداشبورد'!$B$5="الكل",$A380,'الداشبورد'!$B$5))</f>
        <v/>
      </c>
      <c r="R380">
        <f>--($E380=IF('الداشبورد'!$B$6="الكل",$E380,'الداشبورد'!$B$6))</f>
        <v/>
      </c>
      <c r="S380">
        <f>--($K380=IF('الداشبورد'!$B$7="الكل",$K380,IF('الداشبورد'!$B$7="تصدير","Y","N")))</f>
        <v/>
      </c>
      <c r="T380">
        <f>--($J380=IF('الداشبورد'!$B$8="الكل",$J380,IF('الداشبورد'!$B$8="AL","A","C")))</f>
        <v/>
      </c>
      <c r="U380">
        <f>--($I380=IF('الداشبورد'!$B$9="الكل",$I380,IF('الداشبورد'!$B$9="بدون حالة","P",'الداشبورد'!$B$9)))</f>
        <v/>
      </c>
      <c r="V380">
        <f>--($D380=IF('الداشبورد'!$B$10="الكل",$D380,'الداشبورد'!$B$10))</f>
        <v/>
      </c>
      <c r="W380">
        <f>--($G380=IF('الداشبورد'!$B$11="الكل",$G380,'الداشبورد'!$B$11))</f>
        <v/>
      </c>
      <c r="X380">
        <f>Q380*R380*S380*T380*U380*V380*W380*--($C380&lt;&gt;"")</f>
        <v/>
      </c>
    </row>
    <row r="381">
      <c r="A381" s="15" t="n">
        <v>5</v>
      </c>
      <c r="B381" s="15" t="inlineStr">
        <is>
          <t>R184620</t>
        </is>
      </c>
      <c r="C381" s="15" t="inlineStr">
        <is>
          <t>395/26/02</t>
        </is>
      </c>
      <c r="D381" s="15" t="inlineStr">
        <is>
          <t>Eland Cables</t>
        </is>
      </c>
      <c r="E381" s="15" t="inlineStr">
        <is>
          <t>MV</t>
        </is>
      </c>
      <c r="F381" s="15" t="inlineStr">
        <is>
          <t>19/33 KV 3X95</t>
        </is>
      </c>
      <c r="G381" s="15" t="inlineStr">
        <is>
          <t>EX04</t>
        </is>
      </c>
      <c r="H381" s="15" t="inlineStr">
        <is>
          <t>Wooden Drums</t>
        </is>
      </c>
      <c r="I381" s="15" t="inlineStr">
        <is>
          <t>Hold</t>
        </is>
      </c>
      <c r="J381" s="15" t="inlineStr">
        <is>
          <t>C</t>
        </is>
      </c>
      <c r="K381" s="15" t="inlineStr">
        <is>
          <t>Y</t>
        </is>
      </c>
      <c r="L381" s="15" t="n">
        <v>264</v>
      </c>
      <c r="M381" s="16" t="n">
        <v>0.6491760000000001</v>
      </c>
      <c r="N381" s="16" t="n">
        <v>0</v>
      </c>
      <c r="O381" s="16" t="n">
        <v>0</v>
      </c>
      <c r="P381" s="16" t="n">
        <v>0.6491760000000001</v>
      </c>
      <c r="Q381">
        <f>--($A381=IF('الداشبورد'!$B$5="الكل",$A381,'الداشبورد'!$B$5))</f>
        <v/>
      </c>
      <c r="R381">
        <f>--($E381=IF('الداشبورد'!$B$6="الكل",$E381,'الداشبورد'!$B$6))</f>
        <v/>
      </c>
      <c r="S381">
        <f>--($K381=IF('الداشبورد'!$B$7="الكل",$K381,IF('الداشبورد'!$B$7="تصدير","Y","N")))</f>
        <v/>
      </c>
      <c r="T381">
        <f>--($J381=IF('الداشبورد'!$B$8="الكل",$J381,IF('الداشبورد'!$B$8="AL","A","C")))</f>
        <v/>
      </c>
      <c r="U381">
        <f>--($I381=IF('الداشبورد'!$B$9="الكل",$I381,IF('الداشبورد'!$B$9="بدون حالة","P",'الداشبورد'!$B$9)))</f>
        <v/>
      </c>
      <c r="V381">
        <f>--($D381=IF('الداشبورد'!$B$10="الكل",$D381,'الداشبورد'!$B$10))</f>
        <v/>
      </c>
      <c r="W381">
        <f>--($G381=IF('الداشبورد'!$B$11="الكل",$G381,'الداشبورد'!$B$11))</f>
        <v/>
      </c>
      <c r="X381">
        <f>Q381*R381*S381*T381*U381*V381*W381*--($C381&lt;&gt;"")</f>
        <v/>
      </c>
    </row>
    <row r="382">
      <c r="A382" s="15" t="n">
        <v>5</v>
      </c>
      <c r="B382" s="15" t="inlineStr">
        <is>
          <t>U184613</t>
        </is>
      </c>
      <c r="C382" s="15" t="inlineStr">
        <is>
          <t>395/26/03</t>
        </is>
      </c>
      <c r="D382" s="15" t="inlineStr">
        <is>
          <t>Eland Cables</t>
        </is>
      </c>
      <c r="E382" s="15" t="inlineStr">
        <is>
          <t>MV</t>
        </is>
      </c>
      <c r="F382" s="15" t="inlineStr">
        <is>
          <t>19/33 KV 3X240</t>
        </is>
      </c>
      <c r="G382" s="15" t="inlineStr">
        <is>
          <t>EX04</t>
        </is>
      </c>
      <c r="H382" s="15" t="inlineStr">
        <is>
          <t>Wooden Drums</t>
        </is>
      </c>
      <c r="I382" s="15" t="inlineStr">
        <is>
          <t>Hold</t>
        </is>
      </c>
      <c r="J382" s="15" t="inlineStr">
        <is>
          <t>C</t>
        </is>
      </c>
      <c r="K382" s="15" t="inlineStr">
        <is>
          <t>Y</t>
        </is>
      </c>
      <c r="L382" s="15" t="n">
        <v>107</v>
      </c>
      <c r="M382" s="16" t="n">
        <v>0.678808</v>
      </c>
      <c r="N382" s="16" t="n">
        <v>0</v>
      </c>
      <c r="O382" s="16" t="n">
        <v>0</v>
      </c>
      <c r="P382" s="16" t="n">
        <v>0.678808</v>
      </c>
      <c r="Q382">
        <f>--($A382=IF('الداشبورد'!$B$5="الكل",$A382,'الداشبورد'!$B$5))</f>
        <v/>
      </c>
      <c r="R382">
        <f>--($E382=IF('الداشبورد'!$B$6="الكل",$E382,'الداشبورد'!$B$6))</f>
        <v/>
      </c>
      <c r="S382">
        <f>--($K382=IF('الداشبورد'!$B$7="الكل",$K382,IF('الداشبورد'!$B$7="تصدير","Y","N")))</f>
        <v/>
      </c>
      <c r="T382">
        <f>--($J382=IF('الداشبورد'!$B$8="الكل",$J382,IF('الداشبورد'!$B$8="AL","A","C")))</f>
        <v/>
      </c>
      <c r="U382">
        <f>--($I382=IF('الداشبورد'!$B$9="الكل",$I382,IF('الداشبورد'!$B$9="بدون حالة","P",'الداشبورد'!$B$9)))</f>
        <v/>
      </c>
      <c r="V382">
        <f>--($D382=IF('الداشبورد'!$B$10="الكل",$D382,'الداشبورد'!$B$10))</f>
        <v/>
      </c>
      <c r="W382">
        <f>--($G382=IF('الداشبورد'!$B$11="الكل",$G382,'الداشبورد'!$B$11))</f>
        <v/>
      </c>
      <c r="X382">
        <f>Q382*R382*S382*T382*U382*V382*W382*--($C382&lt;&gt;"")</f>
        <v/>
      </c>
    </row>
    <row r="383">
      <c r="A383" s="15" t="n">
        <v>5</v>
      </c>
      <c r="B383" s="15" t="inlineStr">
        <is>
          <t>Y184595</t>
        </is>
      </c>
      <c r="C383" s="15" t="inlineStr">
        <is>
          <t>1595/26/09</t>
        </is>
      </c>
      <c r="D383" s="15" t="inlineStr">
        <is>
          <t>Helukabel Germany</t>
        </is>
      </c>
      <c r="E383" s="15" t="inlineStr">
        <is>
          <t>LV</t>
        </is>
      </c>
      <c r="F383" s="15" t="inlineStr">
        <is>
          <t>0.6/1 KV 1X120</t>
        </is>
      </c>
      <c r="G383" s="15" t="inlineStr">
        <is>
          <t>EX03</t>
        </is>
      </c>
      <c r="H383" s="15" t="inlineStr">
        <is>
          <t>Wooden Drums</t>
        </is>
      </c>
      <c r="I383" s="15" t="inlineStr">
        <is>
          <t>P</t>
        </is>
      </c>
      <c r="J383" s="15" t="inlineStr">
        <is>
          <t>A</t>
        </is>
      </c>
      <c r="K383" s="15" t="inlineStr">
        <is>
          <t>Y</t>
        </is>
      </c>
      <c r="L383" s="15" t="n">
        <v>2070</v>
      </c>
      <c r="M383" s="16" t="n">
        <v>0.6520499999999999</v>
      </c>
      <c r="N383" s="16" t="n">
        <v>0</v>
      </c>
      <c r="O383" s="16" t="n">
        <v>0</v>
      </c>
      <c r="P383" s="16" t="n">
        <v>0.6520499999999999</v>
      </c>
      <c r="Q383">
        <f>--($A383=IF('الداشبورد'!$B$5="الكل",$A383,'الداشبورد'!$B$5))</f>
        <v/>
      </c>
      <c r="R383">
        <f>--($E383=IF('الداشبورد'!$B$6="الكل",$E383,'الداشبورد'!$B$6))</f>
        <v/>
      </c>
      <c r="S383">
        <f>--($K383=IF('الداشبورد'!$B$7="الكل",$K383,IF('الداشبورد'!$B$7="تصدير","Y","N")))</f>
        <v/>
      </c>
      <c r="T383">
        <f>--($J383=IF('الداشبورد'!$B$8="الكل",$J383,IF('الداشبورد'!$B$8="AL","A","C")))</f>
        <v/>
      </c>
      <c r="U383">
        <f>--($I383=IF('الداشبورد'!$B$9="الكل",$I383,IF('الداشبورد'!$B$9="بدون حالة","P",'الداشبورد'!$B$9)))</f>
        <v/>
      </c>
      <c r="V383">
        <f>--($D383=IF('الداشبورد'!$B$10="الكل",$D383,'الداشبورد'!$B$10))</f>
        <v/>
      </c>
      <c r="W383">
        <f>--($G383=IF('الداشبورد'!$B$11="الكل",$G383,'الداشبورد'!$B$11))</f>
        <v/>
      </c>
      <c r="X383">
        <f>Q383*R383*S383*T383*U383*V383*W383*--($C383&lt;&gt;"")</f>
        <v/>
      </c>
    </row>
    <row r="384">
      <c r="A384" s="15" t="n">
        <v>5</v>
      </c>
      <c r="B384" s="15" t="inlineStr">
        <is>
          <t>I184596</t>
        </is>
      </c>
      <c r="C384" s="15" t="inlineStr">
        <is>
          <t>1595/26/05</t>
        </is>
      </c>
      <c r="D384" s="15" t="inlineStr">
        <is>
          <t>Helukabel Germany</t>
        </is>
      </c>
      <c r="E384" s="15" t="inlineStr">
        <is>
          <t>LV</t>
        </is>
      </c>
      <c r="F384" s="15" t="inlineStr">
        <is>
          <t>0.6/1 KV 1X240</t>
        </is>
      </c>
      <c r="G384" s="15" t="inlineStr">
        <is>
          <t>EX03</t>
        </is>
      </c>
      <c r="H384" s="15" t="inlineStr">
        <is>
          <t>Wooden Drums</t>
        </is>
      </c>
      <c r="I384" s="15" t="inlineStr">
        <is>
          <t>OK</t>
        </is>
      </c>
      <c r="J384" s="15" t="inlineStr">
        <is>
          <t>A</t>
        </is>
      </c>
      <c r="K384" s="15" t="inlineStr">
        <is>
          <t>Y</t>
        </is>
      </c>
      <c r="L384" s="15" t="n">
        <v>1130</v>
      </c>
      <c r="M384" s="16" t="n">
        <v>0.70738</v>
      </c>
      <c r="N384" s="16" t="n">
        <v>0</v>
      </c>
      <c r="O384" s="16" t="n">
        <v>0</v>
      </c>
      <c r="P384" s="16" t="n">
        <v>0.70738</v>
      </c>
      <c r="Q384">
        <f>--($A384=IF('الداشبورد'!$B$5="الكل",$A384,'الداشبورد'!$B$5))</f>
        <v/>
      </c>
      <c r="R384">
        <f>--($E384=IF('الداشبورد'!$B$6="الكل",$E384,'الداشبورد'!$B$6))</f>
        <v/>
      </c>
      <c r="S384">
        <f>--($K384=IF('الداشبورد'!$B$7="الكل",$K384,IF('الداشبورد'!$B$7="تصدير","Y","N")))</f>
        <v/>
      </c>
      <c r="T384">
        <f>--($J384=IF('الداشبورد'!$B$8="الكل",$J384,IF('الداشبورد'!$B$8="AL","A","C")))</f>
        <v/>
      </c>
      <c r="U384">
        <f>--($I384=IF('الداشبورد'!$B$9="الكل",$I384,IF('الداشبورد'!$B$9="بدون حالة","P",'الداشبورد'!$B$9)))</f>
        <v/>
      </c>
      <c r="V384">
        <f>--($D384=IF('الداشبورد'!$B$10="الكل",$D384,'الداشبورد'!$B$10))</f>
        <v/>
      </c>
      <c r="W384">
        <f>--($G384=IF('الداشبورد'!$B$11="الكل",$G384,'الداشبورد'!$B$11))</f>
        <v/>
      </c>
      <c r="X384">
        <f>Q384*R384*S384*T384*U384*V384*W384*--($C384&lt;&gt;"")</f>
        <v/>
      </c>
    </row>
    <row r="385">
      <c r="A385" s="15" t="n">
        <v>5</v>
      </c>
      <c r="B385" s="15" t="inlineStr">
        <is>
          <t>K184591</t>
        </is>
      </c>
      <c r="C385" s="15" t="inlineStr">
        <is>
          <t>1595/26/05</t>
        </is>
      </c>
      <c r="D385" s="15" t="inlineStr">
        <is>
          <t>Helukabel Germany</t>
        </is>
      </c>
      <c r="E385" s="15" t="inlineStr">
        <is>
          <t>LV</t>
        </is>
      </c>
      <c r="F385" s="15" t="inlineStr">
        <is>
          <t>0.6/1 KV 1X240</t>
        </is>
      </c>
      <c r="G385" s="15" t="inlineStr">
        <is>
          <t>EX03</t>
        </is>
      </c>
      <c r="H385" s="15" t="inlineStr">
        <is>
          <t>Wooden Drums</t>
        </is>
      </c>
      <c r="I385" s="15" t="inlineStr">
        <is>
          <t>OK</t>
        </is>
      </c>
      <c r="J385" s="15" t="inlineStr">
        <is>
          <t>A</t>
        </is>
      </c>
      <c r="K385" s="15" t="inlineStr">
        <is>
          <t>Y</t>
        </is>
      </c>
      <c r="L385" s="15" t="n">
        <v>2050</v>
      </c>
      <c r="M385" s="16" t="n">
        <v>1.2833</v>
      </c>
      <c r="N385" s="16" t="n">
        <v>0</v>
      </c>
      <c r="O385" s="16" t="n">
        <v>0</v>
      </c>
      <c r="P385" s="16" t="n">
        <v>1.2833</v>
      </c>
      <c r="Q385">
        <f>--($A385=IF('الداشبورد'!$B$5="الكل",$A385,'الداشبورد'!$B$5))</f>
        <v/>
      </c>
      <c r="R385">
        <f>--($E385=IF('الداشبورد'!$B$6="الكل",$E385,'الداشبورد'!$B$6))</f>
        <v/>
      </c>
      <c r="S385">
        <f>--($K385=IF('الداشبورد'!$B$7="الكل",$K385,IF('الداشبورد'!$B$7="تصدير","Y","N")))</f>
        <v/>
      </c>
      <c r="T385">
        <f>--($J385=IF('الداشبورد'!$B$8="الكل",$J385,IF('الداشبورد'!$B$8="AL","A","C")))</f>
        <v/>
      </c>
      <c r="U385">
        <f>--($I385=IF('الداشبورد'!$B$9="الكل",$I385,IF('الداشبورد'!$B$9="بدون حالة","P",'الداشبورد'!$B$9)))</f>
        <v/>
      </c>
      <c r="V385">
        <f>--($D385=IF('الداشبورد'!$B$10="الكل",$D385,'الداشبورد'!$B$10))</f>
        <v/>
      </c>
      <c r="W385">
        <f>--($G385=IF('الداشبورد'!$B$11="الكل",$G385,'الداشبورد'!$B$11))</f>
        <v/>
      </c>
      <c r="X385">
        <f>Q385*R385*S385*T385*U385*V385*W385*--($C385&lt;&gt;"")</f>
        <v/>
      </c>
    </row>
    <row r="386">
      <c r="A386" s="15" t="n">
        <v>5</v>
      </c>
      <c r="B386" s="15" t="inlineStr">
        <is>
          <t>K184592</t>
        </is>
      </c>
      <c r="C386" s="15" t="inlineStr">
        <is>
          <t>1595/26/05</t>
        </is>
      </c>
      <c r="D386" s="15" t="inlineStr">
        <is>
          <t>Helukabel Germany</t>
        </is>
      </c>
      <c r="E386" s="15" t="inlineStr">
        <is>
          <t>LV</t>
        </is>
      </c>
      <c r="F386" s="15" t="inlineStr">
        <is>
          <t>0.6/1 KV 1X240</t>
        </is>
      </c>
      <c r="G386" s="15" t="inlineStr">
        <is>
          <t>EX03</t>
        </is>
      </c>
      <c r="H386" s="15" t="inlineStr">
        <is>
          <t>Wooden Drums</t>
        </is>
      </c>
      <c r="I386" s="15" t="inlineStr">
        <is>
          <t>OK</t>
        </is>
      </c>
      <c r="J386" s="15" t="inlineStr">
        <is>
          <t>A</t>
        </is>
      </c>
      <c r="K386" s="15" t="inlineStr">
        <is>
          <t>Y</t>
        </is>
      </c>
      <c r="L386" s="15" t="n">
        <v>2019</v>
      </c>
      <c r="M386" s="16" t="n">
        <v>1.263894</v>
      </c>
      <c r="N386" s="16" t="n">
        <v>0</v>
      </c>
      <c r="O386" s="16" t="n">
        <v>0</v>
      </c>
      <c r="P386" s="16" t="n">
        <v>1.263894</v>
      </c>
      <c r="Q386">
        <f>--($A386=IF('الداشبورد'!$B$5="الكل",$A386,'الداشبورد'!$B$5))</f>
        <v/>
      </c>
      <c r="R386">
        <f>--($E386=IF('الداشبورد'!$B$6="الكل",$E386,'الداشبورد'!$B$6))</f>
        <v/>
      </c>
      <c r="S386">
        <f>--($K386=IF('الداشبورد'!$B$7="الكل",$K386,IF('الداشبورد'!$B$7="تصدير","Y","N")))</f>
        <v/>
      </c>
      <c r="T386">
        <f>--($J386=IF('الداشبورد'!$B$8="الكل",$J386,IF('الداشبورد'!$B$8="AL","A","C")))</f>
        <v/>
      </c>
      <c r="U386">
        <f>--($I386=IF('الداشبورد'!$B$9="الكل",$I386,IF('الداشبورد'!$B$9="بدون حالة","P",'الداشبورد'!$B$9)))</f>
        <v/>
      </c>
      <c r="V386">
        <f>--($D386=IF('الداشبورد'!$B$10="الكل",$D386,'الداشبورد'!$B$10))</f>
        <v/>
      </c>
      <c r="W386">
        <f>--($G386=IF('الداشبورد'!$B$11="الكل",$G386,'الداشبورد'!$B$11))</f>
        <v/>
      </c>
      <c r="X386">
        <f>Q386*R386*S386*T386*U386*V386*W386*--($C386&lt;&gt;"")</f>
        <v/>
      </c>
    </row>
    <row r="387">
      <c r="A387" s="15" t="n">
        <v>5</v>
      </c>
      <c r="B387" s="15" t="inlineStr">
        <is>
          <t>E184432</t>
        </is>
      </c>
      <c r="C387" s="15" t="inlineStr">
        <is>
          <t>1641/26/19</t>
        </is>
      </c>
      <c r="D387" s="15" t="inlineStr">
        <is>
          <t>الشركة العربية للصناعة والتجارة الدولية</t>
        </is>
      </c>
      <c r="E387" s="15" t="inlineStr">
        <is>
          <t>LV</t>
        </is>
      </c>
      <c r="F387" s="15" t="inlineStr">
        <is>
          <t>450/750 V 1*95</t>
        </is>
      </c>
      <c r="G387" s="15" t="inlineStr">
        <is>
          <t>EX01</t>
        </is>
      </c>
      <c r="H387" s="15" t="inlineStr">
        <is>
          <t>Wooden Drums</t>
        </is>
      </c>
      <c r="I387" s="15" t="inlineStr">
        <is>
          <t>OK</t>
        </is>
      </c>
      <c r="J387" s="15" t="inlineStr">
        <is>
          <t>C</t>
        </is>
      </c>
      <c r="K387" s="15" t="inlineStr">
        <is>
          <t>N</t>
        </is>
      </c>
      <c r="L387" s="15" t="n">
        <v>254</v>
      </c>
      <c r="M387" s="16" t="n">
        <v>0.20701</v>
      </c>
      <c r="N387" s="16" t="n">
        <v>0</v>
      </c>
      <c r="O387" s="16" t="n">
        <v>0</v>
      </c>
      <c r="P387" s="16" t="n">
        <v>0.20701</v>
      </c>
      <c r="Q387">
        <f>--($A387=IF('الداشبورد'!$B$5="الكل",$A387,'الداشبورد'!$B$5))</f>
        <v/>
      </c>
      <c r="R387">
        <f>--($E387=IF('الداشبورد'!$B$6="الكل",$E387,'الداشبورد'!$B$6))</f>
        <v/>
      </c>
      <c r="S387">
        <f>--($K387=IF('الداشبورد'!$B$7="الكل",$K387,IF('الداشبورد'!$B$7="تصدير","Y","N")))</f>
        <v/>
      </c>
      <c r="T387">
        <f>--($J387=IF('الداشبورد'!$B$8="الكل",$J387,IF('الداشبورد'!$B$8="AL","A","C")))</f>
        <v/>
      </c>
      <c r="U387">
        <f>--($I387=IF('الداشبورد'!$B$9="الكل",$I387,IF('الداشبورد'!$B$9="بدون حالة","P",'الداشبورد'!$B$9)))</f>
        <v/>
      </c>
      <c r="V387">
        <f>--($D387=IF('الداشبورد'!$B$10="الكل",$D387,'الداشبورد'!$B$10))</f>
        <v/>
      </c>
      <c r="W387">
        <f>--($G387=IF('الداشبورد'!$B$11="الكل",$G387,'الداشبورد'!$B$11))</f>
        <v/>
      </c>
      <c r="X387">
        <f>Q387*R387*S387*T387*U387*V387*W387*--($C387&lt;&gt;"")</f>
        <v/>
      </c>
    </row>
    <row r="388">
      <c r="A388" s="15" t="n">
        <v>5</v>
      </c>
      <c r="B388" s="15" t="inlineStr">
        <is>
          <t>F184604</t>
        </is>
      </c>
      <c r="C388" s="15" t="inlineStr">
        <is>
          <t>1554/26/29</t>
        </is>
      </c>
      <c r="D388" s="15" t="inlineStr">
        <is>
          <t>المجموعه الهندسيه</t>
        </is>
      </c>
      <c r="E388" s="15" t="inlineStr">
        <is>
          <t>LV</t>
        </is>
      </c>
      <c r="F388" s="15" t="inlineStr">
        <is>
          <t>450/750 V 1*95</t>
        </is>
      </c>
      <c r="G388" s="15" t="inlineStr">
        <is>
          <t>EX01</t>
        </is>
      </c>
      <c r="H388" s="15" t="inlineStr">
        <is>
          <t>Wooden Drums</t>
        </is>
      </c>
      <c r="I388" s="15" t="inlineStr">
        <is>
          <t>P</t>
        </is>
      </c>
      <c r="J388" s="15" t="inlineStr">
        <is>
          <t>C</t>
        </is>
      </c>
      <c r="K388" s="15" t="inlineStr">
        <is>
          <t>N</t>
        </is>
      </c>
      <c r="L388" s="15" t="n">
        <v>288</v>
      </c>
      <c r="M388" s="16" t="n">
        <v>0.23472</v>
      </c>
      <c r="N388" s="16" t="n">
        <v>0</v>
      </c>
      <c r="O388" s="16" t="n">
        <v>0</v>
      </c>
      <c r="P388" s="16" t="n">
        <v>0.23472</v>
      </c>
      <c r="Q388">
        <f>--($A388=IF('الداشبورد'!$B$5="الكل",$A388,'الداشبورد'!$B$5))</f>
        <v/>
      </c>
      <c r="R388">
        <f>--($E388=IF('الداشبورد'!$B$6="الكل",$E388,'الداشبورد'!$B$6))</f>
        <v/>
      </c>
      <c r="S388">
        <f>--($K388=IF('الداشبورد'!$B$7="الكل",$K388,IF('الداشبورد'!$B$7="تصدير","Y","N")))</f>
        <v/>
      </c>
      <c r="T388">
        <f>--($J388=IF('الداشبورد'!$B$8="الكل",$J388,IF('الداشبورد'!$B$8="AL","A","C")))</f>
        <v/>
      </c>
      <c r="U388">
        <f>--($I388=IF('الداشبورد'!$B$9="الكل",$I388,IF('الداشبورد'!$B$9="بدون حالة","P",'الداشبورد'!$B$9)))</f>
        <v/>
      </c>
      <c r="V388">
        <f>--($D388=IF('الداشبورد'!$B$10="الكل",$D388,'الداشبورد'!$B$10))</f>
        <v/>
      </c>
      <c r="W388">
        <f>--($G388=IF('الداشبورد'!$B$11="الكل",$G388,'الداشبورد'!$B$11))</f>
        <v/>
      </c>
      <c r="X388">
        <f>Q388*R388*S388*T388*U388*V388*W388*--($C388&lt;&gt;"")</f>
        <v/>
      </c>
    </row>
    <row r="389">
      <c r="A389" s="15" t="n">
        <v>5</v>
      </c>
      <c r="B389" s="15" t="inlineStr">
        <is>
          <t>F184347</t>
        </is>
      </c>
      <c r="C389" s="15" t="inlineStr">
        <is>
          <t>1029/26/07</t>
        </is>
      </c>
      <c r="D389" s="15" t="inlineStr">
        <is>
          <t>Central Electricals International Ltd</t>
        </is>
      </c>
      <c r="E389" s="15" t="inlineStr">
        <is>
          <t>LV</t>
        </is>
      </c>
      <c r="F389" s="15" t="inlineStr">
        <is>
          <t>450/750 V 1*240</t>
        </is>
      </c>
      <c r="G389" s="15" t="inlineStr">
        <is>
          <t>EX01</t>
        </is>
      </c>
      <c r="H389" s="15" t="inlineStr">
        <is>
          <t>Wooden Drums</t>
        </is>
      </c>
      <c r="I389" s="15" t="inlineStr">
        <is>
          <t>OK</t>
        </is>
      </c>
      <c r="J389" s="15" t="inlineStr">
        <is>
          <t>C</t>
        </is>
      </c>
      <c r="K389" s="15" t="inlineStr">
        <is>
          <t>Y</t>
        </is>
      </c>
      <c r="L389" s="15" t="n">
        <v>168</v>
      </c>
      <c r="M389" s="16" t="n">
        <v>0.3531359999999999</v>
      </c>
      <c r="N389" s="16" t="n">
        <v>0</v>
      </c>
      <c r="O389" s="16" t="n">
        <v>0</v>
      </c>
      <c r="P389" s="16" t="n">
        <v>0.3531359999999999</v>
      </c>
      <c r="Q389">
        <f>--($A389=IF('الداشبورد'!$B$5="الكل",$A389,'الداشبورد'!$B$5))</f>
        <v/>
      </c>
      <c r="R389">
        <f>--($E389=IF('الداشبورد'!$B$6="الكل",$E389,'الداشبورد'!$B$6))</f>
        <v/>
      </c>
      <c r="S389">
        <f>--($K389=IF('الداشبورد'!$B$7="الكل",$K389,IF('الداشبورد'!$B$7="تصدير","Y","N")))</f>
        <v/>
      </c>
      <c r="T389">
        <f>--($J389=IF('الداشبورد'!$B$8="الكل",$J389,IF('الداشبورد'!$B$8="AL","A","C")))</f>
        <v/>
      </c>
      <c r="U389">
        <f>--($I389=IF('الداشبورد'!$B$9="الكل",$I389,IF('الداشبورد'!$B$9="بدون حالة","P",'الداشبورد'!$B$9)))</f>
        <v/>
      </c>
      <c r="V389">
        <f>--($D389=IF('الداشبورد'!$B$10="الكل",$D389,'الداشبورد'!$B$10))</f>
        <v/>
      </c>
      <c r="W389">
        <f>--($G389=IF('الداشبورد'!$B$11="الكل",$G389,'الداشبورد'!$B$11))</f>
        <v/>
      </c>
      <c r="X389">
        <f>Q389*R389*S389*T389*U389*V389*W389*--($C389&lt;&gt;"")</f>
        <v/>
      </c>
    </row>
    <row r="390">
      <c r="A390" s="15" t="n">
        <v>5</v>
      </c>
      <c r="B390" s="15" t="inlineStr">
        <is>
          <t>Q184337</t>
        </is>
      </c>
      <c r="C390" s="15" t="inlineStr">
        <is>
          <t>1200/26/04</t>
        </is>
      </c>
      <c r="D390" s="15" t="inlineStr">
        <is>
          <t>INSELL</t>
        </is>
      </c>
      <c r="E390" s="15" t="inlineStr">
        <is>
          <t>MV</t>
        </is>
      </c>
      <c r="F390" s="15" t="inlineStr">
        <is>
          <t>12/20 KV 1X240/50</t>
        </is>
      </c>
      <c r="G390" s="15" t="inlineStr">
        <is>
          <t>EX05</t>
        </is>
      </c>
      <c r="H390" s="15" t="inlineStr">
        <is>
          <t>Wooden Drums</t>
        </is>
      </c>
      <c r="I390" s="15" t="inlineStr">
        <is>
          <t>OK</t>
        </is>
      </c>
      <c r="J390" s="15" t="inlineStr">
        <is>
          <t>A</t>
        </is>
      </c>
      <c r="K390" s="15" t="inlineStr">
        <is>
          <t>Y</t>
        </is>
      </c>
      <c r="L390" s="15" t="n">
        <v>1973</v>
      </c>
      <c r="M390" s="16" t="n">
        <v>1.235098</v>
      </c>
      <c r="N390" s="16" t="n">
        <v>0.893769</v>
      </c>
      <c r="O390" s="16" t="n">
        <v>0</v>
      </c>
      <c r="P390" s="16" t="n">
        <v>2.128867</v>
      </c>
      <c r="Q390">
        <f>--($A390=IF('الداشبورد'!$B$5="الكل",$A390,'الداشبورد'!$B$5))</f>
        <v/>
      </c>
      <c r="R390">
        <f>--($E390=IF('الداشبورد'!$B$6="الكل",$E390,'الداشبورد'!$B$6))</f>
        <v/>
      </c>
      <c r="S390">
        <f>--($K390=IF('الداشبورد'!$B$7="الكل",$K390,IF('الداشبورد'!$B$7="تصدير","Y","N")))</f>
        <v/>
      </c>
      <c r="T390">
        <f>--($J390=IF('الداشبورد'!$B$8="الكل",$J390,IF('الداشبورد'!$B$8="AL","A","C")))</f>
        <v/>
      </c>
      <c r="U390">
        <f>--($I390=IF('الداشبورد'!$B$9="الكل",$I390,IF('الداشبورد'!$B$9="بدون حالة","P",'الداشبورد'!$B$9)))</f>
        <v/>
      </c>
      <c r="V390">
        <f>--($D390=IF('الداشبورد'!$B$10="الكل",$D390,'الداشبورد'!$B$10))</f>
        <v/>
      </c>
      <c r="W390">
        <f>--($G390=IF('الداشبورد'!$B$11="الكل",$G390,'الداشبورد'!$B$11))</f>
        <v/>
      </c>
      <c r="X390">
        <f>Q390*R390*S390*T390*U390*V390*W390*--($C390&lt;&gt;"")</f>
        <v/>
      </c>
    </row>
    <row r="391">
      <c r="A391" s="15" t="n">
        <v>5</v>
      </c>
      <c r="B391" s="15" t="inlineStr">
        <is>
          <t>P184674</t>
        </is>
      </c>
      <c r="C391" s="15" t="inlineStr">
        <is>
          <t>1200/26/07</t>
        </is>
      </c>
      <c r="D391" s="15" t="inlineStr">
        <is>
          <t>INSELL</t>
        </is>
      </c>
      <c r="E391" s="15" t="inlineStr">
        <is>
          <t>MV</t>
        </is>
      </c>
      <c r="F391" s="15" t="inlineStr">
        <is>
          <t>12/20 KV 1X240/25</t>
        </is>
      </c>
      <c r="G391" s="15" t="inlineStr">
        <is>
          <t>EX05</t>
        </is>
      </c>
      <c r="H391" s="15" t="inlineStr">
        <is>
          <t>Wooden Drums</t>
        </is>
      </c>
      <c r="I391" s="15" t="inlineStr">
        <is>
          <t>OK</t>
        </is>
      </c>
      <c r="J391" s="15" t="inlineStr">
        <is>
          <t>A</t>
        </is>
      </c>
      <c r="K391" s="15" t="inlineStr">
        <is>
          <t>Y</t>
        </is>
      </c>
      <c r="L391" s="15" t="n">
        <v>2030</v>
      </c>
      <c r="M391" s="16" t="n">
        <v>1.27078</v>
      </c>
      <c r="N391" s="16" t="n">
        <v>0.4669</v>
      </c>
      <c r="O391" s="16" t="n">
        <v>0</v>
      </c>
      <c r="P391" s="16" t="n">
        <v>1.73768</v>
      </c>
      <c r="Q391">
        <f>--($A391=IF('الداشبورد'!$B$5="الكل",$A391,'الداشبورد'!$B$5))</f>
        <v/>
      </c>
      <c r="R391">
        <f>--($E391=IF('الداشبورد'!$B$6="الكل",$E391,'الداشبورد'!$B$6))</f>
        <v/>
      </c>
      <c r="S391">
        <f>--($K391=IF('الداشبورد'!$B$7="الكل",$K391,IF('الداشبورد'!$B$7="تصدير","Y","N")))</f>
        <v/>
      </c>
      <c r="T391">
        <f>--($J391=IF('الداشبورد'!$B$8="الكل",$J391,IF('الداشبورد'!$B$8="AL","A","C")))</f>
        <v/>
      </c>
      <c r="U391">
        <f>--($I391=IF('الداشبورد'!$B$9="الكل",$I391,IF('الداشبورد'!$B$9="بدون حالة","P",'الداشبورد'!$B$9)))</f>
        <v/>
      </c>
      <c r="V391">
        <f>--($D391=IF('الداشبورد'!$B$10="الكل",$D391,'الداشبورد'!$B$10))</f>
        <v/>
      </c>
      <c r="W391">
        <f>--($G391=IF('الداشبورد'!$B$11="الكل",$G391,'الداشبورد'!$B$11))</f>
        <v/>
      </c>
      <c r="X391">
        <f>Q391*R391*S391*T391*U391*V391*W391*--($C391&lt;&gt;"")</f>
        <v/>
      </c>
    </row>
    <row r="392">
      <c r="A392" s="15" t="n">
        <v>5</v>
      </c>
      <c r="B392" s="15" t="inlineStr">
        <is>
          <t>P184640</t>
        </is>
      </c>
      <c r="C392" s="15" t="inlineStr">
        <is>
          <t>1567/26/01</t>
        </is>
      </c>
      <c r="D392" s="15" t="inlineStr">
        <is>
          <t>اس بي اس بروتك للمشروعات والتكنولوجيا</t>
        </is>
      </c>
      <c r="E392" s="15" t="inlineStr">
        <is>
          <t>IC</t>
        </is>
      </c>
      <c r="F392" s="15" t="inlineStr">
        <is>
          <t>500 V 12X2X2.5</t>
        </is>
      </c>
      <c r="G392" s="15" t="inlineStr">
        <is>
          <t>EX04</t>
        </is>
      </c>
      <c r="H392" s="15" t="inlineStr">
        <is>
          <t>Wooden Drums</t>
        </is>
      </c>
      <c r="I392" s="15" t="inlineStr">
        <is>
          <t>Hold</t>
        </is>
      </c>
      <c r="J392" s="15" t="inlineStr">
        <is>
          <t>C</t>
        </is>
      </c>
      <c r="K392" s="15" t="inlineStr">
        <is>
          <t>N</t>
        </is>
      </c>
      <c r="L392" s="15" t="n">
        <v>491</v>
      </c>
      <c r="M392" s="16" t="n">
        <v>0.272014</v>
      </c>
      <c r="N392" s="16" t="n">
        <v>0</v>
      </c>
      <c r="O392" s="16" t="n">
        <v>0</v>
      </c>
      <c r="P392" s="16" t="n">
        <v>0.272014</v>
      </c>
      <c r="Q392">
        <f>--($A392=IF('الداشبورد'!$B$5="الكل",$A392,'الداشبورد'!$B$5))</f>
        <v/>
      </c>
      <c r="R392">
        <f>--($E392=IF('الداشبورد'!$B$6="الكل",$E392,'الداشبورد'!$B$6))</f>
        <v/>
      </c>
      <c r="S392">
        <f>--($K392=IF('الداشبورد'!$B$7="الكل",$K392,IF('الداشبورد'!$B$7="تصدير","Y","N")))</f>
        <v/>
      </c>
      <c r="T392">
        <f>--($J392=IF('الداشبورد'!$B$8="الكل",$J392,IF('الداشبورد'!$B$8="AL","A","C")))</f>
        <v/>
      </c>
      <c r="U392">
        <f>--($I392=IF('الداشبورد'!$B$9="الكل",$I392,IF('الداشبورد'!$B$9="بدون حالة","P",'الداشبورد'!$B$9)))</f>
        <v/>
      </c>
      <c r="V392">
        <f>--($D392=IF('الداشبورد'!$B$10="الكل",$D392,'الداشبورد'!$B$10))</f>
        <v/>
      </c>
      <c r="W392">
        <f>--($G392=IF('الداشبورد'!$B$11="الكل",$G392,'الداشبورد'!$B$11))</f>
        <v/>
      </c>
      <c r="X392">
        <f>Q392*R392*S392*T392*U392*V392*W392*--($C392&lt;&gt;"")</f>
        <v/>
      </c>
    </row>
    <row r="393">
      <c r="A393" s="15" t="n">
        <v>5</v>
      </c>
      <c r="B393" s="15" t="inlineStr">
        <is>
          <t>G184661</t>
        </is>
      </c>
      <c r="C393" s="15" t="inlineStr">
        <is>
          <t>645/26/02</t>
        </is>
      </c>
      <c r="D393" s="15" t="inlineStr">
        <is>
          <t>Vigo trgovina d.o.o.</t>
        </is>
      </c>
      <c r="E393" s="15" t="inlineStr">
        <is>
          <t>LV</t>
        </is>
      </c>
      <c r="F393" s="15" t="inlineStr">
        <is>
          <t>0.6/1 KV 4X50</t>
        </is>
      </c>
      <c r="G393" s="15" t="inlineStr">
        <is>
          <t>EX03</t>
        </is>
      </c>
      <c r="H393" s="15" t="inlineStr">
        <is>
          <t>Wooden Drums</t>
        </is>
      </c>
      <c r="I393" s="15" t="inlineStr">
        <is>
          <t>OK</t>
        </is>
      </c>
      <c r="J393" s="15" t="inlineStr">
        <is>
          <t>A</t>
        </is>
      </c>
      <c r="K393" s="15" t="inlineStr">
        <is>
          <t>Y</t>
        </is>
      </c>
      <c r="L393" s="15" t="n">
        <v>510</v>
      </c>
      <c r="M393" s="16" t="n">
        <v>0.24174</v>
      </c>
      <c r="N393" s="16" t="n">
        <v>0</v>
      </c>
      <c r="O393" s="16" t="n">
        <v>0</v>
      </c>
      <c r="P393" s="16" t="n">
        <v>0.24174</v>
      </c>
      <c r="Q393">
        <f>--($A393=IF('الداشبورد'!$B$5="الكل",$A393,'الداشبورد'!$B$5))</f>
        <v/>
      </c>
      <c r="R393">
        <f>--($E393=IF('الداشبورد'!$B$6="الكل",$E393,'الداشبورد'!$B$6))</f>
        <v/>
      </c>
      <c r="S393">
        <f>--($K393=IF('الداشبورد'!$B$7="الكل",$K393,IF('الداشبورد'!$B$7="تصدير","Y","N")))</f>
        <v/>
      </c>
      <c r="T393">
        <f>--($J393=IF('الداشبورد'!$B$8="الكل",$J393,IF('الداشبورد'!$B$8="AL","A","C")))</f>
        <v/>
      </c>
      <c r="U393">
        <f>--($I393=IF('الداشبورد'!$B$9="الكل",$I393,IF('الداشبورد'!$B$9="بدون حالة","P",'الداشبورد'!$B$9)))</f>
        <v/>
      </c>
      <c r="V393">
        <f>--($D393=IF('الداشبورد'!$B$10="الكل",$D393,'الداشبورد'!$B$10))</f>
        <v/>
      </c>
      <c r="W393">
        <f>--($G393=IF('الداشبورد'!$B$11="الكل",$G393,'الداشبورد'!$B$11))</f>
        <v/>
      </c>
      <c r="X393">
        <f>Q393*R393*S393*T393*U393*V393*W393*--($C393&lt;&gt;"")</f>
        <v/>
      </c>
    </row>
    <row r="394">
      <c r="A394" s="15" t="n">
        <v>5</v>
      </c>
      <c r="B394" s="15" t="inlineStr">
        <is>
          <t>G184667</t>
        </is>
      </c>
      <c r="C394" s="15" t="inlineStr">
        <is>
          <t>645/26/02</t>
        </is>
      </c>
      <c r="D394" s="15" t="inlineStr">
        <is>
          <t>Vigo trgovina d.o.o.</t>
        </is>
      </c>
      <c r="E394" s="15" t="inlineStr">
        <is>
          <t>LV</t>
        </is>
      </c>
      <c r="F394" s="15" t="inlineStr">
        <is>
          <t>0.6/1 KV 4X50</t>
        </is>
      </c>
      <c r="G394" s="15" t="inlineStr">
        <is>
          <t>EX03</t>
        </is>
      </c>
      <c r="H394" s="15" t="inlineStr">
        <is>
          <t>Wooden Drums</t>
        </is>
      </c>
      <c r="I394" s="15" t="inlineStr">
        <is>
          <t>OK</t>
        </is>
      </c>
      <c r="J394" s="15" t="inlineStr">
        <is>
          <t>A</t>
        </is>
      </c>
      <c r="K394" s="15" t="inlineStr">
        <is>
          <t>Y</t>
        </is>
      </c>
      <c r="L394" s="15" t="n">
        <v>515</v>
      </c>
      <c r="M394" s="16" t="n">
        <v>0.24411</v>
      </c>
      <c r="N394" s="16" t="n">
        <v>0</v>
      </c>
      <c r="O394" s="16" t="n">
        <v>0</v>
      </c>
      <c r="P394" s="16" t="n">
        <v>0.24411</v>
      </c>
      <c r="Q394">
        <f>--($A394=IF('الداشبورد'!$B$5="الكل",$A394,'الداشبورد'!$B$5))</f>
        <v/>
      </c>
      <c r="R394">
        <f>--($E394=IF('الداشبورد'!$B$6="الكل",$E394,'الداشبورد'!$B$6))</f>
        <v/>
      </c>
      <c r="S394">
        <f>--($K394=IF('الداشبورد'!$B$7="الكل",$K394,IF('الداشبورد'!$B$7="تصدير","Y","N")))</f>
        <v/>
      </c>
      <c r="T394">
        <f>--($J394=IF('الداشبورد'!$B$8="الكل",$J394,IF('الداشبورد'!$B$8="AL","A","C")))</f>
        <v/>
      </c>
      <c r="U394">
        <f>--($I394=IF('الداشبورد'!$B$9="الكل",$I394,IF('الداشبورد'!$B$9="بدون حالة","P",'الداشبورد'!$B$9)))</f>
        <v/>
      </c>
      <c r="V394">
        <f>--($D394=IF('الداشبورد'!$B$10="الكل",$D394,'الداشبورد'!$B$10))</f>
        <v/>
      </c>
      <c r="W394">
        <f>--($G394=IF('الداشبورد'!$B$11="الكل",$G394,'الداشبورد'!$B$11))</f>
        <v/>
      </c>
      <c r="X394">
        <f>Q394*R394*S394*T394*U394*V394*W394*--($C394&lt;&gt;"")</f>
        <v/>
      </c>
    </row>
    <row r="395">
      <c r="A395" s="15" t="n">
        <v>5</v>
      </c>
      <c r="B395" s="15" t="inlineStr">
        <is>
          <t>G184664</t>
        </is>
      </c>
      <c r="C395" s="15" t="inlineStr">
        <is>
          <t>645/26/02</t>
        </is>
      </c>
      <c r="D395" s="15" t="inlineStr">
        <is>
          <t>Vigo trgovina d.o.o.</t>
        </is>
      </c>
      <c r="E395" s="15" t="inlineStr">
        <is>
          <t>LV</t>
        </is>
      </c>
      <c r="F395" s="15" t="inlineStr">
        <is>
          <t>0.6/1 KV 4X50</t>
        </is>
      </c>
      <c r="G395" s="15" t="inlineStr">
        <is>
          <t>EX03</t>
        </is>
      </c>
      <c r="H395" s="15" t="inlineStr">
        <is>
          <t>Wooden Drums</t>
        </is>
      </c>
      <c r="I395" s="15" t="inlineStr">
        <is>
          <t>OK</t>
        </is>
      </c>
      <c r="J395" s="15" t="inlineStr">
        <is>
          <t>A</t>
        </is>
      </c>
      <c r="K395" s="15" t="inlineStr">
        <is>
          <t>Y</t>
        </is>
      </c>
      <c r="L395" s="15" t="n">
        <v>512</v>
      </c>
      <c r="M395" s="16" t="n">
        <v>0.242688</v>
      </c>
      <c r="N395" s="16" t="n">
        <v>0</v>
      </c>
      <c r="O395" s="16" t="n">
        <v>0</v>
      </c>
      <c r="P395" s="16" t="n">
        <v>0.242688</v>
      </c>
      <c r="Q395">
        <f>--($A395=IF('الداشبورد'!$B$5="الكل",$A395,'الداشبورد'!$B$5))</f>
        <v/>
      </c>
      <c r="R395">
        <f>--($E395=IF('الداشبورد'!$B$6="الكل",$E395,'الداشبورد'!$B$6))</f>
        <v/>
      </c>
      <c r="S395">
        <f>--($K395=IF('الداشبورد'!$B$7="الكل",$K395,IF('الداشبورد'!$B$7="تصدير","Y","N")))</f>
        <v/>
      </c>
      <c r="T395">
        <f>--($J395=IF('الداشبورد'!$B$8="الكل",$J395,IF('الداشبورد'!$B$8="AL","A","C")))</f>
        <v/>
      </c>
      <c r="U395">
        <f>--($I395=IF('الداشبورد'!$B$9="الكل",$I395,IF('الداشبورد'!$B$9="بدون حالة","P",'الداشبورد'!$B$9)))</f>
        <v/>
      </c>
      <c r="V395">
        <f>--($D395=IF('الداشبورد'!$B$10="الكل",$D395,'الداشبورد'!$B$10))</f>
        <v/>
      </c>
      <c r="W395">
        <f>--($G395=IF('الداشبورد'!$B$11="الكل",$G395,'الداشبورد'!$B$11))</f>
        <v/>
      </c>
      <c r="X395">
        <f>Q395*R395*S395*T395*U395*V395*W395*--($C395&lt;&gt;"")</f>
        <v/>
      </c>
    </row>
    <row r="396">
      <c r="A396" s="15" t="n">
        <v>5</v>
      </c>
      <c r="B396" s="15" t="inlineStr">
        <is>
          <t>M184648</t>
        </is>
      </c>
      <c r="C396" s="15" t="inlineStr">
        <is>
          <t>1481/26/01</t>
        </is>
      </c>
      <c r="D396" s="15" t="inlineStr">
        <is>
          <t>Eland Cables</t>
        </is>
      </c>
      <c r="E396" s="15" t="inlineStr">
        <is>
          <t>MV</t>
        </is>
      </c>
      <c r="F396" s="15" t="inlineStr">
        <is>
          <t>12/20 KV 1X630</t>
        </is>
      </c>
      <c r="G396" s="15" t="inlineStr">
        <is>
          <t>EX06</t>
        </is>
      </c>
      <c r="H396" s="15" t="inlineStr">
        <is>
          <t>Wooden Drums</t>
        </is>
      </c>
      <c r="I396" s="15" t="inlineStr">
        <is>
          <t>OK</t>
        </is>
      </c>
      <c r="J396" s="15" t="inlineStr">
        <is>
          <t>A</t>
        </is>
      </c>
      <c r="K396" s="15" t="inlineStr">
        <is>
          <t>Y</t>
        </is>
      </c>
      <c r="L396" s="15" t="n">
        <v>610</v>
      </c>
      <c r="M396" s="16" t="n">
        <v>1.037</v>
      </c>
      <c r="N396" s="16" t="n">
        <v>0.09028</v>
      </c>
      <c r="O396" s="16" t="n">
        <v>0</v>
      </c>
      <c r="P396" s="16" t="n">
        <v>1.12728</v>
      </c>
      <c r="Q396">
        <f>--($A396=IF('الداشبورد'!$B$5="الكل",$A396,'الداشبورد'!$B$5))</f>
        <v/>
      </c>
      <c r="R396">
        <f>--($E396=IF('الداشبورد'!$B$6="الكل",$E396,'الداشبورد'!$B$6))</f>
        <v/>
      </c>
      <c r="S396">
        <f>--($K396=IF('الداشبورد'!$B$7="الكل",$K396,IF('الداشبورد'!$B$7="تصدير","Y","N")))</f>
        <v/>
      </c>
      <c r="T396">
        <f>--($J396=IF('الداشبورد'!$B$8="الكل",$J396,IF('الداشبورد'!$B$8="AL","A","C")))</f>
        <v/>
      </c>
      <c r="U396">
        <f>--($I396=IF('الداشبورد'!$B$9="الكل",$I396,IF('الداشبورد'!$B$9="بدون حالة","P",'الداشبورد'!$B$9)))</f>
        <v/>
      </c>
      <c r="V396">
        <f>--($D396=IF('الداشبورد'!$B$10="الكل",$D396,'الداشبورد'!$B$10))</f>
        <v/>
      </c>
      <c r="W396">
        <f>--($G396=IF('الداشبورد'!$B$11="الكل",$G396,'الداشبورد'!$B$11))</f>
        <v/>
      </c>
      <c r="X396">
        <f>Q396*R396*S396*T396*U396*V396*W396*--($C396&lt;&gt;"")</f>
        <v/>
      </c>
    </row>
    <row r="397">
      <c r="A397" s="15" t="n">
        <v>5</v>
      </c>
      <c r="B397" s="15" t="inlineStr">
        <is>
          <t>M184650</t>
        </is>
      </c>
      <c r="C397" s="15" t="inlineStr">
        <is>
          <t>1481/26/01</t>
        </is>
      </c>
      <c r="D397" s="15" t="inlineStr">
        <is>
          <t>Eland Cables</t>
        </is>
      </c>
      <c r="E397" s="15" t="inlineStr">
        <is>
          <t>MV</t>
        </is>
      </c>
      <c r="F397" s="15" t="inlineStr">
        <is>
          <t>12/20 KV 1X630</t>
        </is>
      </c>
      <c r="G397" s="15" t="inlineStr">
        <is>
          <t>EX06</t>
        </is>
      </c>
      <c r="H397" s="15" t="inlineStr">
        <is>
          <t>Wooden Drums</t>
        </is>
      </c>
      <c r="I397" s="15" t="inlineStr">
        <is>
          <t>OK</t>
        </is>
      </c>
      <c r="J397" s="15" t="inlineStr">
        <is>
          <t>A</t>
        </is>
      </c>
      <c r="K397" s="15" t="inlineStr">
        <is>
          <t>Y</t>
        </is>
      </c>
      <c r="L397" s="15" t="n">
        <v>615</v>
      </c>
      <c r="M397" s="16" t="n">
        <v>1.0455</v>
      </c>
      <c r="N397" s="16" t="n">
        <v>0.09101999999999999</v>
      </c>
      <c r="O397" s="16" t="n">
        <v>0</v>
      </c>
      <c r="P397" s="16" t="n">
        <v>1.13652</v>
      </c>
      <c r="Q397">
        <f>--($A397=IF('الداشبورد'!$B$5="الكل",$A397,'الداشبورد'!$B$5))</f>
        <v/>
      </c>
      <c r="R397">
        <f>--($E397=IF('الداشبورد'!$B$6="الكل",$E397,'الداشبورد'!$B$6))</f>
        <v/>
      </c>
      <c r="S397">
        <f>--($K397=IF('الداشبورد'!$B$7="الكل",$K397,IF('الداشبورد'!$B$7="تصدير","Y","N")))</f>
        <v/>
      </c>
      <c r="T397">
        <f>--($J397=IF('الداشبورد'!$B$8="الكل",$J397,IF('الداشبورد'!$B$8="AL","A","C")))</f>
        <v/>
      </c>
      <c r="U397">
        <f>--($I397=IF('الداشبورد'!$B$9="الكل",$I397,IF('الداشبورد'!$B$9="بدون حالة","P",'الداشبورد'!$B$9)))</f>
        <v/>
      </c>
      <c r="V397">
        <f>--($D397=IF('الداشبورد'!$B$10="الكل",$D397,'الداشبورد'!$B$10))</f>
        <v/>
      </c>
      <c r="W397">
        <f>--($G397=IF('الداشبورد'!$B$11="الكل",$G397,'الداشبورد'!$B$11))</f>
        <v/>
      </c>
      <c r="X397">
        <f>Q397*R397*S397*T397*U397*V397*W397*--($C397&lt;&gt;"")</f>
        <v/>
      </c>
    </row>
    <row r="398">
      <c r="A398" s="15" t="n">
        <v>5</v>
      </c>
      <c r="B398" s="15" t="inlineStr">
        <is>
          <t>M184688</t>
        </is>
      </c>
      <c r="C398" s="15" t="inlineStr">
        <is>
          <t>1481/26/01</t>
        </is>
      </c>
      <c r="D398" s="15" t="inlineStr">
        <is>
          <t>Eland Cables</t>
        </is>
      </c>
      <c r="E398" s="15" t="inlineStr">
        <is>
          <t>MV</t>
        </is>
      </c>
      <c r="F398" s="15" t="inlineStr">
        <is>
          <t>12/20 KV 1X630</t>
        </is>
      </c>
      <c r="G398" s="15" t="inlineStr">
        <is>
          <t>EX06</t>
        </is>
      </c>
      <c r="H398" s="15" t="inlineStr">
        <is>
          <t>Wooden Drums</t>
        </is>
      </c>
      <c r="I398" s="15" t="inlineStr">
        <is>
          <t>OK</t>
        </is>
      </c>
      <c r="J398" s="15" t="inlineStr">
        <is>
          <t>A</t>
        </is>
      </c>
      <c r="K398" s="15" t="inlineStr">
        <is>
          <t>Y</t>
        </is>
      </c>
      <c r="L398" s="15" t="n">
        <v>632</v>
      </c>
      <c r="M398" s="16" t="n">
        <v>1.0744</v>
      </c>
      <c r="N398" s="16" t="n">
        <v>0.09353600000000001</v>
      </c>
      <c r="O398" s="16" t="n">
        <v>0</v>
      </c>
      <c r="P398" s="16" t="n">
        <v>1.167936</v>
      </c>
      <c r="Q398">
        <f>--($A398=IF('الداشبورد'!$B$5="الكل",$A398,'الداشبورد'!$B$5))</f>
        <v/>
      </c>
      <c r="R398">
        <f>--($E398=IF('الداشبورد'!$B$6="الكل",$E398,'الداشبورد'!$B$6))</f>
        <v/>
      </c>
      <c r="S398">
        <f>--($K398=IF('الداشبورد'!$B$7="الكل",$K398,IF('الداشبورد'!$B$7="تصدير","Y","N")))</f>
        <v/>
      </c>
      <c r="T398">
        <f>--($J398=IF('الداشبورد'!$B$8="الكل",$J398,IF('الداشبورد'!$B$8="AL","A","C")))</f>
        <v/>
      </c>
      <c r="U398">
        <f>--($I398=IF('الداشبورد'!$B$9="الكل",$I398,IF('الداشبورد'!$B$9="بدون حالة","P",'الداشبورد'!$B$9)))</f>
        <v/>
      </c>
      <c r="V398">
        <f>--($D398=IF('الداشبورد'!$B$10="الكل",$D398,'الداشبورد'!$B$10))</f>
        <v/>
      </c>
      <c r="W398">
        <f>--($G398=IF('الداشبورد'!$B$11="الكل",$G398,'الداشبورد'!$B$11))</f>
        <v/>
      </c>
      <c r="X398">
        <f>Q398*R398*S398*T398*U398*V398*W398*--($C398&lt;&gt;"")</f>
        <v/>
      </c>
    </row>
    <row r="399">
      <c r="A399" s="15" t="n">
        <v>5</v>
      </c>
      <c r="B399" s="15" t="inlineStr">
        <is>
          <t>J182718</t>
        </is>
      </c>
      <c r="C399" s="15" t="inlineStr">
        <is>
          <t>1439/26/01</t>
        </is>
      </c>
      <c r="D399" s="15" t="inlineStr">
        <is>
          <t>2M KABLO SAN VE TIC A.S</t>
        </is>
      </c>
      <c r="E399" s="15" t="inlineStr">
        <is>
          <t>MV</t>
        </is>
      </c>
      <c r="F399" s="15" t="inlineStr">
        <is>
          <t>12/20KV 1*95</t>
        </is>
      </c>
      <c r="G399" s="15" t="inlineStr">
        <is>
          <t>EX09</t>
        </is>
      </c>
      <c r="H399" s="15" t="inlineStr">
        <is>
          <t>Wooden Drums</t>
        </is>
      </c>
      <c r="I399" s="15" t="inlineStr">
        <is>
          <t>OK</t>
        </is>
      </c>
      <c r="J399" s="15" t="inlineStr">
        <is>
          <t>A</t>
        </is>
      </c>
      <c r="K399" s="15" t="inlineStr">
        <is>
          <t>Y</t>
        </is>
      </c>
      <c r="L399" s="15" t="n">
        <v>996</v>
      </c>
      <c r="M399" s="16" t="n">
        <v>0.242028</v>
      </c>
      <c r="N399" s="16" t="n">
        <v>0.147408</v>
      </c>
      <c r="O399" s="16" t="n">
        <v>0</v>
      </c>
      <c r="P399" s="16" t="n">
        <v>0.389436</v>
      </c>
      <c r="Q399">
        <f>--($A399=IF('الداشبورد'!$B$5="الكل",$A399,'الداشبورد'!$B$5))</f>
        <v/>
      </c>
      <c r="R399">
        <f>--($E399=IF('الداشبورد'!$B$6="الكل",$E399,'الداشبورد'!$B$6))</f>
        <v/>
      </c>
      <c r="S399">
        <f>--($K399=IF('الداشبورد'!$B$7="الكل",$K399,IF('الداشبورد'!$B$7="تصدير","Y","N")))</f>
        <v/>
      </c>
      <c r="T399">
        <f>--($J399=IF('الداشبورد'!$B$8="الكل",$J399,IF('الداشبورد'!$B$8="AL","A","C")))</f>
        <v/>
      </c>
      <c r="U399">
        <f>--($I399=IF('الداشبورد'!$B$9="الكل",$I399,IF('الداشبورد'!$B$9="بدون حالة","P",'الداشبورد'!$B$9)))</f>
        <v/>
      </c>
      <c r="V399">
        <f>--($D399=IF('الداشبورد'!$B$10="الكل",$D399,'الداشبورد'!$B$10))</f>
        <v/>
      </c>
      <c r="W399">
        <f>--($G399=IF('الداشبورد'!$B$11="الكل",$G399,'الداشبورد'!$B$11))</f>
        <v/>
      </c>
      <c r="X399">
        <f>Q399*R399*S399*T399*U399*V399*W399*--($C399&lt;&gt;"")</f>
        <v/>
      </c>
    </row>
    <row r="400">
      <c r="A400" s="15" t="n">
        <v>5</v>
      </c>
      <c r="B400" s="15" t="inlineStr">
        <is>
          <t>P184422</t>
        </is>
      </c>
      <c r="C400" s="15" t="inlineStr">
        <is>
          <t>1385/26/11</t>
        </is>
      </c>
      <c r="D400" s="15" t="inlineStr">
        <is>
          <t>الشركة العربية للصناعة والتجارة الدولية</t>
        </is>
      </c>
      <c r="E400" s="15" t="inlineStr">
        <is>
          <t>LV</t>
        </is>
      </c>
      <c r="F400" s="15" t="inlineStr">
        <is>
          <t>0.6/1 KV 4*25</t>
        </is>
      </c>
      <c r="G400" s="15" t="inlineStr">
        <is>
          <t>EX13</t>
        </is>
      </c>
      <c r="H400" s="15" t="inlineStr">
        <is>
          <t>Wooden Drums</t>
        </is>
      </c>
      <c r="I400" s="15" t="inlineStr">
        <is>
          <t>OK</t>
        </is>
      </c>
      <c r="J400" s="15" t="inlineStr">
        <is>
          <t>A</t>
        </is>
      </c>
      <c r="K400" s="15" t="inlineStr">
        <is>
          <t>N</t>
        </is>
      </c>
      <c r="L400" s="15" t="n">
        <v>2015</v>
      </c>
      <c r="M400" s="16" t="n">
        <v>0.5198700000000001</v>
      </c>
      <c r="N400" s="16" t="n">
        <v>0</v>
      </c>
      <c r="O400" s="16" t="n">
        <v>0</v>
      </c>
      <c r="P400" s="16" t="n">
        <v>0.5198700000000001</v>
      </c>
      <c r="Q400">
        <f>--($A400=IF('الداشبورد'!$B$5="الكل",$A400,'الداشبورد'!$B$5))</f>
        <v/>
      </c>
      <c r="R400">
        <f>--($E400=IF('الداشبورد'!$B$6="الكل",$E400,'الداشبورد'!$B$6))</f>
        <v/>
      </c>
      <c r="S400">
        <f>--($K400=IF('الداشبورد'!$B$7="الكل",$K400,IF('الداشبورد'!$B$7="تصدير","Y","N")))</f>
        <v/>
      </c>
      <c r="T400">
        <f>--($J400=IF('الداشبورد'!$B$8="الكل",$J400,IF('الداشبورد'!$B$8="AL","A","C")))</f>
        <v/>
      </c>
      <c r="U400">
        <f>--($I400=IF('الداشبورد'!$B$9="الكل",$I400,IF('الداشبورد'!$B$9="بدون حالة","P",'الداشبورد'!$B$9)))</f>
        <v/>
      </c>
      <c r="V400">
        <f>--($D400=IF('الداشبورد'!$B$10="الكل",$D400,'الداشبورد'!$B$10))</f>
        <v/>
      </c>
      <c r="W400">
        <f>--($G400=IF('الداشبورد'!$B$11="الكل",$G400,'الداشبورد'!$B$11))</f>
        <v/>
      </c>
      <c r="X400">
        <f>Q400*R400*S400*T400*U400*V400*W400*--($C400&lt;&gt;"")</f>
        <v/>
      </c>
    </row>
    <row r="401">
      <c r="A401" s="15" t="n">
        <v>5</v>
      </c>
      <c r="B401" s="15" t="inlineStr">
        <is>
          <t>N184511</t>
        </is>
      </c>
      <c r="C401" s="15" t="inlineStr">
        <is>
          <t>1385/26/11</t>
        </is>
      </c>
      <c r="D401" s="15" t="inlineStr">
        <is>
          <t>الشركة العربية للصناعة والتجارة الدولية</t>
        </is>
      </c>
      <c r="E401" s="15" t="inlineStr">
        <is>
          <t>LV</t>
        </is>
      </c>
      <c r="F401" s="15" t="inlineStr">
        <is>
          <t>0.6/1 KV 4*25</t>
        </is>
      </c>
      <c r="G401" s="15" t="inlineStr">
        <is>
          <t>EX13</t>
        </is>
      </c>
      <c r="H401" s="15" t="inlineStr">
        <is>
          <t>Wooden Drums</t>
        </is>
      </c>
      <c r="I401" s="15" t="inlineStr">
        <is>
          <t>OK</t>
        </is>
      </c>
      <c r="J401" s="15" t="inlineStr">
        <is>
          <t>A</t>
        </is>
      </c>
      <c r="K401" s="15" t="inlineStr">
        <is>
          <t>N</t>
        </is>
      </c>
      <c r="L401" s="15" t="n">
        <v>2015</v>
      </c>
      <c r="M401" s="16" t="n">
        <v>0.5198700000000001</v>
      </c>
      <c r="N401" s="16" t="n">
        <v>0</v>
      </c>
      <c r="O401" s="16" t="n">
        <v>0</v>
      </c>
      <c r="P401" s="16" t="n">
        <v>0.5198700000000001</v>
      </c>
      <c r="Q401">
        <f>--($A401=IF('الداشبورد'!$B$5="الكل",$A401,'الداشبورد'!$B$5))</f>
        <v/>
      </c>
      <c r="R401">
        <f>--($E401=IF('الداشبورد'!$B$6="الكل",$E401,'الداشبورد'!$B$6))</f>
        <v/>
      </c>
      <c r="S401">
        <f>--($K401=IF('الداشبورد'!$B$7="الكل",$K401,IF('الداشبورد'!$B$7="تصدير","Y","N")))</f>
        <v/>
      </c>
      <c r="T401">
        <f>--($J401=IF('الداشبورد'!$B$8="الكل",$J401,IF('الداشبورد'!$B$8="AL","A","C")))</f>
        <v/>
      </c>
      <c r="U401">
        <f>--($I401=IF('الداشبورد'!$B$9="الكل",$I401,IF('الداشبورد'!$B$9="بدون حالة","P",'الداشبورد'!$B$9)))</f>
        <v/>
      </c>
      <c r="V401">
        <f>--($D401=IF('الداشبورد'!$B$10="الكل",$D401,'الداشبورد'!$B$10))</f>
        <v/>
      </c>
      <c r="W401">
        <f>--($G401=IF('الداشبورد'!$B$11="الكل",$G401,'الداشبورد'!$B$11))</f>
        <v/>
      </c>
      <c r="X401">
        <f>Q401*R401*S401*T401*U401*V401*W401*--($C401&lt;&gt;"")</f>
        <v/>
      </c>
    </row>
    <row r="402">
      <c r="A402" s="15" t="n">
        <v>5</v>
      </c>
      <c r="B402" s="15" t="inlineStr">
        <is>
          <t>L184552</t>
        </is>
      </c>
      <c r="C402" s="15" t="inlineStr">
        <is>
          <t>1385/26/11</t>
        </is>
      </c>
      <c r="D402" s="15" t="inlineStr">
        <is>
          <t>الشركة العربية للصناعة والتجارة الدولية</t>
        </is>
      </c>
      <c r="E402" s="15" t="inlineStr">
        <is>
          <t>LV</t>
        </is>
      </c>
      <c r="F402" s="15" t="inlineStr">
        <is>
          <t>0.6/1 KV 4*25</t>
        </is>
      </c>
      <c r="G402" s="15" t="inlineStr">
        <is>
          <t>EX13</t>
        </is>
      </c>
      <c r="H402" s="15" t="inlineStr">
        <is>
          <t>Wooden Drums</t>
        </is>
      </c>
      <c r="I402" s="15" t="inlineStr">
        <is>
          <t>OK</t>
        </is>
      </c>
      <c r="J402" s="15" t="inlineStr">
        <is>
          <t>A</t>
        </is>
      </c>
      <c r="K402" s="15" t="inlineStr">
        <is>
          <t>N</t>
        </is>
      </c>
      <c r="L402" s="15" t="n">
        <v>1917</v>
      </c>
      <c r="M402" s="16" t="n">
        <v>0.494586</v>
      </c>
      <c r="N402" s="16" t="n">
        <v>0</v>
      </c>
      <c r="O402" s="16" t="n">
        <v>0</v>
      </c>
      <c r="P402" s="16" t="n">
        <v>0.494586</v>
      </c>
      <c r="Q402">
        <f>--($A402=IF('الداشبورد'!$B$5="الكل",$A402,'الداشبورد'!$B$5))</f>
        <v/>
      </c>
      <c r="R402">
        <f>--($E402=IF('الداشبورد'!$B$6="الكل",$E402,'الداشبورد'!$B$6))</f>
        <v/>
      </c>
      <c r="S402">
        <f>--($K402=IF('الداشبورد'!$B$7="الكل",$K402,IF('الداشبورد'!$B$7="تصدير","Y","N")))</f>
        <v/>
      </c>
      <c r="T402">
        <f>--($J402=IF('الداشبورد'!$B$8="الكل",$J402,IF('الداشبورد'!$B$8="AL","A","C")))</f>
        <v/>
      </c>
      <c r="U402">
        <f>--($I402=IF('الداشبورد'!$B$9="الكل",$I402,IF('الداشبورد'!$B$9="بدون حالة","P",'الداشبورد'!$B$9)))</f>
        <v/>
      </c>
      <c r="V402">
        <f>--($D402=IF('الداشبورد'!$B$10="الكل",$D402,'الداشبورد'!$B$10))</f>
        <v/>
      </c>
      <c r="W402">
        <f>--($G402=IF('الداشبورد'!$B$11="الكل",$G402,'الداشبورد'!$B$11))</f>
        <v/>
      </c>
      <c r="X402">
        <f>Q402*R402*S402*T402*U402*V402*W402*--($C402&lt;&gt;"")</f>
        <v/>
      </c>
    </row>
    <row r="403">
      <c r="A403" s="15" t="n">
        <v>5</v>
      </c>
      <c r="B403" s="15" t="inlineStr">
        <is>
          <t>L184510</t>
        </is>
      </c>
      <c r="C403" s="15" t="inlineStr">
        <is>
          <t>1385/26/11</t>
        </is>
      </c>
      <c r="D403" s="15" t="inlineStr">
        <is>
          <t>الشركة العربية للصناعة والتجارة الدولية</t>
        </is>
      </c>
      <c r="E403" s="15" t="inlineStr">
        <is>
          <t>LV</t>
        </is>
      </c>
      <c r="F403" s="15" t="inlineStr">
        <is>
          <t>0.6/1 KV 4*25</t>
        </is>
      </c>
      <c r="G403" s="15" t="inlineStr">
        <is>
          <t>EX13</t>
        </is>
      </c>
      <c r="H403" s="15" t="inlineStr">
        <is>
          <t>Wooden Drums</t>
        </is>
      </c>
      <c r="I403" s="15" t="inlineStr">
        <is>
          <t>OK</t>
        </is>
      </c>
      <c r="J403" s="15" t="inlineStr">
        <is>
          <t>A</t>
        </is>
      </c>
      <c r="K403" s="15" t="inlineStr">
        <is>
          <t>N</t>
        </is>
      </c>
      <c r="L403" s="15" t="n">
        <v>2010</v>
      </c>
      <c r="M403" s="16" t="n">
        <v>0.51858</v>
      </c>
      <c r="N403" s="16" t="n">
        <v>0</v>
      </c>
      <c r="O403" s="16" t="n">
        <v>0</v>
      </c>
      <c r="P403" s="16" t="n">
        <v>0.51858</v>
      </c>
      <c r="Q403">
        <f>--($A403=IF('الداشبورد'!$B$5="الكل",$A403,'الداشبورد'!$B$5))</f>
        <v/>
      </c>
      <c r="R403">
        <f>--($E403=IF('الداشبورد'!$B$6="الكل",$E403,'الداشبورد'!$B$6))</f>
        <v/>
      </c>
      <c r="S403">
        <f>--($K403=IF('الداشبورد'!$B$7="الكل",$K403,IF('الداشبورد'!$B$7="تصدير","Y","N")))</f>
        <v/>
      </c>
      <c r="T403">
        <f>--($J403=IF('الداشبورد'!$B$8="الكل",$J403,IF('الداشبورد'!$B$8="AL","A","C")))</f>
        <v/>
      </c>
      <c r="U403">
        <f>--($I403=IF('الداشبورد'!$B$9="الكل",$I403,IF('الداشبورد'!$B$9="بدون حالة","P",'الداشبورد'!$B$9)))</f>
        <v/>
      </c>
      <c r="V403">
        <f>--($D403=IF('الداشبورد'!$B$10="الكل",$D403,'الداشبورد'!$B$10))</f>
        <v/>
      </c>
      <c r="W403">
        <f>--($G403=IF('الداشبورد'!$B$11="الكل",$G403,'الداشبورد'!$B$11))</f>
        <v/>
      </c>
      <c r="X403">
        <f>Q403*R403*S403*T403*U403*V403*W403*--($C403&lt;&gt;"")</f>
        <v/>
      </c>
    </row>
    <row r="404">
      <c r="A404" s="15" t="n">
        <v>5</v>
      </c>
      <c r="B404" s="15" t="inlineStr">
        <is>
          <t>L184512</t>
        </is>
      </c>
      <c r="C404" s="15" t="inlineStr">
        <is>
          <t>1385/26/11</t>
        </is>
      </c>
      <c r="D404" s="15" t="inlineStr">
        <is>
          <t>الشركة العربية للصناعة والتجارة الدولية</t>
        </is>
      </c>
      <c r="E404" s="15" t="inlineStr">
        <is>
          <t>LV</t>
        </is>
      </c>
      <c r="F404" s="15" t="inlineStr">
        <is>
          <t>0.6/1 KV 4*25</t>
        </is>
      </c>
      <c r="G404" s="15" t="inlineStr">
        <is>
          <t>EX13</t>
        </is>
      </c>
      <c r="H404" s="15" t="inlineStr">
        <is>
          <t>Wooden Drums</t>
        </is>
      </c>
      <c r="I404" s="15" t="inlineStr">
        <is>
          <t>OK</t>
        </is>
      </c>
      <c r="J404" s="15" t="inlineStr">
        <is>
          <t>A</t>
        </is>
      </c>
      <c r="K404" s="15" t="inlineStr">
        <is>
          <t>N</t>
        </is>
      </c>
      <c r="L404" s="15" t="n">
        <v>2010</v>
      </c>
      <c r="M404" s="16" t="n">
        <v>0.51858</v>
      </c>
      <c r="N404" s="16" t="n">
        <v>0</v>
      </c>
      <c r="O404" s="16" t="n">
        <v>0</v>
      </c>
      <c r="P404" s="16" t="n">
        <v>0.51858</v>
      </c>
      <c r="Q404">
        <f>--($A404=IF('الداشبورد'!$B$5="الكل",$A404,'الداشبورد'!$B$5))</f>
        <v/>
      </c>
      <c r="R404">
        <f>--($E404=IF('الداشبورد'!$B$6="الكل",$E404,'الداشبورد'!$B$6))</f>
        <v/>
      </c>
      <c r="S404">
        <f>--($K404=IF('الداشبورد'!$B$7="الكل",$K404,IF('الداشبورد'!$B$7="تصدير","Y","N")))</f>
        <v/>
      </c>
      <c r="T404">
        <f>--($J404=IF('الداشبورد'!$B$8="الكل",$J404,IF('الداشبورد'!$B$8="AL","A","C")))</f>
        <v/>
      </c>
      <c r="U404">
        <f>--($I404=IF('الداشبورد'!$B$9="الكل",$I404,IF('الداشبورد'!$B$9="بدون حالة","P",'الداشبورد'!$B$9)))</f>
        <v/>
      </c>
      <c r="V404">
        <f>--($D404=IF('الداشبورد'!$B$10="الكل",$D404,'الداشبورد'!$B$10))</f>
        <v/>
      </c>
      <c r="W404">
        <f>--($G404=IF('الداشبورد'!$B$11="الكل",$G404,'الداشبورد'!$B$11))</f>
        <v/>
      </c>
      <c r="X404">
        <f>Q404*R404*S404*T404*U404*V404*W404*--($C404&lt;&gt;"")</f>
        <v/>
      </c>
    </row>
    <row r="405">
      <c r="A405" s="15" t="n">
        <v>5</v>
      </c>
      <c r="B405" s="15" t="inlineStr">
        <is>
          <t>L184513</t>
        </is>
      </c>
      <c r="C405" s="15" t="inlineStr">
        <is>
          <t>1385/26/11</t>
        </is>
      </c>
      <c r="D405" s="15" t="inlineStr">
        <is>
          <t>الشركة العربية للصناعة والتجارة الدولية</t>
        </is>
      </c>
      <c r="E405" s="15" t="inlineStr">
        <is>
          <t>LV</t>
        </is>
      </c>
      <c r="F405" s="15" t="inlineStr">
        <is>
          <t>0.6/1 KV 4*25</t>
        </is>
      </c>
      <c r="G405" s="15" t="inlineStr">
        <is>
          <t>EX13</t>
        </is>
      </c>
      <c r="H405" s="15" t="inlineStr">
        <is>
          <t>Wooden Drums</t>
        </is>
      </c>
      <c r="I405" s="15" t="inlineStr">
        <is>
          <t>OK</t>
        </is>
      </c>
      <c r="J405" s="15" t="inlineStr">
        <is>
          <t>A</t>
        </is>
      </c>
      <c r="K405" s="15" t="inlineStr">
        <is>
          <t>N</t>
        </is>
      </c>
      <c r="L405" s="15" t="n">
        <v>2030</v>
      </c>
      <c r="M405" s="16" t="n">
        <v>0.52374</v>
      </c>
      <c r="N405" s="16" t="n">
        <v>0</v>
      </c>
      <c r="O405" s="16" t="n">
        <v>0</v>
      </c>
      <c r="P405" s="16" t="n">
        <v>0.52374</v>
      </c>
      <c r="Q405">
        <f>--($A405=IF('الداشبورد'!$B$5="الكل",$A405,'الداشبورد'!$B$5))</f>
        <v/>
      </c>
      <c r="R405">
        <f>--($E405=IF('الداشبورد'!$B$6="الكل",$E405,'الداشبورد'!$B$6))</f>
        <v/>
      </c>
      <c r="S405">
        <f>--($K405=IF('الداشبورد'!$B$7="الكل",$K405,IF('الداشبورد'!$B$7="تصدير","Y","N")))</f>
        <v/>
      </c>
      <c r="T405">
        <f>--($J405=IF('الداشبورد'!$B$8="الكل",$J405,IF('الداشبورد'!$B$8="AL","A","C")))</f>
        <v/>
      </c>
      <c r="U405">
        <f>--($I405=IF('الداشبورد'!$B$9="الكل",$I405,IF('الداشبورد'!$B$9="بدون حالة","P",'الداشبورد'!$B$9)))</f>
        <v/>
      </c>
      <c r="V405">
        <f>--($D405=IF('الداشبورد'!$B$10="الكل",$D405,'الداشبورد'!$B$10))</f>
        <v/>
      </c>
      <c r="W405">
        <f>--($G405=IF('الداشبورد'!$B$11="الكل",$G405,'الداشبورد'!$B$11))</f>
        <v/>
      </c>
      <c r="X405">
        <f>Q405*R405*S405*T405*U405*V405*W405*--($C405&lt;&gt;"")</f>
        <v/>
      </c>
    </row>
    <row r="406">
      <c r="A406" s="15" t="n">
        <v>5</v>
      </c>
      <c r="B406" s="15" t="inlineStr">
        <is>
          <t>J184176</t>
        </is>
      </c>
      <c r="C406" s="15" t="inlineStr">
        <is>
          <t>1385/26/11</t>
        </is>
      </c>
      <c r="D406" s="15" t="inlineStr">
        <is>
          <t>الشركة العربية للصناعة والتجارة الدولية</t>
        </is>
      </c>
      <c r="E406" s="15" t="inlineStr">
        <is>
          <t>LV</t>
        </is>
      </c>
      <c r="F406" s="15" t="inlineStr">
        <is>
          <t>0.6/1 KV 4*25</t>
        </is>
      </c>
      <c r="G406" s="15" t="inlineStr">
        <is>
          <t>EX13</t>
        </is>
      </c>
      <c r="H406" s="15" t="inlineStr">
        <is>
          <t>Wooden Drums</t>
        </is>
      </c>
      <c r="I406" s="15" t="inlineStr">
        <is>
          <t>OK</t>
        </is>
      </c>
      <c r="J406" s="15" t="inlineStr">
        <is>
          <t>A</t>
        </is>
      </c>
      <c r="K406" s="15" t="inlineStr">
        <is>
          <t>N</t>
        </is>
      </c>
      <c r="L406" s="15" t="n">
        <v>970</v>
      </c>
      <c r="M406" s="16" t="n">
        <v>0.25026</v>
      </c>
      <c r="N406" s="16" t="n">
        <v>0</v>
      </c>
      <c r="O406" s="16" t="n">
        <v>0</v>
      </c>
      <c r="P406" s="16" t="n">
        <v>0.25026</v>
      </c>
      <c r="Q406">
        <f>--($A406=IF('الداشبورد'!$B$5="الكل",$A406,'الداشبورد'!$B$5))</f>
        <v/>
      </c>
      <c r="R406">
        <f>--($E406=IF('الداشبورد'!$B$6="الكل",$E406,'الداشبورد'!$B$6))</f>
        <v/>
      </c>
      <c r="S406">
        <f>--($K406=IF('الداشبورد'!$B$7="الكل",$K406,IF('الداشبورد'!$B$7="تصدير","Y","N")))</f>
        <v/>
      </c>
      <c r="T406">
        <f>--($J406=IF('الداشبورد'!$B$8="الكل",$J406,IF('الداشبورد'!$B$8="AL","A","C")))</f>
        <v/>
      </c>
      <c r="U406">
        <f>--($I406=IF('الداشبورد'!$B$9="الكل",$I406,IF('الداشبورد'!$B$9="بدون حالة","P",'الداشبورد'!$B$9)))</f>
        <v/>
      </c>
      <c r="V406">
        <f>--($D406=IF('الداشبورد'!$B$10="الكل",$D406,'الداشبورد'!$B$10))</f>
        <v/>
      </c>
      <c r="W406">
        <f>--($G406=IF('الداشبورد'!$B$11="الكل",$G406,'الداشبورد'!$B$11))</f>
        <v/>
      </c>
      <c r="X406">
        <f>Q406*R406*S406*T406*U406*V406*W406*--($C406&lt;&gt;"")</f>
        <v/>
      </c>
    </row>
    <row r="407">
      <c r="A407" s="15" t="n">
        <v>5</v>
      </c>
      <c r="B407" s="15" t="inlineStr">
        <is>
          <t>J184303</t>
        </is>
      </c>
      <c r="C407" s="15" t="inlineStr">
        <is>
          <t>1385/26/11</t>
        </is>
      </c>
      <c r="D407" s="15" t="inlineStr">
        <is>
          <t>الشركة العربية للصناعة والتجارة الدولية</t>
        </is>
      </c>
      <c r="E407" s="15" t="inlineStr">
        <is>
          <t>LV</t>
        </is>
      </c>
      <c r="F407" s="15" t="inlineStr">
        <is>
          <t>0.6/1 KV 4*25</t>
        </is>
      </c>
      <c r="G407" s="15" t="inlineStr">
        <is>
          <t>EX13</t>
        </is>
      </c>
      <c r="H407" s="15" t="inlineStr">
        <is>
          <t>Wooden Drums</t>
        </is>
      </c>
      <c r="I407" s="15" t="inlineStr">
        <is>
          <t>OK</t>
        </is>
      </c>
      <c r="J407" s="15" t="inlineStr">
        <is>
          <t>A</t>
        </is>
      </c>
      <c r="K407" s="15" t="inlineStr">
        <is>
          <t>N</t>
        </is>
      </c>
      <c r="L407" s="15" t="n">
        <v>545</v>
      </c>
      <c r="M407" s="16" t="n">
        <v>0.14061</v>
      </c>
      <c r="N407" s="16" t="n">
        <v>0</v>
      </c>
      <c r="O407" s="16" t="n">
        <v>0</v>
      </c>
      <c r="P407" s="16" t="n">
        <v>0.14061</v>
      </c>
      <c r="Q407">
        <f>--($A407=IF('الداشبورد'!$B$5="الكل",$A407,'الداشبورد'!$B$5))</f>
        <v/>
      </c>
      <c r="R407">
        <f>--($E407=IF('الداشبورد'!$B$6="الكل",$E407,'الداشبورد'!$B$6))</f>
        <v/>
      </c>
      <c r="S407">
        <f>--($K407=IF('الداشبورد'!$B$7="الكل",$K407,IF('الداشبورد'!$B$7="تصدير","Y","N")))</f>
        <v/>
      </c>
      <c r="T407">
        <f>--($J407=IF('الداشبورد'!$B$8="الكل",$J407,IF('الداشبورد'!$B$8="AL","A","C")))</f>
        <v/>
      </c>
      <c r="U407">
        <f>--($I407=IF('الداشبورد'!$B$9="الكل",$I407,IF('الداشبورد'!$B$9="بدون حالة","P",'الداشبورد'!$B$9)))</f>
        <v/>
      </c>
      <c r="V407">
        <f>--($D407=IF('الداشبورد'!$B$10="الكل",$D407,'الداشبورد'!$B$10))</f>
        <v/>
      </c>
      <c r="W407">
        <f>--($G407=IF('الداشبورد'!$B$11="الكل",$G407,'الداشبورد'!$B$11))</f>
        <v/>
      </c>
      <c r="X407">
        <f>Q407*R407*S407*T407*U407*V407*W407*--($C407&lt;&gt;"")</f>
        <v/>
      </c>
    </row>
    <row r="408">
      <c r="A408" s="15" t="n">
        <v>5</v>
      </c>
      <c r="B408" s="15" t="inlineStr">
        <is>
          <t>J184304</t>
        </is>
      </c>
      <c r="C408" s="15" t="inlineStr">
        <is>
          <t>1385/26/11</t>
        </is>
      </c>
      <c r="D408" s="15" t="inlineStr">
        <is>
          <t>الشركة العربية للصناعة والتجارة الدولية</t>
        </is>
      </c>
      <c r="E408" s="15" t="inlineStr">
        <is>
          <t>LV</t>
        </is>
      </c>
      <c r="F408" s="15" t="inlineStr">
        <is>
          <t>0.6/1 KV 4*25</t>
        </is>
      </c>
      <c r="G408" s="15" t="inlineStr">
        <is>
          <t>EX13</t>
        </is>
      </c>
      <c r="H408" s="15" t="inlineStr">
        <is>
          <t>Wooden Drums</t>
        </is>
      </c>
      <c r="I408" s="15" t="inlineStr">
        <is>
          <t>OK</t>
        </is>
      </c>
      <c r="J408" s="15" t="inlineStr">
        <is>
          <t>A</t>
        </is>
      </c>
      <c r="K408" s="15" t="inlineStr">
        <is>
          <t>N</t>
        </is>
      </c>
      <c r="L408" s="15" t="n">
        <v>540</v>
      </c>
      <c r="M408" s="16" t="n">
        <v>0.13932</v>
      </c>
      <c r="N408" s="16" t="n">
        <v>0</v>
      </c>
      <c r="O408" s="16" t="n">
        <v>0</v>
      </c>
      <c r="P408" s="16" t="n">
        <v>0.13932</v>
      </c>
      <c r="Q408">
        <f>--($A408=IF('الداشبورد'!$B$5="الكل",$A408,'الداشبورد'!$B$5))</f>
        <v/>
      </c>
      <c r="R408">
        <f>--($E408=IF('الداشبورد'!$B$6="الكل",$E408,'الداشبورد'!$B$6))</f>
        <v/>
      </c>
      <c r="S408">
        <f>--($K408=IF('الداشبورد'!$B$7="الكل",$K408,IF('الداشبورد'!$B$7="تصدير","Y","N")))</f>
        <v/>
      </c>
      <c r="T408">
        <f>--($J408=IF('الداشبورد'!$B$8="الكل",$J408,IF('الداشبورد'!$B$8="AL","A","C")))</f>
        <v/>
      </c>
      <c r="U408">
        <f>--($I408=IF('الداشبورد'!$B$9="الكل",$I408,IF('الداشبورد'!$B$9="بدون حالة","P",'الداشبورد'!$B$9)))</f>
        <v/>
      </c>
      <c r="V408">
        <f>--($D408=IF('الداشبورد'!$B$10="الكل",$D408,'الداشبورد'!$B$10))</f>
        <v/>
      </c>
      <c r="W408">
        <f>--($G408=IF('الداشبورد'!$B$11="الكل",$G408,'الداشبورد'!$B$11))</f>
        <v/>
      </c>
      <c r="X408">
        <f>Q408*R408*S408*T408*U408*V408*W408*--($C408&lt;&gt;"")</f>
        <v/>
      </c>
    </row>
    <row r="409">
      <c r="A409" s="15" t="n">
        <v>5</v>
      </c>
      <c r="B409" s="15" t="inlineStr">
        <is>
          <t>L184554</t>
        </is>
      </c>
      <c r="C409" s="15" t="inlineStr">
        <is>
          <t>1385/26/11</t>
        </is>
      </c>
      <c r="D409" s="15" t="inlineStr">
        <is>
          <t>الشركة العربية للصناعة والتجارة الدولية</t>
        </is>
      </c>
      <c r="E409" s="15" t="inlineStr">
        <is>
          <t>LV</t>
        </is>
      </c>
      <c r="F409" s="15" t="inlineStr">
        <is>
          <t>0.6/1 KV 4*25</t>
        </is>
      </c>
      <c r="G409" s="15" t="inlineStr">
        <is>
          <t>EX13</t>
        </is>
      </c>
      <c r="H409" s="15" t="inlineStr">
        <is>
          <t>Wooden Drums</t>
        </is>
      </c>
      <c r="I409" s="15" t="inlineStr">
        <is>
          <t>OK</t>
        </is>
      </c>
      <c r="J409" s="15" t="inlineStr">
        <is>
          <t>A</t>
        </is>
      </c>
      <c r="K409" s="15" t="inlineStr">
        <is>
          <t>N</t>
        </is>
      </c>
      <c r="L409" s="15" t="n">
        <v>2042</v>
      </c>
      <c r="M409" s="16" t="n">
        <v>0.526836</v>
      </c>
      <c r="N409" s="16" t="n">
        <v>0</v>
      </c>
      <c r="O409" s="16" t="n">
        <v>0</v>
      </c>
      <c r="P409" s="16" t="n">
        <v>0.526836</v>
      </c>
      <c r="Q409">
        <f>--($A409=IF('الداشبورد'!$B$5="الكل",$A409,'الداشبورد'!$B$5))</f>
        <v/>
      </c>
      <c r="R409">
        <f>--($E409=IF('الداشبورد'!$B$6="الكل",$E409,'الداشبورد'!$B$6))</f>
        <v/>
      </c>
      <c r="S409">
        <f>--($K409=IF('الداشبورد'!$B$7="الكل",$K409,IF('الداشبورد'!$B$7="تصدير","Y","N")))</f>
        <v/>
      </c>
      <c r="T409">
        <f>--($J409=IF('الداشبورد'!$B$8="الكل",$J409,IF('الداشبورد'!$B$8="AL","A","C")))</f>
        <v/>
      </c>
      <c r="U409">
        <f>--($I409=IF('الداشبورد'!$B$9="الكل",$I409,IF('الداشبورد'!$B$9="بدون حالة","P",'الداشبورد'!$B$9)))</f>
        <v/>
      </c>
      <c r="V409">
        <f>--($D409=IF('الداشبورد'!$B$10="الكل",$D409,'الداشبورد'!$B$10))</f>
        <v/>
      </c>
      <c r="W409">
        <f>--($G409=IF('الداشبورد'!$B$11="الكل",$G409,'الداشبورد'!$B$11))</f>
        <v/>
      </c>
      <c r="X409">
        <f>Q409*R409*S409*T409*U409*V409*W409*--($C409&lt;&gt;"")</f>
        <v/>
      </c>
    </row>
    <row r="410">
      <c r="A410" s="15" t="n">
        <v>5</v>
      </c>
      <c r="B410" s="15" t="inlineStr">
        <is>
          <t>M184672</t>
        </is>
      </c>
      <c r="C410" s="15" t="inlineStr">
        <is>
          <t>1385/26/11</t>
        </is>
      </c>
      <c r="D410" s="15" t="inlineStr">
        <is>
          <t>الشركة العربية للصناعة والتجارة الدولية</t>
        </is>
      </c>
      <c r="E410" s="15" t="inlineStr">
        <is>
          <t>LV</t>
        </is>
      </c>
      <c r="F410" s="15" t="inlineStr">
        <is>
          <t>0.6/1 KV 4*25</t>
        </is>
      </c>
      <c r="G410" s="15" t="inlineStr">
        <is>
          <t>EX13</t>
        </is>
      </c>
      <c r="H410" s="15" t="inlineStr">
        <is>
          <t>Wooden Drums</t>
        </is>
      </c>
      <c r="I410" s="15" t="inlineStr">
        <is>
          <t>OK</t>
        </is>
      </c>
      <c r="J410" s="15" t="inlineStr">
        <is>
          <t>A</t>
        </is>
      </c>
      <c r="K410" s="15" t="inlineStr">
        <is>
          <t>N</t>
        </is>
      </c>
      <c r="L410" s="15" t="n">
        <v>1960</v>
      </c>
      <c r="M410" s="16" t="n">
        <v>0.50568</v>
      </c>
      <c r="N410" s="16" t="n">
        <v>0</v>
      </c>
      <c r="O410" s="16" t="n">
        <v>0</v>
      </c>
      <c r="P410" s="16" t="n">
        <v>0.50568</v>
      </c>
      <c r="Q410">
        <f>--($A410=IF('الداشبورد'!$B$5="الكل",$A410,'الداشبورد'!$B$5))</f>
        <v/>
      </c>
      <c r="R410">
        <f>--($E410=IF('الداشبورد'!$B$6="الكل",$E410,'الداشبورد'!$B$6))</f>
        <v/>
      </c>
      <c r="S410">
        <f>--($K410=IF('الداشبورد'!$B$7="الكل",$K410,IF('الداشبورد'!$B$7="تصدير","Y","N")))</f>
        <v/>
      </c>
      <c r="T410">
        <f>--($J410=IF('الداشبورد'!$B$8="الكل",$J410,IF('الداشبورد'!$B$8="AL","A","C")))</f>
        <v/>
      </c>
      <c r="U410">
        <f>--($I410=IF('الداشبورد'!$B$9="الكل",$I410,IF('الداشبورد'!$B$9="بدون حالة","P",'الداشبورد'!$B$9)))</f>
        <v/>
      </c>
      <c r="V410">
        <f>--($D410=IF('الداشبورد'!$B$10="الكل",$D410,'الداشبورد'!$B$10))</f>
        <v/>
      </c>
      <c r="W410">
        <f>--($G410=IF('الداشبورد'!$B$11="الكل",$G410,'الداشبورد'!$B$11))</f>
        <v/>
      </c>
      <c r="X410">
        <f>Q410*R410*S410*T410*U410*V410*W410*--($C410&lt;&gt;"")</f>
        <v/>
      </c>
    </row>
    <row r="411">
      <c r="A411" s="15" t="n">
        <v>5</v>
      </c>
      <c r="B411" s="15" t="inlineStr">
        <is>
          <t>M184669</t>
        </is>
      </c>
      <c r="C411" s="15" t="inlineStr">
        <is>
          <t>1385/26/12</t>
        </is>
      </c>
      <c r="D411" s="15" t="inlineStr">
        <is>
          <t>الشركة العربية للصناعة والتجارة الدولية</t>
        </is>
      </c>
      <c r="E411" s="15" t="inlineStr">
        <is>
          <t>LV</t>
        </is>
      </c>
      <c r="F411" s="15" t="inlineStr">
        <is>
          <t>0.6/1 KV 3X25+16</t>
        </is>
      </c>
      <c r="G411" s="15" t="inlineStr">
        <is>
          <t>EX13</t>
        </is>
      </c>
      <c r="H411" s="15" t="inlineStr">
        <is>
          <t>Wooden Drums</t>
        </is>
      </c>
      <c r="I411" s="15" t="inlineStr">
        <is>
          <t>OK</t>
        </is>
      </c>
      <c r="J411" s="15" t="inlineStr">
        <is>
          <t>A</t>
        </is>
      </c>
      <c r="K411" s="15" t="inlineStr">
        <is>
          <t>N</t>
        </is>
      </c>
      <c r="L411" s="15" t="n">
        <v>2020</v>
      </c>
      <c r="M411" s="16" t="n">
        <v>0.4747</v>
      </c>
      <c r="N411" s="16" t="n">
        <v>0</v>
      </c>
      <c r="O411" s="16" t="n">
        <v>0</v>
      </c>
      <c r="P411" s="16" t="n">
        <v>0.4747</v>
      </c>
      <c r="Q411">
        <f>--($A411=IF('الداشبورد'!$B$5="الكل",$A411,'الداشبورد'!$B$5))</f>
        <v/>
      </c>
      <c r="R411">
        <f>--($E411=IF('الداشبورد'!$B$6="الكل",$E411,'الداشبورد'!$B$6))</f>
        <v/>
      </c>
      <c r="S411">
        <f>--($K411=IF('الداشبورد'!$B$7="الكل",$K411,IF('الداشبورد'!$B$7="تصدير","Y","N")))</f>
        <v/>
      </c>
      <c r="T411">
        <f>--($J411=IF('الداشبورد'!$B$8="الكل",$J411,IF('الداشبورد'!$B$8="AL","A","C")))</f>
        <v/>
      </c>
      <c r="U411">
        <f>--($I411=IF('الداشبورد'!$B$9="الكل",$I411,IF('الداشبورد'!$B$9="بدون حالة","P",'الداشبورد'!$B$9)))</f>
        <v/>
      </c>
      <c r="V411">
        <f>--($D411=IF('الداشبورد'!$B$10="الكل",$D411,'الداشبورد'!$B$10))</f>
        <v/>
      </c>
      <c r="W411">
        <f>--($G411=IF('الداشبورد'!$B$11="الكل",$G411,'الداشبورد'!$B$11))</f>
        <v/>
      </c>
      <c r="X411">
        <f>Q411*R411*S411*T411*U411*V411*W411*--($C411&lt;&gt;"")</f>
        <v/>
      </c>
    </row>
    <row r="412">
      <c r="A412" s="15" t="n">
        <v>5</v>
      </c>
      <c r="B412" s="15" t="inlineStr">
        <is>
          <t>L184681</t>
        </is>
      </c>
      <c r="C412" s="15" t="inlineStr">
        <is>
          <t>1385/26/12</t>
        </is>
      </c>
      <c r="D412" s="15" t="inlineStr">
        <is>
          <t>الشركة العربية للصناعة والتجارة الدولية</t>
        </is>
      </c>
      <c r="E412" s="15" t="inlineStr">
        <is>
          <t>LV</t>
        </is>
      </c>
      <c r="F412" s="15" t="inlineStr">
        <is>
          <t>0.6/1 KV 3X25+16</t>
        </is>
      </c>
      <c r="G412" s="15" t="inlineStr">
        <is>
          <t>EX13</t>
        </is>
      </c>
      <c r="H412" s="15" t="inlineStr">
        <is>
          <t>Wooden Drums</t>
        </is>
      </c>
      <c r="I412" s="15" t="inlineStr">
        <is>
          <t>OK</t>
        </is>
      </c>
      <c r="J412" s="15" t="inlineStr">
        <is>
          <t>A</t>
        </is>
      </c>
      <c r="K412" s="15" t="inlineStr">
        <is>
          <t>N</t>
        </is>
      </c>
      <c r="L412" s="15" t="n">
        <v>2030</v>
      </c>
      <c r="M412" s="16" t="n">
        <v>0.47705</v>
      </c>
      <c r="N412" s="16" t="n">
        <v>0</v>
      </c>
      <c r="O412" s="16" t="n">
        <v>0</v>
      </c>
      <c r="P412" s="16" t="n">
        <v>0.47705</v>
      </c>
      <c r="Q412">
        <f>--($A412=IF('الداشبورد'!$B$5="الكل",$A412,'الداشبورد'!$B$5))</f>
        <v/>
      </c>
      <c r="R412">
        <f>--($E412=IF('الداشبورد'!$B$6="الكل",$E412,'الداشبورد'!$B$6))</f>
        <v/>
      </c>
      <c r="S412">
        <f>--($K412=IF('الداشبورد'!$B$7="الكل",$K412,IF('الداشبورد'!$B$7="تصدير","Y","N")))</f>
        <v/>
      </c>
      <c r="T412">
        <f>--($J412=IF('الداشبورد'!$B$8="الكل",$J412,IF('الداشبورد'!$B$8="AL","A","C")))</f>
        <v/>
      </c>
      <c r="U412">
        <f>--($I412=IF('الداشبورد'!$B$9="الكل",$I412,IF('الداشبورد'!$B$9="بدون حالة","P",'الداشبورد'!$B$9)))</f>
        <v/>
      </c>
      <c r="V412">
        <f>--($D412=IF('الداشبورد'!$B$10="الكل",$D412,'الداشبورد'!$B$10))</f>
        <v/>
      </c>
      <c r="W412">
        <f>--($G412=IF('الداشبورد'!$B$11="الكل",$G412,'الداشبورد'!$B$11))</f>
        <v/>
      </c>
      <c r="X412">
        <f>Q412*R412*S412*T412*U412*V412*W412*--($C412&lt;&gt;"")</f>
        <v/>
      </c>
    </row>
    <row r="413">
      <c r="A413" s="15" t="n">
        <v>4</v>
      </c>
      <c r="B413" s="15" t="inlineStr">
        <is>
          <t>K184524</t>
        </is>
      </c>
      <c r="C413" s="15" t="inlineStr">
        <is>
          <t>1280/26/01</t>
        </is>
      </c>
      <c r="D413" s="15" t="inlineStr">
        <is>
          <t>Eland Cables</t>
        </is>
      </c>
      <c r="E413" s="15" t="inlineStr">
        <is>
          <t>MV</t>
        </is>
      </c>
      <c r="F413" s="15" t="inlineStr">
        <is>
          <t>12.7/22 KV 1X300</t>
        </is>
      </c>
      <c r="G413" s="15" t="inlineStr">
        <is>
          <t>EX04</t>
        </is>
      </c>
      <c r="H413" s="15" t="inlineStr">
        <is>
          <t>Wooden Drums</t>
        </is>
      </c>
      <c r="I413" s="15" t="inlineStr">
        <is>
          <t>OK</t>
        </is>
      </c>
      <c r="J413" s="15" t="inlineStr">
        <is>
          <t>C</t>
        </is>
      </c>
      <c r="K413" s="15" t="inlineStr">
        <is>
          <t>Y</t>
        </is>
      </c>
      <c r="L413" s="15" t="n">
        <v>400</v>
      </c>
      <c r="M413" s="16" t="n">
        <v>1.0476</v>
      </c>
      <c r="N413" s="16" t="n">
        <v>0</v>
      </c>
      <c r="O413" s="16" t="n">
        <v>0.2088</v>
      </c>
      <c r="P413" s="16" t="n">
        <v>1.2564</v>
      </c>
      <c r="Q413">
        <f>--($A413=IF('الداشبورد'!$B$5="الكل",$A413,'الداشبورد'!$B$5))</f>
        <v/>
      </c>
      <c r="R413">
        <f>--($E413=IF('الداشبورد'!$B$6="الكل",$E413,'الداشبورد'!$B$6))</f>
        <v/>
      </c>
      <c r="S413">
        <f>--($K413=IF('الداشبورد'!$B$7="الكل",$K413,IF('الداشبورد'!$B$7="تصدير","Y","N")))</f>
        <v/>
      </c>
      <c r="T413">
        <f>--($J413=IF('الداشبورد'!$B$8="الكل",$J413,IF('الداشبورد'!$B$8="AL","A","C")))</f>
        <v/>
      </c>
      <c r="U413">
        <f>--($I413=IF('الداشبورد'!$B$9="الكل",$I413,IF('الداشبورد'!$B$9="بدون حالة","P",'الداشبورد'!$B$9)))</f>
        <v/>
      </c>
      <c r="V413">
        <f>--($D413=IF('الداشبورد'!$B$10="الكل",$D413,'الداشبورد'!$B$10))</f>
        <v/>
      </c>
      <c r="W413">
        <f>--($G413=IF('الداشبورد'!$B$11="الكل",$G413,'الداشبورد'!$B$11))</f>
        <v/>
      </c>
      <c r="X413">
        <f>Q413*R413*S413*T413*U413*V413*W413*--($C413&lt;&gt;"")</f>
        <v/>
      </c>
    </row>
    <row r="414">
      <c r="A414" s="15" t="n">
        <v>4</v>
      </c>
      <c r="B414" s="15" t="inlineStr">
        <is>
          <t>K184522</t>
        </is>
      </c>
      <c r="C414" s="15" t="inlineStr">
        <is>
          <t>1280/26/01</t>
        </is>
      </c>
      <c r="D414" s="15" t="inlineStr">
        <is>
          <t>Eland Cables</t>
        </is>
      </c>
      <c r="E414" s="15" t="inlineStr">
        <is>
          <t>MV</t>
        </is>
      </c>
      <c r="F414" s="15" t="inlineStr">
        <is>
          <t>12.7/22 KV 1X300</t>
        </is>
      </c>
      <c r="G414" s="15" t="inlineStr">
        <is>
          <t>EX04</t>
        </is>
      </c>
      <c r="H414" s="15" t="inlineStr">
        <is>
          <t>Wooden Drums</t>
        </is>
      </c>
      <c r="I414" s="15" t="inlineStr">
        <is>
          <t>OK</t>
        </is>
      </c>
      <c r="J414" s="15" t="inlineStr">
        <is>
          <t>C</t>
        </is>
      </c>
      <c r="K414" s="15" t="inlineStr">
        <is>
          <t>Y</t>
        </is>
      </c>
      <c r="L414" s="15" t="n">
        <v>320</v>
      </c>
      <c r="M414" s="16" t="n">
        <v>0.83808</v>
      </c>
      <c r="N414" s="16" t="n">
        <v>0</v>
      </c>
      <c r="O414" s="16" t="n">
        <v>0.16704</v>
      </c>
      <c r="P414" s="16" t="n">
        <v>1.00512</v>
      </c>
      <c r="Q414">
        <f>--($A414=IF('الداشبورد'!$B$5="الكل",$A414,'الداشبورد'!$B$5))</f>
        <v/>
      </c>
      <c r="R414">
        <f>--($E414=IF('الداشبورد'!$B$6="الكل",$E414,'الداشبورد'!$B$6))</f>
        <v/>
      </c>
      <c r="S414">
        <f>--($K414=IF('الداشبورد'!$B$7="الكل",$K414,IF('الداشبورد'!$B$7="تصدير","Y","N")))</f>
        <v/>
      </c>
      <c r="T414">
        <f>--($J414=IF('الداشبورد'!$B$8="الكل",$J414,IF('الداشبورد'!$B$8="AL","A","C")))</f>
        <v/>
      </c>
      <c r="U414">
        <f>--($I414=IF('الداشبورد'!$B$9="الكل",$I414,IF('الداشبورد'!$B$9="بدون حالة","P",'الداشبورد'!$B$9)))</f>
        <v/>
      </c>
      <c r="V414">
        <f>--($D414=IF('الداشبورد'!$B$10="الكل",$D414,'الداشبورد'!$B$10))</f>
        <v/>
      </c>
      <c r="W414">
        <f>--($G414=IF('الداشبورد'!$B$11="الكل",$G414,'الداشبورد'!$B$11))</f>
        <v/>
      </c>
      <c r="X414">
        <f>Q414*R414*S414*T414*U414*V414*W414*--($C414&lt;&gt;"")</f>
        <v/>
      </c>
    </row>
    <row r="415">
      <c r="A415" s="15" t="n">
        <v>4</v>
      </c>
      <c r="B415" s="15" t="inlineStr">
        <is>
          <t>K184519</t>
        </is>
      </c>
      <c r="C415" s="15" t="inlineStr">
        <is>
          <t>1280/26/01</t>
        </is>
      </c>
      <c r="D415" s="15" t="inlineStr">
        <is>
          <t>Eland Cables</t>
        </is>
      </c>
      <c r="E415" s="15" t="inlineStr">
        <is>
          <t>MV</t>
        </is>
      </c>
      <c r="F415" s="15" t="inlineStr">
        <is>
          <t>12.7/22 KV 1X300</t>
        </is>
      </c>
      <c r="G415" s="15" t="inlineStr">
        <is>
          <t>EX04</t>
        </is>
      </c>
      <c r="H415" s="15" t="inlineStr">
        <is>
          <t>Wooden Drums</t>
        </is>
      </c>
      <c r="I415" s="15" t="inlineStr">
        <is>
          <t>OK</t>
        </is>
      </c>
      <c r="J415" s="15" t="inlineStr">
        <is>
          <t>C</t>
        </is>
      </c>
      <c r="K415" s="15" t="inlineStr">
        <is>
          <t>Y</t>
        </is>
      </c>
      <c r="L415" s="15" t="n">
        <v>275</v>
      </c>
      <c r="M415" s="16" t="n">
        <v>0.720225</v>
      </c>
      <c r="N415" s="16" t="n">
        <v>0</v>
      </c>
      <c r="O415" s="16" t="n">
        <v>0.14355</v>
      </c>
      <c r="P415" s="16" t="n">
        <v>0.863775</v>
      </c>
      <c r="Q415">
        <f>--($A415=IF('الداشبورد'!$B$5="الكل",$A415,'الداشبورد'!$B$5))</f>
        <v/>
      </c>
      <c r="R415">
        <f>--($E415=IF('الداشبورد'!$B$6="الكل",$E415,'الداشبورد'!$B$6))</f>
        <v/>
      </c>
      <c r="S415">
        <f>--($K415=IF('الداشبورد'!$B$7="الكل",$K415,IF('الداشبورد'!$B$7="تصدير","Y","N")))</f>
        <v/>
      </c>
      <c r="T415">
        <f>--($J415=IF('الداشبورد'!$B$8="الكل",$J415,IF('الداشبورد'!$B$8="AL","A","C")))</f>
        <v/>
      </c>
      <c r="U415">
        <f>--($I415=IF('الداشبورد'!$B$9="الكل",$I415,IF('الداشبورد'!$B$9="بدون حالة","P",'الداشبورد'!$B$9)))</f>
        <v/>
      </c>
      <c r="V415">
        <f>--($D415=IF('الداشبورد'!$B$10="الكل",$D415,'الداشبورد'!$B$10))</f>
        <v/>
      </c>
      <c r="W415">
        <f>--($G415=IF('الداشبورد'!$B$11="الكل",$G415,'الداشبورد'!$B$11))</f>
        <v/>
      </c>
      <c r="X415">
        <f>Q415*R415*S415*T415*U415*V415*W415*--($C415&lt;&gt;"")</f>
        <v/>
      </c>
    </row>
    <row r="416">
      <c r="A416" s="15" t="n">
        <v>4</v>
      </c>
      <c r="B416" s="15" t="inlineStr">
        <is>
          <t>K184521</t>
        </is>
      </c>
      <c r="C416" s="15" t="inlineStr">
        <is>
          <t>1280/26/01</t>
        </is>
      </c>
      <c r="D416" s="15" t="inlineStr">
        <is>
          <t>Eland Cables</t>
        </is>
      </c>
      <c r="E416" s="15" t="inlineStr">
        <is>
          <t>MV</t>
        </is>
      </c>
      <c r="F416" s="15" t="inlineStr">
        <is>
          <t>12.7/22 KV 1X300</t>
        </is>
      </c>
      <c r="G416" s="15" t="inlineStr">
        <is>
          <t>EX04</t>
        </is>
      </c>
      <c r="H416" s="15" t="inlineStr">
        <is>
          <t>Wooden Drums</t>
        </is>
      </c>
      <c r="I416" s="15" t="inlineStr">
        <is>
          <t>OK</t>
        </is>
      </c>
      <c r="J416" s="15" t="inlineStr">
        <is>
          <t>C</t>
        </is>
      </c>
      <c r="K416" s="15" t="inlineStr">
        <is>
          <t>Y</t>
        </is>
      </c>
      <c r="L416" s="15" t="n">
        <v>355</v>
      </c>
      <c r="M416" s="16" t="n">
        <v>0.9297450000000002</v>
      </c>
      <c r="N416" s="16" t="n">
        <v>0</v>
      </c>
      <c r="O416" s="16" t="n">
        <v>0.18531</v>
      </c>
      <c r="P416" s="16" t="n">
        <v>1.115055</v>
      </c>
      <c r="Q416">
        <f>--($A416=IF('الداشبورد'!$B$5="الكل",$A416,'الداشبورد'!$B$5))</f>
        <v/>
      </c>
      <c r="R416">
        <f>--($E416=IF('الداشبورد'!$B$6="الكل",$E416,'الداشبورد'!$B$6))</f>
        <v/>
      </c>
      <c r="S416">
        <f>--($K416=IF('الداشبورد'!$B$7="الكل",$K416,IF('الداشبورد'!$B$7="تصدير","Y","N")))</f>
        <v/>
      </c>
      <c r="T416">
        <f>--($J416=IF('الداشبورد'!$B$8="الكل",$J416,IF('الداشبورد'!$B$8="AL","A","C")))</f>
        <v/>
      </c>
      <c r="U416">
        <f>--($I416=IF('الداشبورد'!$B$9="الكل",$I416,IF('الداشبورد'!$B$9="بدون حالة","P",'الداشبورد'!$B$9)))</f>
        <v/>
      </c>
      <c r="V416">
        <f>--($D416=IF('الداشبورد'!$B$10="الكل",$D416,'الداشبورد'!$B$10))</f>
        <v/>
      </c>
      <c r="W416">
        <f>--($G416=IF('الداشبورد'!$B$11="الكل",$G416,'الداشبورد'!$B$11))</f>
        <v/>
      </c>
      <c r="X416">
        <f>Q416*R416*S416*T416*U416*V416*W416*--($C416&lt;&gt;"")</f>
        <v/>
      </c>
    </row>
    <row r="417">
      <c r="A417" s="15" t="n">
        <v>4</v>
      </c>
      <c r="B417" s="15" t="inlineStr">
        <is>
          <t>K184520</t>
        </is>
      </c>
      <c r="C417" s="15" t="inlineStr">
        <is>
          <t>1280/26/01</t>
        </is>
      </c>
      <c r="D417" s="15" t="inlineStr">
        <is>
          <t>Eland Cables</t>
        </is>
      </c>
      <c r="E417" s="15" t="inlineStr">
        <is>
          <t>MV</t>
        </is>
      </c>
      <c r="F417" s="15" t="inlineStr">
        <is>
          <t>12.7/22 KV 1X300</t>
        </is>
      </c>
      <c r="G417" s="15" t="inlineStr">
        <is>
          <t>EX04</t>
        </is>
      </c>
      <c r="H417" s="15" t="inlineStr">
        <is>
          <t>Wooden Drums</t>
        </is>
      </c>
      <c r="I417" s="15" t="inlineStr">
        <is>
          <t>OK</t>
        </is>
      </c>
      <c r="J417" s="15" t="inlineStr">
        <is>
          <t>C</t>
        </is>
      </c>
      <c r="K417" s="15" t="inlineStr">
        <is>
          <t>Y</t>
        </is>
      </c>
      <c r="L417" s="15" t="n">
        <v>352</v>
      </c>
      <c r="M417" s="16" t="n">
        <v>0.921888</v>
      </c>
      <c r="N417" s="16" t="n">
        <v>0</v>
      </c>
      <c r="O417" s="16" t="n">
        <v>0.183744</v>
      </c>
      <c r="P417" s="16" t="n">
        <v>1.105632</v>
      </c>
      <c r="Q417">
        <f>--($A417=IF('الداشبورد'!$B$5="الكل",$A417,'الداشبورد'!$B$5))</f>
        <v/>
      </c>
      <c r="R417">
        <f>--($E417=IF('الداشبورد'!$B$6="الكل",$E417,'الداشبورد'!$B$6))</f>
        <v/>
      </c>
      <c r="S417">
        <f>--($K417=IF('الداشبورد'!$B$7="الكل",$K417,IF('الداشبورد'!$B$7="تصدير","Y","N")))</f>
        <v/>
      </c>
      <c r="T417">
        <f>--($J417=IF('الداشبورد'!$B$8="الكل",$J417,IF('الداشبورد'!$B$8="AL","A","C")))</f>
        <v/>
      </c>
      <c r="U417">
        <f>--($I417=IF('الداشبورد'!$B$9="الكل",$I417,IF('الداشبورد'!$B$9="بدون حالة","P",'الداشبورد'!$B$9)))</f>
        <v/>
      </c>
      <c r="V417">
        <f>--($D417=IF('الداشبورد'!$B$10="الكل",$D417,'الداشبورد'!$B$10))</f>
        <v/>
      </c>
      <c r="W417">
        <f>--($G417=IF('الداشبورد'!$B$11="الكل",$G417,'الداشبورد'!$B$11))</f>
        <v/>
      </c>
      <c r="X417">
        <f>Q417*R417*S417*T417*U417*V417*W417*--($C417&lt;&gt;"")</f>
        <v/>
      </c>
    </row>
    <row r="418">
      <c r="A418" s="15" t="n">
        <v>5</v>
      </c>
      <c r="B418" s="15" t="inlineStr">
        <is>
          <t>R184654</t>
        </is>
      </c>
      <c r="C418" s="15" t="inlineStr">
        <is>
          <t>1237/26/02</t>
        </is>
      </c>
      <c r="D418" s="15" t="inlineStr">
        <is>
          <t>Al Jawad- Cote D'ivoire</t>
        </is>
      </c>
      <c r="E418" s="15" t="inlineStr">
        <is>
          <t>MV</t>
        </is>
      </c>
      <c r="F418" s="15" t="inlineStr">
        <is>
          <t>18/30KV 3*1*240</t>
        </is>
      </c>
      <c r="G418" s="15" t="inlineStr">
        <is>
          <t>RW01</t>
        </is>
      </c>
      <c r="H418" s="15" t="inlineStr">
        <is>
          <t>Wooden Drums</t>
        </is>
      </c>
      <c r="I418" s="15" t="inlineStr">
        <is>
          <t>OK</t>
        </is>
      </c>
      <c r="J418" s="15" t="inlineStr">
        <is>
          <t>A</t>
        </is>
      </c>
      <c r="K418" s="15" t="inlineStr">
        <is>
          <t>Y</t>
        </is>
      </c>
      <c r="L418" s="15" t="n">
        <v>605</v>
      </c>
      <c r="M418" s="16" t="n">
        <v>1.131955</v>
      </c>
      <c r="N418" s="16" t="n">
        <v>0</v>
      </c>
      <c r="O418" s="16" t="n">
        <v>0</v>
      </c>
      <c r="P418" s="16" t="n">
        <v>1.131955</v>
      </c>
      <c r="Q418">
        <f>--($A418=IF('الداشبورد'!$B$5="الكل",$A418,'الداشبورد'!$B$5))</f>
        <v/>
      </c>
      <c r="R418">
        <f>--($E418=IF('الداشبورد'!$B$6="الكل",$E418,'الداشبورد'!$B$6))</f>
        <v/>
      </c>
      <c r="S418">
        <f>--($K418=IF('الداشبورد'!$B$7="الكل",$K418,IF('الداشبورد'!$B$7="تصدير","Y","N")))</f>
        <v/>
      </c>
      <c r="T418">
        <f>--($J418=IF('الداشبورد'!$B$8="الكل",$J418,IF('الداشبورد'!$B$8="AL","A","C")))</f>
        <v/>
      </c>
      <c r="U418">
        <f>--($I418=IF('الداشبورد'!$B$9="الكل",$I418,IF('الداشبورد'!$B$9="بدون حالة","P",'الداشبورد'!$B$9)))</f>
        <v/>
      </c>
      <c r="V418">
        <f>--($D418=IF('الداشبورد'!$B$10="الكل",$D418,'الداشبورد'!$B$10))</f>
        <v/>
      </c>
      <c r="W418">
        <f>--($G418=IF('الداشبورد'!$B$11="الكل",$G418,'الداشبورد'!$B$11))</f>
        <v/>
      </c>
      <c r="X418">
        <f>Q418*R418*S418*T418*U418*V418*W418*--($C418&lt;&gt;"")</f>
        <v/>
      </c>
    </row>
    <row r="419">
      <c r="A419" s="15" t="n">
        <v>5</v>
      </c>
      <c r="B419" s="15" t="inlineStr">
        <is>
          <t>R184631</t>
        </is>
      </c>
      <c r="C419" s="15" t="inlineStr">
        <is>
          <t>1237/26/02</t>
        </is>
      </c>
      <c r="D419" s="15" t="inlineStr">
        <is>
          <t>Al Jawad- Cote D'ivoire</t>
        </is>
      </c>
      <c r="E419" s="15" t="inlineStr">
        <is>
          <t>MV</t>
        </is>
      </c>
      <c r="F419" s="15" t="inlineStr">
        <is>
          <t>18/30KV 3*1*240</t>
        </is>
      </c>
      <c r="G419" s="15" t="inlineStr">
        <is>
          <t>RW01</t>
        </is>
      </c>
      <c r="H419" s="15" t="inlineStr">
        <is>
          <t>Wooden Drums</t>
        </is>
      </c>
      <c r="I419" s="15" t="inlineStr">
        <is>
          <t>OK</t>
        </is>
      </c>
      <c r="J419" s="15" t="inlineStr">
        <is>
          <t>A</t>
        </is>
      </c>
      <c r="K419" s="15" t="inlineStr">
        <is>
          <t>Y</t>
        </is>
      </c>
      <c r="L419" s="15" t="n">
        <v>605</v>
      </c>
      <c r="M419" s="16" t="n">
        <v>1.131955</v>
      </c>
      <c r="N419" s="16" t="n">
        <v>0</v>
      </c>
      <c r="O419" s="16" t="n">
        <v>0</v>
      </c>
      <c r="P419" s="16" t="n">
        <v>1.131955</v>
      </c>
      <c r="Q419">
        <f>--($A419=IF('الداشبورد'!$B$5="الكل",$A419,'الداشبورد'!$B$5))</f>
        <v/>
      </c>
      <c r="R419">
        <f>--($E419=IF('الداشبورد'!$B$6="الكل",$E419,'الداشبورد'!$B$6))</f>
        <v/>
      </c>
      <c r="S419">
        <f>--($K419=IF('الداشبورد'!$B$7="الكل",$K419,IF('الداشبورد'!$B$7="تصدير","Y","N")))</f>
        <v/>
      </c>
      <c r="T419">
        <f>--($J419=IF('الداشبورد'!$B$8="الكل",$J419,IF('الداشبورد'!$B$8="AL","A","C")))</f>
        <v/>
      </c>
      <c r="U419">
        <f>--($I419=IF('الداشبورد'!$B$9="الكل",$I419,IF('الداشبورد'!$B$9="بدون حالة","P",'الداشبورد'!$B$9)))</f>
        <v/>
      </c>
      <c r="V419">
        <f>--($D419=IF('الداشبورد'!$B$10="الكل",$D419,'الداشبورد'!$B$10))</f>
        <v/>
      </c>
      <c r="W419">
        <f>--($G419=IF('الداشبورد'!$B$11="الكل",$G419,'الداشبورد'!$B$11))</f>
        <v/>
      </c>
      <c r="X419">
        <f>Q419*R419*S419*T419*U419*V419*W419*--($C419&lt;&gt;"")</f>
        <v/>
      </c>
    </row>
    <row r="420">
      <c r="A420" s="15" t="n">
        <v>5</v>
      </c>
      <c r="B420" s="15" t="inlineStr">
        <is>
          <t>S184397</t>
        </is>
      </c>
      <c r="C420" s="15" t="inlineStr">
        <is>
          <t>1279/26/01</t>
        </is>
      </c>
      <c r="D420" s="15" t="inlineStr">
        <is>
          <t>Eland Cables</t>
        </is>
      </c>
      <c r="E420" s="15" t="inlineStr">
        <is>
          <t>MV</t>
        </is>
      </c>
      <c r="F420" s="15" t="inlineStr">
        <is>
          <t>19/33 KV 3X1X185</t>
        </is>
      </c>
      <c r="G420" s="15" t="inlineStr">
        <is>
          <t>RW02</t>
        </is>
      </c>
      <c r="H420" s="15" t="inlineStr">
        <is>
          <t>Wooden Drums</t>
        </is>
      </c>
      <c r="I420" s="15" t="inlineStr">
        <is>
          <t>OK</t>
        </is>
      </c>
      <c r="J420" s="15" t="inlineStr">
        <is>
          <t>A</t>
        </is>
      </c>
      <c r="K420" s="15" t="inlineStr">
        <is>
          <t>Y</t>
        </is>
      </c>
      <c r="L420" s="15" t="n">
        <v>515</v>
      </c>
      <c r="M420" s="16" t="n">
        <v>0.7390249999999999</v>
      </c>
      <c r="N420" s="16" t="n">
        <v>0.49337</v>
      </c>
      <c r="O420" s="16" t="n">
        <v>0</v>
      </c>
      <c r="P420" s="16" t="n">
        <v>1.232395</v>
      </c>
      <c r="Q420">
        <f>--($A420=IF('الداشبورد'!$B$5="الكل",$A420,'الداشبورد'!$B$5))</f>
        <v/>
      </c>
      <c r="R420">
        <f>--($E420=IF('الداشبورد'!$B$6="الكل",$E420,'الداشبورد'!$B$6))</f>
        <v/>
      </c>
      <c r="S420">
        <f>--($K420=IF('الداشبورد'!$B$7="الكل",$K420,IF('الداشبورد'!$B$7="تصدير","Y","N")))</f>
        <v/>
      </c>
      <c r="T420">
        <f>--($J420=IF('الداشبورد'!$B$8="الكل",$J420,IF('الداشبورد'!$B$8="AL","A","C")))</f>
        <v/>
      </c>
      <c r="U420">
        <f>--($I420=IF('الداشبورد'!$B$9="الكل",$I420,IF('الداشبورد'!$B$9="بدون حالة","P",'الداشبورد'!$B$9)))</f>
        <v/>
      </c>
      <c r="V420">
        <f>--($D420=IF('الداشبورد'!$B$10="الكل",$D420,'الداشبورد'!$B$10))</f>
        <v/>
      </c>
      <c r="W420">
        <f>--($G420=IF('الداشبورد'!$B$11="الكل",$G420,'الداشبورد'!$B$11))</f>
        <v/>
      </c>
      <c r="X420">
        <f>Q420*R420*S420*T420*U420*V420*W420*--($C420&lt;&gt;"")</f>
        <v/>
      </c>
    </row>
    <row r="421">
      <c r="A421" s="15" t="n">
        <v>5</v>
      </c>
      <c r="B421" s="15" t="inlineStr">
        <is>
          <t>S184481</t>
        </is>
      </c>
      <c r="C421" s="15" t="inlineStr">
        <is>
          <t>1279/26/01</t>
        </is>
      </c>
      <c r="D421" s="15" t="inlineStr">
        <is>
          <t>Eland Cables</t>
        </is>
      </c>
      <c r="E421" s="15" t="inlineStr">
        <is>
          <t>MV</t>
        </is>
      </c>
      <c r="F421" s="15" t="inlineStr">
        <is>
          <t>19/33 KV 3X1X185</t>
        </is>
      </c>
      <c r="G421" s="15" t="inlineStr">
        <is>
          <t>RW02</t>
        </is>
      </c>
      <c r="H421" s="15" t="inlineStr">
        <is>
          <t>Wooden Drums</t>
        </is>
      </c>
      <c r="I421" s="15" t="inlineStr">
        <is>
          <t>OK</t>
        </is>
      </c>
      <c r="J421" s="15" t="inlineStr">
        <is>
          <t>A</t>
        </is>
      </c>
      <c r="K421" s="15" t="inlineStr">
        <is>
          <t>Y</t>
        </is>
      </c>
      <c r="L421" s="15" t="n">
        <v>514</v>
      </c>
      <c r="M421" s="16" t="n">
        <v>0.7375900000000001</v>
      </c>
      <c r="N421" s="16" t="n">
        <v>0.492412</v>
      </c>
      <c r="O421" s="16" t="n">
        <v>0</v>
      </c>
      <c r="P421" s="16" t="n">
        <v>1.230002</v>
      </c>
      <c r="Q421">
        <f>--($A421=IF('الداشبورد'!$B$5="الكل",$A421,'الداشبورد'!$B$5))</f>
        <v/>
      </c>
      <c r="R421">
        <f>--($E421=IF('الداشبورد'!$B$6="الكل",$E421,'الداشبورد'!$B$6))</f>
        <v/>
      </c>
      <c r="S421">
        <f>--($K421=IF('الداشبورد'!$B$7="الكل",$K421,IF('الداشبورد'!$B$7="تصدير","Y","N")))</f>
        <v/>
      </c>
      <c r="T421">
        <f>--($J421=IF('الداشبورد'!$B$8="الكل",$J421,IF('الداشبورد'!$B$8="AL","A","C")))</f>
        <v/>
      </c>
      <c r="U421">
        <f>--($I421=IF('الداشبورد'!$B$9="الكل",$I421,IF('الداشبورد'!$B$9="بدون حالة","P",'الداشبورد'!$B$9)))</f>
        <v/>
      </c>
      <c r="V421">
        <f>--($D421=IF('الداشبورد'!$B$10="الكل",$D421,'الداشبورد'!$B$10))</f>
        <v/>
      </c>
      <c r="W421">
        <f>--($G421=IF('الداشبورد'!$B$11="الكل",$G421,'الداشبورد'!$B$11))</f>
        <v/>
      </c>
      <c r="X421">
        <f>Q421*R421*S421*T421*U421*V421*W421*--($C421&lt;&gt;"")</f>
        <v/>
      </c>
    </row>
    <row r="422">
      <c r="A422" s="15" t="n">
        <v>5</v>
      </c>
      <c r="B422" s="15" t="inlineStr">
        <is>
          <t>S184482</t>
        </is>
      </c>
      <c r="C422" s="15" t="inlineStr">
        <is>
          <t>1279/26/01</t>
        </is>
      </c>
      <c r="D422" s="15" t="inlineStr">
        <is>
          <t>Eland Cables</t>
        </is>
      </c>
      <c r="E422" s="15" t="inlineStr">
        <is>
          <t>MV</t>
        </is>
      </c>
      <c r="F422" s="15" t="inlineStr">
        <is>
          <t>19/33 KV 3X1X185</t>
        </is>
      </c>
      <c r="G422" s="15" t="inlineStr">
        <is>
          <t>RW02</t>
        </is>
      </c>
      <c r="H422" s="15" t="inlineStr">
        <is>
          <t>Wooden Drums</t>
        </is>
      </c>
      <c r="I422" s="15" t="inlineStr">
        <is>
          <t>OK</t>
        </is>
      </c>
      <c r="J422" s="15" t="inlineStr">
        <is>
          <t>A</t>
        </is>
      </c>
      <c r="K422" s="15" t="inlineStr">
        <is>
          <t>Y</t>
        </is>
      </c>
      <c r="L422" s="15" t="n">
        <v>523</v>
      </c>
      <c r="M422" s="16" t="n">
        <v>0.750505</v>
      </c>
      <c r="N422" s="16" t="n">
        <v>0.501034</v>
      </c>
      <c r="O422" s="16" t="n">
        <v>0</v>
      </c>
      <c r="P422" s="16" t="n">
        <v>1.251539</v>
      </c>
      <c r="Q422">
        <f>--($A422=IF('الداشبورد'!$B$5="الكل",$A422,'الداشبورد'!$B$5))</f>
        <v/>
      </c>
      <c r="R422">
        <f>--($E422=IF('الداشبورد'!$B$6="الكل",$E422,'الداشبورد'!$B$6))</f>
        <v/>
      </c>
      <c r="S422">
        <f>--($K422=IF('الداشبورد'!$B$7="الكل",$K422,IF('الداشبورد'!$B$7="تصدير","Y","N")))</f>
        <v/>
      </c>
      <c r="T422">
        <f>--($J422=IF('الداشبورد'!$B$8="الكل",$J422,IF('الداشبورد'!$B$8="AL","A","C")))</f>
        <v/>
      </c>
      <c r="U422">
        <f>--($I422=IF('الداشبورد'!$B$9="الكل",$I422,IF('الداشبورد'!$B$9="بدون حالة","P",'الداشبورد'!$B$9)))</f>
        <v/>
      </c>
      <c r="V422">
        <f>--($D422=IF('الداشبورد'!$B$10="الكل",$D422,'الداشبورد'!$B$10))</f>
        <v/>
      </c>
      <c r="W422">
        <f>--($G422=IF('الداشبورد'!$B$11="الكل",$G422,'الداشبورد'!$B$11))</f>
        <v/>
      </c>
      <c r="X422">
        <f>Q422*R422*S422*T422*U422*V422*W422*--($C422&lt;&gt;"")</f>
        <v/>
      </c>
    </row>
    <row r="423">
      <c r="A423" s="15" t="n">
        <v>5</v>
      </c>
      <c r="B423" s="15" t="inlineStr">
        <is>
          <t>R184751</t>
        </is>
      </c>
      <c r="C423" s="15" t="inlineStr">
        <is>
          <t>1279/26/01</t>
        </is>
      </c>
      <c r="D423" s="15" t="inlineStr">
        <is>
          <t>Eland Cables</t>
        </is>
      </c>
      <c r="E423" s="15" t="inlineStr">
        <is>
          <t>MV</t>
        </is>
      </c>
      <c r="F423" s="15" t="inlineStr">
        <is>
          <t>19/33 KV 3X1X185</t>
        </is>
      </c>
      <c r="G423" s="15" t="inlineStr">
        <is>
          <t>RW02</t>
        </is>
      </c>
      <c r="H423" s="15" t="inlineStr">
        <is>
          <t>Wooden Drums</t>
        </is>
      </c>
      <c r="I423" s="15" t="inlineStr">
        <is>
          <t>Hold</t>
        </is>
      </c>
      <c r="J423" s="15" t="inlineStr">
        <is>
          <t>A</t>
        </is>
      </c>
      <c r="K423" s="15" t="inlineStr">
        <is>
          <t>Y</t>
        </is>
      </c>
      <c r="L423" s="15" t="n">
        <v>515</v>
      </c>
      <c r="M423" s="16" t="n">
        <v>0.7390249999999999</v>
      </c>
      <c r="N423" s="16" t="n">
        <v>0.49337</v>
      </c>
      <c r="O423" s="16" t="n">
        <v>0</v>
      </c>
      <c r="P423" s="16" t="n">
        <v>1.232395</v>
      </c>
      <c r="Q423">
        <f>--($A423=IF('الداشبورد'!$B$5="الكل",$A423,'الداشبورد'!$B$5))</f>
        <v/>
      </c>
      <c r="R423">
        <f>--($E423=IF('الداشبورد'!$B$6="الكل",$E423,'الداشبورد'!$B$6))</f>
        <v/>
      </c>
      <c r="S423">
        <f>--($K423=IF('الداشبورد'!$B$7="الكل",$K423,IF('الداشبورد'!$B$7="تصدير","Y","N")))</f>
        <v/>
      </c>
      <c r="T423">
        <f>--($J423=IF('الداشبورد'!$B$8="الكل",$J423,IF('الداشبورد'!$B$8="AL","A","C")))</f>
        <v/>
      </c>
      <c r="U423">
        <f>--($I423=IF('الداشبورد'!$B$9="الكل",$I423,IF('الداشبورد'!$B$9="بدون حالة","P",'الداشبورد'!$B$9)))</f>
        <v/>
      </c>
      <c r="V423">
        <f>--($D423=IF('الداشبورد'!$B$10="الكل",$D423,'الداشبورد'!$B$10))</f>
        <v/>
      </c>
      <c r="W423">
        <f>--($G423=IF('الداشبورد'!$B$11="الكل",$G423,'الداشبورد'!$B$11))</f>
        <v/>
      </c>
      <c r="X423">
        <f>Q423*R423*S423*T423*U423*V423*W423*--($C423&lt;&gt;"")</f>
        <v/>
      </c>
    </row>
    <row r="424">
      <c r="A424" s="15" t="n">
        <v>5</v>
      </c>
      <c r="B424" s="15" t="inlineStr">
        <is>
          <t>E184430</t>
        </is>
      </c>
      <c r="C424" s="15" t="inlineStr">
        <is>
          <t>1478/26/35</t>
        </is>
      </c>
      <c r="D424" s="15" t="inlineStr">
        <is>
          <t>Energya Power &amp; Telecom Solutions</t>
        </is>
      </c>
      <c r="E424" s="15" t="inlineStr">
        <is>
          <t>LV</t>
        </is>
      </c>
      <c r="F424" s="15" t="inlineStr">
        <is>
          <t>0.6/1 KV 1X70</t>
        </is>
      </c>
      <c r="G424" s="15" t="inlineStr">
        <is>
          <t>EX01</t>
        </is>
      </c>
      <c r="H424" s="15" t="inlineStr">
        <is>
          <t>Wooden Drums</t>
        </is>
      </c>
      <c r="I424" s="15" t="inlineStr">
        <is>
          <t>P</t>
        </is>
      </c>
      <c r="J424" s="15" t="inlineStr">
        <is>
          <t>C</t>
        </is>
      </c>
      <c r="K424" s="15" t="inlineStr">
        <is>
          <t>N</t>
        </is>
      </c>
      <c r="L424" s="15" t="n">
        <v>65</v>
      </c>
      <c r="M424" s="16" t="n">
        <v>0.038155</v>
      </c>
      <c r="N424" s="16" t="n">
        <v>0</v>
      </c>
      <c r="O424" s="16" t="n">
        <v>0</v>
      </c>
      <c r="P424" s="16" t="n">
        <v>0.038155</v>
      </c>
      <c r="Q424">
        <f>--($A424=IF('الداشبورد'!$B$5="الكل",$A424,'الداشبورد'!$B$5))</f>
        <v/>
      </c>
      <c r="R424">
        <f>--($E424=IF('الداشبورد'!$B$6="الكل",$E424,'الداشبورد'!$B$6))</f>
        <v/>
      </c>
      <c r="S424">
        <f>--($K424=IF('الداشبورد'!$B$7="الكل",$K424,IF('الداشبورد'!$B$7="تصدير","Y","N")))</f>
        <v/>
      </c>
      <c r="T424">
        <f>--($J424=IF('الداشبورد'!$B$8="الكل",$J424,IF('الداشبورد'!$B$8="AL","A","C")))</f>
        <v/>
      </c>
      <c r="U424">
        <f>--($I424=IF('الداشبورد'!$B$9="الكل",$I424,IF('الداشبورد'!$B$9="بدون حالة","P",'الداشبورد'!$B$9)))</f>
        <v/>
      </c>
      <c r="V424">
        <f>--($D424=IF('الداشبورد'!$B$10="الكل",$D424,'الداشبورد'!$B$10))</f>
        <v/>
      </c>
      <c r="W424">
        <f>--($G424=IF('الداشبورد'!$B$11="الكل",$G424,'الداشبورد'!$B$11))</f>
        <v/>
      </c>
      <c r="X424">
        <f>Q424*R424*S424*T424*U424*V424*W424*--($C424&lt;&gt;"")</f>
        <v/>
      </c>
    </row>
    <row r="425">
      <c r="A425" s="15" t="n">
        <v>5</v>
      </c>
      <c r="B425" s="15" t="inlineStr">
        <is>
          <t>F184603</t>
        </is>
      </c>
      <c r="C425" s="15" t="inlineStr">
        <is>
          <t>1554/26/15</t>
        </is>
      </c>
      <c r="D425" s="15" t="inlineStr">
        <is>
          <t>المجموعه الهندسيه</t>
        </is>
      </c>
      <c r="E425" s="15" t="inlineStr">
        <is>
          <t>LV</t>
        </is>
      </c>
      <c r="F425" s="15" t="inlineStr">
        <is>
          <t>0.6/1 KV 1X95</t>
        </is>
      </c>
      <c r="G425" s="15" t="inlineStr">
        <is>
          <t>EX01</t>
        </is>
      </c>
      <c r="H425" s="15" t="inlineStr">
        <is>
          <t>Wooden Drums</t>
        </is>
      </c>
      <c r="I425" s="15" t="inlineStr">
        <is>
          <t>OK</t>
        </is>
      </c>
      <c r="J425" s="15" t="inlineStr">
        <is>
          <t>C</t>
        </is>
      </c>
      <c r="K425" s="15" t="inlineStr">
        <is>
          <t>N</t>
        </is>
      </c>
      <c r="L425" s="15" t="n">
        <v>228</v>
      </c>
      <c r="M425" s="16" t="n">
        <v>0.18582</v>
      </c>
      <c r="N425" s="16" t="n">
        <v>0</v>
      </c>
      <c r="O425" s="16" t="n">
        <v>0</v>
      </c>
      <c r="P425" s="16" t="n">
        <v>0.18582</v>
      </c>
      <c r="Q425">
        <f>--($A425=IF('الداشبورد'!$B$5="الكل",$A425,'الداشبورد'!$B$5))</f>
        <v/>
      </c>
      <c r="R425">
        <f>--($E425=IF('الداشبورد'!$B$6="الكل",$E425,'الداشبورد'!$B$6))</f>
        <v/>
      </c>
      <c r="S425">
        <f>--($K425=IF('الداشبورد'!$B$7="الكل",$K425,IF('الداشبورد'!$B$7="تصدير","Y","N")))</f>
        <v/>
      </c>
      <c r="T425">
        <f>--($J425=IF('الداشبورد'!$B$8="الكل",$J425,IF('الداشبورد'!$B$8="AL","A","C")))</f>
        <v/>
      </c>
      <c r="U425">
        <f>--($I425=IF('الداشبورد'!$B$9="الكل",$I425,IF('الداشبورد'!$B$9="بدون حالة","P",'الداشبورد'!$B$9)))</f>
        <v/>
      </c>
      <c r="V425">
        <f>--($D425=IF('الداشبورد'!$B$10="الكل",$D425,'الداشبورد'!$B$10))</f>
        <v/>
      </c>
      <c r="W425">
        <f>--($G425=IF('الداشبورد'!$B$11="الكل",$G425,'الداشبورد'!$B$11))</f>
        <v/>
      </c>
      <c r="X425">
        <f>Q425*R425*S425*T425*U425*V425*W425*--($C425&lt;&gt;"")</f>
        <v/>
      </c>
    </row>
    <row r="426">
      <c r="A426" s="15" t="n">
        <v>5</v>
      </c>
      <c r="B426" s="15" t="inlineStr">
        <is>
          <t>E184433</t>
        </is>
      </c>
      <c r="C426" s="15" t="inlineStr">
        <is>
          <t>1554/26/14</t>
        </is>
      </c>
      <c r="D426" s="15" t="inlineStr">
        <is>
          <t>المجموعه الهندسيه</t>
        </is>
      </c>
      <c r="E426" s="15" t="inlineStr">
        <is>
          <t>LV</t>
        </is>
      </c>
      <c r="F426" s="15" t="inlineStr">
        <is>
          <t>0.6/1 KV 1X95</t>
        </is>
      </c>
      <c r="G426" s="15" t="inlineStr">
        <is>
          <t>EX01</t>
        </is>
      </c>
      <c r="H426" s="15" t="inlineStr">
        <is>
          <t>Wooden Drums</t>
        </is>
      </c>
      <c r="I426" s="15" t="inlineStr">
        <is>
          <t>OK</t>
        </is>
      </c>
      <c r="J426" s="15" t="inlineStr">
        <is>
          <t>C</t>
        </is>
      </c>
      <c r="K426" s="15" t="inlineStr">
        <is>
          <t>N</t>
        </is>
      </c>
      <c r="L426" s="15" t="n">
        <v>228</v>
      </c>
      <c r="M426" s="16" t="n">
        <v>0.18582</v>
      </c>
      <c r="N426" s="16" t="n">
        <v>0</v>
      </c>
      <c r="O426" s="16" t="n">
        <v>0</v>
      </c>
      <c r="P426" s="16" t="n">
        <v>0.18582</v>
      </c>
      <c r="Q426">
        <f>--($A426=IF('الداشبورد'!$B$5="الكل",$A426,'الداشبورد'!$B$5))</f>
        <v/>
      </c>
      <c r="R426">
        <f>--($E426=IF('الداشبورد'!$B$6="الكل",$E426,'الداشبورد'!$B$6))</f>
        <v/>
      </c>
      <c r="S426">
        <f>--($K426=IF('الداشبورد'!$B$7="الكل",$K426,IF('الداشبورد'!$B$7="تصدير","Y","N")))</f>
        <v/>
      </c>
      <c r="T426">
        <f>--($J426=IF('الداشبورد'!$B$8="الكل",$J426,IF('الداشبورد'!$B$8="AL","A","C")))</f>
        <v/>
      </c>
      <c r="U426">
        <f>--($I426=IF('الداشبورد'!$B$9="الكل",$I426,IF('الداشبورد'!$B$9="بدون حالة","P",'الداشبورد'!$B$9)))</f>
        <v/>
      </c>
      <c r="V426">
        <f>--($D426=IF('الداشبورد'!$B$10="الكل",$D426,'الداشبورد'!$B$10))</f>
        <v/>
      </c>
      <c r="W426">
        <f>--($G426=IF('الداشبورد'!$B$11="الكل",$G426,'الداشبورد'!$B$11))</f>
        <v/>
      </c>
      <c r="X426">
        <f>Q426*R426*S426*T426*U426*V426*W426*--($C426&lt;&gt;"")</f>
        <v/>
      </c>
    </row>
    <row r="427">
      <c r="A427" s="15" t="n">
        <v>5</v>
      </c>
      <c r="B427" s="15" t="inlineStr">
        <is>
          <t>G184699</t>
        </is>
      </c>
      <c r="C427" s="15" t="inlineStr">
        <is>
          <t>645/26/02</t>
        </is>
      </c>
      <c r="D427" s="15" t="inlineStr">
        <is>
          <t>Vigo trgovina d.o.o.</t>
        </is>
      </c>
      <c r="E427" s="15" t="inlineStr">
        <is>
          <t>LV</t>
        </is>
      </c>
      <c r="F427" s="15" t="inlineStr">
        <is>
          <t>0.6/1 KV 4X50</t>
        </is>
      </c>
      <c r="G427" s="15" t="inlineStr">
        <is>
          <t>EX03</t>
        </is>
      </c>
      <c r="H427" s="15" t="inlineStr">
        <is>
          <t>Wooden Drums</t>
        </is>
      </c>
      <c r="I427" s="15" t="inlineStr">
        <is>
          <t>OK</t>
        </is>
      </c>
      <c r="J427" s="15" t="inlineStr">
        <is>
          <t>A</t>
        </is>
      </c>
      <c r="K427" s="15" t="inlineStr">
        <is>
          <t>Y</t>
        </is>
      </c>
      <c r="L427" s="15" t="n">
        <v>509</v>
      </c>
      <c r="M427" s="16" t="n">
        <v>0.241266</v>
      </c>
      <c r="N427" s="16" t="n">
        <v>0</v>
      </c>
      <c r="O427" s="16" t="n">
        <v>0</v>
      </c>
      <c r="P427" s="16" t="n">
        <v>0.241266</v>
      </c>
      <c r="Q427">
        <f>--($A427=IF('الداشبورد'!$B$5="الكل",$A427,'الداشبورد'!$B$5))</f>
        <v/>
      </c>
      <c r="R427">
        <f>--($E427=IF('الداشبورد'!$B$6="الكل",$E427,'الداشبورد'!$B$6))</f>
        <v/>
      </c>
      <c r="S427">
        <f>--($K427=IF('الداشبورد'!$B$7="الكل",$K427,IF('الداشبورد'!$B$7="تصدير","Y","N")))</f>
        <v/>
      </c>
      <c r="T427">
        <f>--($J427=IF('الداشبورد'!$B$8="الكل",$J427,IF('الداشبورد'!$B$8="AL","A","C")))</f>
        <v/>
      </c>
      <c r="U427">
        <f>--($I427=IF('الداشبورد'!$B$9="الكل",$I427,IF('الداشبورد'!$B$9="بدون حالة","P",'الداشبورد'!$B$9)))</f>
        <v/>
      </c>
      <c r="V427">
        <f>--($D427=IF('الداشبورد'!$B$10="الكل",$D427,'الداشبورد'!$B$10))</f>
        <v/>
      </c>
      <c r="W427">
        <f>--($G427=IF('الداشبورد'!$B$11="الكل",$G427,'الداشبورد'!$B$11))</f>
        <v/>
      </c>
      <c r="X427">
        <f>Q427*R427*S427*T427*U427*V427*W427*--($C427&lt;&gt;"")</f>
        <v/>
      </c>
    </row>
    <row r="428">
      <c r="A428" s="15" t="n">
        <v>5</v>
      </c>
      <c r="B428" s="15" t="inlineStr">
        <is>
          <t>G184700</t>
        </is>
      </c>
      <c r="C428" s="15" t="inlineStr">
        <is>
          <t>645/26/02</t>
        </is>
      </c>
      <c r="D428" s="15" t="inlineStr">
        <is>
          <t>Vigo trgovina d.o.o.</t>
        </is>
      </c>
      <c r="E428" s="15" t="inlineStr">
        <is>
          <t>LV</t>
        </is>
      </c>
      <c r="F428" s="15" t="inlineStr">
        <is>
          <t>0.6/1 KV 4X50</t>
        </is>
      </c>
      <c r="G428" s="15" t="inlineStr">
        <is>
          <t>EX03</t>
        </is>
      </c>
      <c r="H428" s="15" t="inlineStr">
        <is>
          <t>Wooden Drums</t>
        </is>
      </c>
      <c r="I428" s="15" t="inlineStr">
        <is>
          <t>OK</t>
        </is>
      </c>
      <c r="J428" s="15" t="inlineStr">
        <is>
          <t>A</t>
        </is>
      </c>
      <c r="K428" s="15" t="inlineStr">
        <is>
          <t>Y</t>
        </is>
      </c>
      <c r="L428" s="15" t="n">
        <v>514</v>
      </c>
      <c r="M428" s="16" t="n">
        <v>0.243636</v>
      </c>
      <c r="N428" s="16" t="n">
        <v>0</v>
      </c>
      <c r="O428" s="16" t="n">
        <v>0</v>
      </c>
      <c r="P428" s="16" t="n">
        <v>0.243636</v>
      </c>
      <c r="Q428">
        <f>--($A428=IF('الداشبورد'!$B$5="الكل",$A428,'الداشبورد'!$B$5))</f>
        <v/>
      </c>
      <c r="R428">
        <f>--($E428=IF('الداشبورد'!$B$6="الكل",$E428,'الداشبورد'!$B$6))</f>
        <v/>
      </c>
      <c r="S428">
        <f>--($K428=IF('الداشبورد'!$B$7="الكل",$K428,IF('الداشبورد'!$B$7="تصدير","Y","N")))</f>
        <v/>
      </c>
      <c r="T428">
        <f>--($J428=IF('الداشبورد'!$B$8="الكل",$J428,IF('الداشبورد'!$B$8="AL","A","C")))</f>
        <v/>
      </c>
      <c r="U428">
        <f>--($I428=IF('الداشبورد'!$B$9="الكل",$I428,IF('الداشبورد'!$B$9="بدون حالة","P",'الداشبورد'!$B$9)))</f>
        <v/>
      </c>
      <c r="V428">
        <f>--($D428=IF('الداشبورد'!$B$10="الكل",$D428,'الداشبورد'!$B$10))</f>
        <v/>
      </c>
      <c r="W428">
        <f>--($G428=IF('الداشبورد'!$B$11="الكل",$G428,'الداشبورد'!$B$11))</f>
        <v/>
      </c>
      <c r="X428">
        <f>Q428*R428*S428*T428*U428*V428*W428*--($C428&lt;&gt;"")</f>
        <v/>
      </c>
    </row>
    <row r="429">
      <c r="A429" s="15" t="n">
        <v>5</v>
      </c>
      <c r="B429" s="15" t="inlineStr">
        <is>
          <t>G184657</t>
        </is>
      </c>
      <c r="C429" s="15" t="inlineStr">
        <is>
          <t>645/26/02</t>
        </is>
      </c>
      <c r="D429" s="15" t="inlineStr">
        <is>
          <t>Vigo trgovina d.o.o.</t>
        </is>
      </c>
      <c r="E429" s="15" t="inlineStr">
        <is>
          <t>LV</t>
        </is>
      </c>
      <c r="F429" s="15" t="inlineStr">
        <is>
          <t>0.6/1 KV 4X50</t>
        </is>
      </c>
      <c r="G429" s="15" t="inlineStr">
        <is>
          <t>EX03</t>
        </is>
      </c>
      <c r="H429" s="15" t="inlineStr">
        <is>
          <t>Wooden Drums</t>
        </is>
      </c>
      <c r="I429" s="15" t="inlineStr">
        <is>
          <t>OK</t>
        </is>
      </c>
      <c r="J429" s="15" t="inlineStr">
        <is>
          <t>A</t>
        </is>
      </c>
      <c r="K429" s="15" t="inlineStr">
        <is>
          <t>Y</t>
        </is>
      </c>
      <c r="L429" s="15" t="n">
        <v>512</v>
      </c>
      <c r="M429" s="16" t="n">
        <v>0.242688</v>
      </c>
      <c r="N429" s="16" t="n">
        <v>0</v>
      </c>
      <c r="O429" s="16" t="n">
        <v>0</v>
      </c>
      <c r="P429" s="16" t="n">
        <v>0.242688</v>
      </c>
      <c r="Q429">
        <f>--($A429=IF('الداشبورد'!$B$5="الكل",$A429,'الداشبورد'!$B$5))</f>
        <v/>
      </c>
      <c r="R429">
        <f>--($E429=IF('الداشبورد'!$B$6="الكل",$E429,'الداشبورد'!$B$6))</f>
        <v/>
      </c>
      <c r="S429">
        <f>--($K429=IF('الداشبورد'!$B$7="الكل",$K429,IF('الداشبورد'!$B$7="تصدير","Y","N")))</f>
        <v/>
      </c>
      <c r="T429">
        <f>--($J429=IF('الداشبورد'!$B$8="الكل",$J429,IF('الداشبورد'!$B$8="AL","A","C")))</f>
        <v/>
      </c>
      <c r="U429">
        <f>--($I429=IF('الداشبورد'!$B$9="الكل",$I429,IF('الداشبورد'!$B$9="بدون حالة","P",'الداشبورد'!$B$9)))</f>
        <v/>
      </c>
      <c r="V429">
        <f>--($D429=IF('الداشبورد'!$B$10="الكل",$D429,'الداشبورد'!$B$10))</f>
        <v/>
      </c>
      <c r="W429">
        <f>--($G429=IF('الداشبورد'!$B$11="الكل",$G429,'الداشبورد'!$B$11))</f>
        <v/>
      </c>
      <c r="X429">
        <f>Q429*R429*S429*T429*U429*V429*W429*--($C429&lt;&gt;"")</f>
        <v/>
      </c>
    </row>
    <row r="430">
      <c r="A430" s="15" t="n">
        <v>5</v>
      </c>
      <c r="B430" s="15" t="inlineStr">
        <is>
          <t>G184658</t>
        </is>
      </c>
      <c r="C430" s="15" t="inlineStr">
        <is>
          <t>645/26/02</t>
        </is>
      </c>
      <c r="D430" s="15" t="inlineStr">
        <is>
          <t>Vigo trgovina d.o.o.</t>
        </is>
      </c>
      <c r="E430" s="15" t="inlineStr">
        <is>
          <t>LV</t>
        </is>
      </c>
      <c r="F430" s="15" t="inlineStr">
        <is>
          <t>0.6/1 KV 4X50</t>
        </is>
      </c>
      <c r="G430" s="15" t="inlineStr">
        <is>
          <t>EX03</t>
        </is>
      </c>
      <c r="H430" s="15" t="inlineStr">
        <is>
          <t>Wooden Drums</t>
        </is>
      </c>
      <c r="I430" s="15" t="inlineStr">
        <is>
          <t>OK</t>
        </is>
      </c>
      <c r="J430" s="15" t="inlineStr">
        <is>
          <t>A</t>
        </is>
      </c>
      <c r="K430" s="15" t="inlineStr">
        <is>
          <t>Y</t>
        </is>
      </c>
      <c r="L430" s="15" t="n">
        <v>512</v>
      </c>
      <c r="M430" s="16" t="n">
        <v>0.242688</v>
      </c>
      <c r="N430" s="16" t="n">
        <v>0</v>
      </c>
      <c r="O430" s="16" t="n">
        <v>0</v>
      </c>
      <c r="P430" s="16" t="n">
        <v>0.242688</v>
      </c>
      <c r="Q430">
        <f>--($A430=IF('الداشبورد'!$B$5="الكل",$A430,'الداشبورد'!$B$5))</f>
        <v/>
      </c>
      <c r="R430">
        <f>--($E430=IF('الداشبورد'!$B$6="الكل",$E430,'الداشبورد'!$B$6))</f>
        <v/>
      </c>
      <c r="S430">
        <f>--($K430=IF('الداشبورد'!$B$7="الكل",$K430,IF('الداشبورد'!$B$7="تصدير","Y","N")))</f>
        <v/>
      </c>
      <c r="T430">
        <f>--($J430=IF('الداشبورد'!$B$8="الكل",$J430,IF('الداشبورد'!$B$8="AL","A","C")))</f>
        <v/>
      </c>
      <c r="U430">
        <f>--($I430=IF('الداشبورد'!$B$9="الكل",$I430,IF('الداشبورد'!$B$9="بدون حالة","P",'الداشبورد'!$B$9)))</f>
        <v/>
      </c>
      <c r="V430">
        <f>--($D430=IF('الداشبورد'!$B$10="الكل",$D430,'الداشبورد'!$B$10))</f>
        <v/>
      </c>
      <c r="W430">
        <f>--($G430=IF('الداشبورد'!$B$11="الكل",$G430,'الداشبورد'!$B$11))</f>
        <v/>
      </c>
      <c r="X430">
        <f>Q430*R430*S430*T430*U430*V430*W430*--($C430&lt;&gt;"")</f>
        <v/>
      </c>
    </row>
    <row r="431">
      <c r="A431" s="15" t="n">
        <v>5</v>
      </c>
      <c r="B431" s="15" t="inlineStr">
        <is>
          <t>G184701</t>
        </is>
      </c>
      <c r="C431" s="15" t="inlineStr">
        <is>
          <t>645/26/02</t>
        </is>
      </c>
      <c r="D431" s="15" t="inlineStr">
        <is>
          <t>Vigo trgovina d.o.o.</t>
        </is>
      </c>
      <c r="E431" s="15" t="inlineStr">
        <is>
          <t>LV</t>
        </is>
      </c>
      <c r="F431" s="15" t="inlineStr">
        <is>
          <t>0.6/1 KV 4X50</t>
        </is>
      </c>
      <c r="G431" s="15" t="inlineStr">
        <is>
          <t>EX03</t>
        </is>
      </c>
      <c r="H431" s="15" t="inlineStr">
        <is>
          <t>Wooden Drums</t>
        </is>
      </c>
      <c r="I431" s="15" t="inlineStr">
        <is>
          <t>OK</t>
        </is>
      </c>
      <c r="J431" s="15" t="inlineStr">
        <is>
          <t>A</t>
        </is>
      </c>
      <c r="K431" s="15" t="inlineStr">
        <is>
          <t>Y</t>
        </is>
      </c>
      <c r="L431" s="15" t="n">
        <v>532</v>
      </c>
      <c r="M431" s="16" t="n">
        <v>0.252168</v>
      </c>
      <c r="N431" s="16" t="n">
        <v>0</v>
      </c>
      <c r="O431" s="16" t="n">
        <v>0</v>
      </c>
      <c r="P431" s="16" t="n">
        <v>0.252168</v>
      </c>
      <c r="Q431">
        <f>--($A431=IF('الداشبورد'!$B$5="الكل",$A431,'الداشبورد'!$B$5))</f>
        <v/>
      </c>
      <c r="R431">
        <f>--($E431=IF('الداشبورد'!$B$6="الكل",$E431,'الداشبورد'!$B$6))</f>
        <v/>
      </c>
      <c r="S431">
        <f>--($K431=IF('الداشبورد'!$B$7="الكل",$K431,IF('الداشبورد'!$B$7="تصدير","Y","N")))</f>
        <v/>
      </c>
      <c r="T431">
        <f>--($J431=IF('الداشبورد'!$B$8="الكل",$J431,IF('الداشبورد'!$B$8="AL","A","C")))</f>
        <v/>
      </c>
      <c r="U431">
        <f>--($I431=IF('الداشبورد'!$B$9="الكل",$I431,IF('الداشبورد'!$B$9="بدون حالة","P",'الداشبورد'!$B$9)))</f>
        <v/>
      </c>
      <c r="V431">
        <f>--($D431=IF('الداشبورد'!$B$10="الكل",$D431,'الداشبورد'!$B$10))</f>
        <v/>
      </c>
      <c r="W431">
        <f>--($G431=IF('الداشبورد'!$B$11="الكل",$G431,'الداشبورد'!$B$11))</f>
        <v/>
      </c>
      <c r="X431">
        <f>Q431*R431*S431*T431*U431*V431*W431*--($C431&lt;&gt;"")</f>
        <v/>
      </c>
    </row>
    <row r="432">
      <c r="A432" s="15" t="n">
        <v>5</v>
      </c>
      <c r="B432" s="15" t="inlineStr">
        <is>
          <t>G184656</t>
        </is>
      </c>
      <c r="C432" s="15" t="inlineStr">
        <is>
          <t>645/26/02</t>
        </is>
      </c>
      <c r="D432" s="15" t="inlineStr">
        <is>
          <t>Vigo trgovina d.o.o.</t>
        </is>
      </c>
      <c r="E432" s="15" t="inlineStr">
        <is>
          <t>LV</t>
        </is>
      </c>
      <c r="F432" s="15" t="inlineStr">
        <is>
          <t>0.6/1 KV 4X50</t>
        </is>
      </c>
      <c r="G432" s="15" t="inlineStr">
        <is>
          <t>EX03</t>
        </is>
      </c>
      <c r="H432" s="15" t="inlineStr">
        <is>
          <t>Wooden Drums</t>
        </is>
      </c>
      <c r="I432" s="15" t="inlineStr">
        <is>
          <t>OK</t>
        </is>
      </c>
      <c r="J432" s="15" t="inlineStr">
        <is>
          <t>A</t>
        </is>
      </c>
      <c r="K432" s="15" t="inlineStr">
        <is>
          <t>Y</t>
        </is>
      </c>
      <c r="L432" s="15" t="n">
        <v>501</v>
      </c>
      <c r="M432" s="16" t="n">
        <v>0.237474</v>
      </c>
      <c r="N432" s="16" t="n">
        <v>0</v>
      </c>
      <c r="O432" s="16" t="n">
        <v>0</v>
      </c>
      <c r="P432" s="16" t="n">
        <v>0.237474</v>
      </c>
      <c r="Q432">
        <f>--($A432=IF('الداشبورد'!$B$5="الكل",$A432,'الداشبورد'!$B$5))</f>
        <v/>
      </c>
      <c r="R432">
        <f>--($E432=IF('الداشبورد'!$B$6="الكل",$E432,'الداشبورد'!$B$6))</f>
        <v/>
      </c>
      <c r="S432">
        <f>--($K432=IF('الداشبورد'!$B$7="الكل",$K432,IF('الداشبورد'!$B$7="تصدير","Y","N")))</f>
        <v/>
      </c>
      <c r="T432">
        <f>--($J432=IF('الداشبورد'!$B$8="الكل",$J432,IF('الداشبورد'!$B$8="AL","A","C")))</f>
        <v/>
      </c>
      <c r="U432">
        <f>--($I432=IF('الداشبورد'!$B$9="الكل",$I432,IF('الداشبورد'!$B$9="بدون حالة","P",'الداشبورد'!$B$9)))</f>
        <v/>
      </c>
      <c r="V432">
        <f>--($D432=IF('الداشبورد'!$B$10="الكل",$D432,'الداشبورد'!$B$10))</f>
        <v/>
      </c>
      <c r="W432">
        <f>--($G432=IF('الداشبورد'!$B$11="الكل",$G432,'الداشبورد'!$B$11))</f>
        <v/>
      </c>
      <c r="X432">
        <f>Q432*R432*S432*T432*U432*V432*W432*--($C432&lt;&gt;"")</f>
        <v/>
      </c>
    </row>
    <row r="433">
      <c r="A433" s="15" t="n">
        <v>5</v>
      </c>
      <c r="B433" s="15" t="inlineStr">
        <is>
          <t>G184694</t>
        </is>
      </c>
      <c r="C433" s="15" t="inlineStr">
        <is>
          <t>645/26/02</t>
        </is>
      </c>
      <c r="D433" s="15" t="inlineStr">
        <is>
          <t>Vigo trgovina d.o.o.</t>
        </is>
      </c>
      <c r="E433" s="15" t="inlineStr">
        <is>
          <t>LV</t>
        </is>
      </c>
      <c r="F433" s="15" t="inlineStr">
        <is>
          <t>0.6/1 KV 4X50</t>
        </is>
      </c>
      <c r="G433" s="15" t="inlineStr">
        <is>
          <t>EX03</t>
        </is>
      </c>
      <c r="H433" s="15" t="inlineStr">
        <is>
          <t>Wooden Drums</t>
        </is>
      </c>
      <c r="I433" s="15" t="inlineStr">
        <is>
          <t>OK</t>
        </is>
      </c>
      <c r="J433" s="15" t="inlineStr">
        <is>
          <t>A</t>
        </is>
      </c>
      <c r="K433" s="15" t="inlineStr">
        <is>
          <t>Y</t>
        </is>
      </c>
      <c r="L433" s="15" t="n">
        <v>520</v>
      </c>
      <c r="M433" s="16" t="n">
        <v>0.24648</v>
      </c>
      <c r="N433" s="16" t="n">
        <v>0</v>
      </c>
      <c r="O433" s="16" t="n">
        <v>0</v>
      </c>
      <c r="P433" s="16" t="n">
        <v>0.24648</v>
      </c>
      <c r="Q433">
        <f>--($A433=IF('الداشبورد'!$B$5="الكل",$A433,'الداشبورد'!$B$5))</f>
        <v/>
      </c>
      <c r="R433">
        <f>--($E433=IF('الداشبورد'!$B$6="الكل",$E433,'الداشبورد'!$B$6))</f>
        <v/>
      </c>
      <c r="S433">
        <f>--($K433=IF('الداشبورد'!$B$7="الكل",$K433,IF('الداشبورد'!$B$7="تصدير","Y","N")))</f>
        <v/>
      </c>
      <c r="T433">
        <f>--($J433=IF('الداشبورد'!$B$8="الكل",$J433,IF('الداشبورد'!$B$8="AL","A","C")))</f>
        <v/>
      </c>
      <c r="U433">
        <f>--($I433=IF('الداشبورد'!$B$9="الكل",$I433,IF('الداشبورد'!$B$9="بدون حالة","P",'الداشبورد'!$B$9)))</f>
        <v/>
      </c>
      <c r="V433">
        <f>--($D433=IF('الداشبورد'!$B$10="الكل",$D433,'الداشبورد'!$B$10))</f>
        <v/>
      </c>
      <c r="W433">
        <f>--($G433=IF('الداشبورد'!$B$11="الكل",$G433,'الداشبورد'!$B$11))</f>
        <v/>
      </c>
      <c r="X433">
        <f>Q433*R433*S433*T433*U433*V433*W433*--($C433&lt;&gt;"")</f>
        <v/>
      </c>
    </row>
    <row r="434">
      <c r="A434" s="15" t="n">
        <v>5</v>
      </c>
      <c r="B434" s="15" t="inlineStr">
        <is>
          <t>P184714</t>
        </is>
      </c>
      <c r="C434" s="15" t="inlineStr">
        <is>
          <t>1431/26/09</t>
        </is>
      </c>
      <c r="D434" s="15" t="inlineStr">
        <is>
          <t>Faber Kabel</t>
        </is>
      </c>
      <c r="E434" s="15" t="inlineStr">
        <is>
          <t>LV</t>
        </is>
      </c>
      <c r="F434" s="15" t="inlineStr">
        <is>
          <t>0.6/1 KV 5X120</t>
        </is>
      </c>
      <c r="G434" s="15" t="inlineStr">
        <is>
          <t>EX03</t>
        </is>
      </c>
      <c r="H434" s="15" t="inlineStr">
        <is>
          <t>Wooden Drums</t>
        </is>
      </c>
      <c r="I434" s="15" t="inlineStr">
        <is>
          <t>OK</t>
        </is>
      </c>
      <c r="J434" s="15" t="inlineStr">
        <is>
          <t>A</t>
        </is>
      </c>
      <c r="K434" s="15" t="inlineStr">
        <is>
          <t>Y</t>
        </is>
      </c>
      <c r="L434" s="15" t="n">
        <v>1001</v>
      </c>
      <c r="M434" s="16" t="n">
        <v>1.623622</v>
      </c>
      <c r="N434" s="16" t="n">
        <v>0</v>
      </c>
      <c r="O434" s="16" t="n">
        <v>0</v>
      </c>
      <c r="P434" s="16" t="n">
        <v>1.623622</v>
      </c>
      <c r="Q434">
        <f>--($A434=IF('الداشبورد'!$B$5="الكل",$A434,'الداشبورد'!$B$5))</f>
        <v/>
      </c>
      <c r="R434">
        <f>--($E434=IF('الداشبورد'!$B$6="الكل",$E434,'الداشبورد'!$B$6))</f>
        <v/>
      </c>
      <c r="S434">
        <f>--($K434=IF('الداشبورد'!$B$7="الكل",$K434,IF('الداشبورد'!$B$7="تصدير","Y","N")))</f>
        <v/>
      </c>
      <c r="T434">
        <f>--($J434=IF('الداشبورد'!$B$8="الكل",$J434,IF('الداشبورد'!$B$8="AL","A","C")))</f>
        <v/>
      </c>
      <c r="U434">
        <f>--($I434=IF('الداشبورد'!$B$9="الكل",$I434,IF('الداشبورد'!$B$9="بدون حالة","P",'الداشبورد'!$B$9)))</f>
        <v/>
      </c>
      <c r="V434">
        <f>--($D434=IF('الداشبورد'!$B$10="الكل",$D434,'الداشبورد'!$B$10))</f>
        <v/>
      </c>
      <c r="W434">
        <f>--($G434=IF('الداشبورد'!$B$11="الكل",$G434,'الداشبورد'!$B$11))</f>
        <v/>
      </c>
      <c r="X434">
        <f>Q434*R434*S434*T434*U434*V434*W434*--($C434&lt;&gt;"")</f>
        <v/>
      </c>
    </row>
    <row r="435">
      <c r="A435" s="15" t="n">
        <v>5</v>
      </c>
      <c r="B435" s="15" t="inlineStr">
        <is>
          <t>P184721</t>
        </is>
      </c>
      <c r="C435" s="15" t="inlineStr">
        <is>
          <t>1432/26/11</t>
        </is>
      </c>
      <c r="D435" s="15" t="inlineStr">
        <is>
          <t>Faber Kabel</t>
        </is>
      </c>
      <c r="E435" s="15" t="inlineStr">
        <is>
          <t>LV</t>
        </is>
      </c>
      <c r="F435" s="15" t="inlineStr">
        <is>
          <t>0.6/1 KV 5X120</t>
        </is>
      </c>
      <c r="G435" s="15" t="inlineStr">
        <is>
          <t>EX03</t>
        </is>
      </c>
      <c r="H435" s="15" t="inlineStr">
        <is>
          <t>Wooden Drums</t>
        </is>
      </c>
      <c r="I435" s="15" t="inlineStr">
        <is>
          <t>OK</t>
        </is>
      </c>
      <c r="J435" s="15" t="inlineStr">
        <is>
          <t>A</t>
        </is>
      </c>
      <c r="K435" s="15" t="inlineStr">
        <is>
          <t>Y</t>
        </is>
      </c>
      <c r="L435" s="15" t="n">
        <v>1017</v>
      </c>
      <c r="M435" s="16" t="n">
        <v>1.649574</v>
      </c>
      <c r="N435" s="16" t="n">
        <v>0</v>
      </c>
      <c r="O435" s="16" t="n">
        <v>0</v>
      </c>
      <c r="P435" s="16" t="n">
        <v>1.649574</v>
      </c>
      <c r="Q435">
        <f>--($A435=IF('الداشبورد'!$B$5="الكل",$A435,'الداشبورد'!$B$5))</f>
        <v/>
      </c>
      <c r="R435">
        <f>--($E435=IF('الداشبورد'!$B$6="الكل",$E435,'الداشبورد'!$B$6))</f>
        <v/>
      </c>
      <c r="S435">
        <f>--($K435=IF('الداشبورد'!$B$7="الكل",$K435,IF('الداشبورد'!$B$7="تصدير","Y","N")))</f>
        <v/>
      </c>
      <c r="T435">
        <f>--($J435=IF('الداشبورد'!$B$8="الكل",$J435,IF('الداشبورد'!$B$8="AL","A","C")))</f>
        <v/>
      </c>
      <c r="U435">
        <f>--($I435=IF('الداشبورد'!$B$9="الكل",$I435,IF('الداشبورد'!$B$9="بدون حالة","P",'الداشبورد'!$B$9)))</f>
        <v/>
      </c>
      <c r="V435">
        <f>--($D435=IF('الداشبورد'!$B$10="الكل",$D435,'الداشبورد'!$B$10))</f>
        <v/>
      </c>
      <c r="W435">
        <f>--($G435=IF('الداشبورد'!$B$11="الكل",$G435,'الداشبورد'!$B$11))</f>
        <v/>
      </c>
      <c r="X435">
        <f>Q435*R435*S435*T435*U435*V435*W435*--($C435&lt;&gt;"")</f>
        <v/>
      </c>
    </row>
    <row r="436">
      <c r="A436" s="15" t="n">
        <v>5</v>
      </c>
      <c r="B436" s="15" t="inlineStr">
        <is>
          <t>P184720</t>
        </is>
      </c>
      <c r="C436" s="15" t="inlineStr">
        <is>
          <t>1432/26/11</t>
        </is>
      </c>
      <c r="D436" s="15" t="inlineStr">
        <is>
          <t>Faber Kabel</t>
        </is>
      </c>
      <c r="E436" s="15" t="inlineStr">
        <is>
          <t>LV</t>
        </is>
      </c>
      <c r="F436" s="15" t="inlineStr">
        <is>
          <t>0.6/1 KV 5X120</t>
        </is>
      </c>
      <c r="G436" s="15" t="inlineStr">
        <is>
          <t>EX03</t>
        </is>
      </c>
      <c r="H436" s="15" t="inlineStr">
        <is>
          <t>Wooden Drums</t>
        </is>
      </c>
      <c r="I436" s="15" t="inlineStr">
        <is>
          <t>OK</t>
        </is>
      </c>
      <c r="J436" s="15" t="inlineStr">
        <is>
          <t>A</t>
        </is>
      </c>
      <c r="K436" s="15" t="inlineStr">
        <is>
          <t>Y</t>
        </is>
      </c>
      <c r="L436" s="15" t="n">
        <v>1005</v>
      </c>
      <c r="M436" s="16" t="n">
        <v>1.63011</v>
      </c>
      <c r="N436" s="16" t="n">
        <v>0</v>
      </c>
      <c r="O436" s="16" t="n">
        <v>0</v>
      </c>
      <c r="P436" s="16" t="n">
        <v>1.63011</v>
      </c>
      <c r="Q436">
        <f>--($A436=IF('الداشبورد'!$B$5="الكل",$A436,'الداشبورد'!$B$5))</f>
        <v/>
      </c>
      <c r="R436">
        <f>--($E436=IF('الداشبورد'!$B$6="الكل",$E436,'الداشبورد'!$B$6))</f>
        <v/>
      </c>
      <c r="S436">
        <f>--($K436=IF('الداشبورد'!$B$7="الكل",$K436,IF('الداشبورد'!$B$7="تصدير","Y","N")))</f>
        <v/>
      </c>
      <c r="T436">
        <f>--($J436=IF('الداشبورد'!$B$8="الكل",$J436,IF('الداشبورد'!$B$8="AL","A","C")))</f>
        <v/>
      </c>
      <c r="U436">
        <f>--($I436=IF('الداشبورد'!$B$9="الكل",$I436,IF('الداشبورد'!$B$9="بدون حالة","P",'الداشبورد'!$B$9)))</f>
        <v/>
      </c>
      <c r="V436">
        <f>--($D436=IF('الداشبورد'!$B$10="الكل",$D436,'الداشبورد'!$B$10))</f>
        <v/>
      </c>
      <c r="W436">
        <f>--($G436=IF('الداشبورد'!$B$11="الكل",$G436,'الداشبورد'!$B$11))</f>
        <v/>
      </c>
      <c r="X436">
        <f>Q436*R436*S436*T436*U436*V436*W436*--($C436&lt;&gt;"")</f>
        <v/>
      </c>
    </row>
    <row r="437">
      <c r="A437" s="15" t="n">
        <v>5</v>
      </c>
      <c r="B437" s="15" t="inlineStr">
        <is>
          <t>P184729</t>
        </is>
      </c>
      <c r="C437" s="15" t="inlineStr">
        <is>
          <t>1432/26/11</t>
        </is>
      </c>
      <c r="D437" s="15" t="inlineStr">
        <is>
          <t>Faber Kabel</t>
        </is>
      </c>
      <c r="E437" s="15" t="inlineStr">
        <is>
          <t>LV</t>
        </is>
      </c>
      <c r="F437" s="15" t="inlineStr">
        <is>
          <t>0.6/1 KV 5X120</t>
        </is>
      </c>
      <c r="G437" s="15" t="inlineStr">
        <is>
          <t>EX03</t>
        </is>
      </c>
      <c r="H437" s="15" t="inlineStr">
        <is>
          <t>Wooden Drums</t>
        </is>
      </c>
      <c r="I437" s="15" t="inlineStr">
        <is>
          <t>OK</t>
        </is>
      </c>
      <c r="J437" s="15" t="inlineStr">
        <is>
          <t>A</t>
        </is>
      </c>
      <c r="K437" s="15" t="inlineStr">
        <is>
          <t>Y</t>
        </is>
      </c>
      <c r="L437" s="15" t="n">
        <v>1005</v>
      </c>
      <c r="M437" s="16" t="n">
        <v>1.63011</v>
      </c>
      <c r="N437" s="16" t="n">
        <v>0</v>
      </c>
      <c r="O437" s="16" t="n">
        <v>0</v>
      </c>
      <c r="P437" s="16" t="n">
        <v>1.63011</v>
      </c>
      <c r="Q437">
        <f>--($A437=IF('الداشبورد'!$B$5="الكل",$A437,'الداشبورد'!$B$5))</f>
        <v/>
      </c>
      <c r="R437">
        <f>--($E437=IF('الداشبورد'!$B$6="الكل",$E437,'الداشبورد'!$B$6))</f>
        <v/>
      </c>
      <c r="S437">
        <f>--($K437=IF('الداشبورد'!$B$7="الكل",$K437,IF('الداشبورد'!$B$7="تصدير","Y","N")))</f>
        <v/>
      </c>
      <c r="T437">
        <f>--($J437=IF('الداشبورد'!$B$8="الكل",$J437,IF('الداشبورد'!$B$8="AL","A","C")))</f>
        <v/>
      </c>
      <c r="U437">
        <f>--($I437=IF('الداشبورد'!$B$9="الكل",$I437,IF('الداشبورد'!$B$9="بدون حالة","P",'الداشبورد'!$B$9)))</f>
        <v/>
      </c>
      <c r="V437">
        <f>--($D437=IF('الداشبورد'!$B$10="الكل",$D437,'الداشبورد'!$B$10))</f>
        <v/>
      </c>
      <c r="W437">
        <f>--($G437=IF('الداشبورد'!$B$11="الكل",$G437,'الداشبورد'!$B$11))</f>
        <v/>
      </c>
      <c r="X437">
        <f>Q437*R437*S437*T437*U437*V437*W437*--($C437&lt;&gt;"")</f>
        <v/>
      </c>
    </row>
    <row r="438">
      <c r="A438" s="15" t="n">
        <v>5</v>
      </c>
      <c r="B438" s="15" t="inlineStr">
        <is>
          <t>SS-507</t>
        </is>
      </c>
      <c r="C438" s="15" t="inlineStr">
        <is>
          <t>395/26/03</t>
        </is>
      </c>
      <c r="D438" s="15" t="inlineStr">
        <is>
          <t>Eland Cables</t>
        </is>
      </c>
      <c r="E438" s="15" t="inlineStr">
        <is>
          <t>MV</t>
        </is>
      </c>
      <c r="F438" s="15" t="inlineStr">
        <is>
          <t>19/33 KV 3X240</t>
        </is>
      </c>
      <c r="G438" s="15" t="inlineStr">
        <is>
          <t>EX04</t>
        </is>
      </c>
      <c r="H438" s="15" t="inlineStr">
        <is>
          <t>Wooden Drums</t>
        </is>
      </c>
      <c r="I438" s="15" t="inlineStr">
        <is>
          <t>P</t>
        </is>
      </c>
      <c r="J438" s="15" t="inlineStr">
        <is>
          <t>C</t>
        </is>
      </c>
      <c r="K438" s="15" t="inlineStr">
        <is>
          <t>Y</t>
        </is>
      </c>
      <c r="L438" s="15" t="n">
        <v>340</v>
      </c>
      <c r="M438" s="16" t="n">
        <v>2.15696</v>
      </c>
      <c r="N438" s="16" t="n">
        <v>0</v>
      </c>
      <c r="O438" s="16" t="n">
        <v>0</v>
      </c>
      <c r="P438" s="16" t="n">
        <v>2.15696</v>
      </c>
      <c r="Q438">
        <f>--($A438=IF('الداشبورد'!$B$5="الكل",$A438,'الداشبورد'!$B$5))</f>
        <v/>
      </c>
      <c r="R438">
        <f>--($E438=IF('الداشبورد'!$B$6="الكل",$E438,'الداشبورد'!$B$6))</f>
        <v/>
      </c>
      <c r="S438">
        <f>--($K438=IF('الداشبورد'!$B$7="الكل",$K438,IF('الداشبورد'!$B$7="تصدير","Y","N")))</f>
        <v/>
      </c>
      <c r="T438">
        <f>--($J438=IF('الداشبورد'!$B$8="الكل",$J438,IF('الداشبورد'!$B$8="AL","A","C")))</f>
        <v/>
      </c>
      <c r="U438">
        <f>--($I438=IF('الداشبورد'!$B$9="الكل",$I438,IF('الداشبورد'!$B$9="بدون حالة","P",'الداشبورد'!$B$9)))</f>
        <v/>
      </c>
      <c r="V438">
        <f>--($D438=IF('الداشبورد'!$B$10="الكل",$D438,'الداشبورد'!$B$10))</f>
        <v/>
      </c>
      <c r="W438">
        <f>--($G438=IF('الداشبورد'!$B$11="الكل",$G438,'الداشبورد'!$B$11))</f>
        <v/>
      </c>
      <c r="X438">
        <f>Q438*R438*S438*T438*U438*V438*W438*--($C438&lt;&gt;"")</f>
        <v/>
      </c>
    </row>
    <row r="439">
      <c r="A439" s="15" t="n">
        <v>5</v>
      </c>
      <c r="B439" s="15" t="inlineStr">
        <is>
          <t>SS-509</t>
        </is>
      </c>
      <c r="C439" s="15" t="inlineStr">
        <is>
          <t>1296/26/01</t>
        </is>
      </c>
      <c r="D439" s="15" t="inlineStr">
        <is>
          <t>Eland Cables</t>
        </is>
      </c>
      <c r="E439" s="15" t="inlineStr">
        <is>
          <t>MV</t>
        </is>
      </c>
      <c r="F439" s="15" t="inlineStr">
        <is>
          <t>6.35/11 KV 3X120</t>
        </is>
      </c>
      <c r="G439" s="15" t="inlineStr">
        <is>
          <t>EX04</t>
        </is>
      </c>
      <c r="H439" s="15" t="inlineStr">
        <is>
          <t>Iron Drums</t>
        </is>
      </c>
      <c r="I439" s="15" t="inlineStr">
        <is>
          <t>Hold</t>
        </is>
      </c>
      <c r="J439" s="15" t="inlineStr">
        <is>
          <t>C</t>
        </is>
      </c>
      <c r="K439" s="15" t="inlineStr">
        <is>
          <t>Y</t>
        </is>
      </c>
      <c r="L439" s="15" t="n">
        <v>1010</v>
      </c>
      <c r="M439" s="16" t="n">
        <v>3.14009</v>
      </c>
      <c r="N439" s="16" t="n">
        <v>0</v>
      </c>
      <c r="O439" s="16" t="n">
        <v>0</v>
      </c>
      <c r="P439" s="16" t="n">
        <v>3.14009</v>
      </c>
      <c r="Q439">
        <f>--($A439=IF('الداشبورد'!$B$5="الكل",$A439,'الداشبورد'!$B$5))</f>
        <v/>
      </c>
      <c r="R439">
        <f>--($E439=IF('الداشبورد'!$B$6="الكل",$E439,'الداشبورد'!$B$6))</f>
        <v/>
      </c>
      <c r="S439">
        <f>--($K439=IF('الداشبورد'!$B$7="الكل",$K439,IF('الداشبورد'!$B$7="تصدير","Y","N")))</f>
        <v/>
      </c>
      <c r="T439">
        <f>--($J439=IF('الداشبورد'!$B$8="الكل",$J439,IF('الداشبورد'!$B$8="AL","A","C")))</f>
        <v/>
      </c>
      <c r="U439">
        <f>--($I439=IF('الداشبورد'!$B$9="الكل",$I439,IF('الداشبورد'!$B$9="بدون حالة","P",'الداشبورد'!$B$9)))</f>
        <v/>
      </c>
      <c r="V439">
        <f>--($D439=IF('الداشبورد'!$B$10="الكل",$D439,'الداشبورد'!$B$10))</f>
        <v/>
      </c>
      <c r="W439">
        <f>--($G439=IF('الداشبورد'!$B$11="الكل",$G439,'الداشبورد'!$B$11))</f>
        <v/>
      </c>
      <c r="X439">
        <f>Q439*R439*S439*T439*U439*V439*W439*--($C439&lt;&gt;"")</f>
        <v/>
      </c>
    </row>
    <row r="440">
      <c r="A440" s="15" t="n">
        <v>5</v>
      </c>
      <c r="B440" s="15" t="inlineStr">
        <is>
          <t>Q184715</t>
        </is>
      </c>
      <c r="C440" s="15" t="inlineStr">
        <is>
          <t>1264/26/01</t>
        </is>
      </c>
      <c r="D440" s="15" t="inlineStr">
        <is>
          <t>Eland Cables</t>
        </is>
      </c>
      <c r="E440" s="15" t="inlineStr">
        <is>
          <t>MV</t>
        </is>
      </c>
      <c r="F440" s="15" t="inlineStr">
        <is>
          <t>18/30 KV 1X630</t>
        </is>
      </c>
      <c r="G440" s="15" t="inlineStr">
        <is>
          <t>EX05</t>
        </is>
      </c>
      <c r="H440" s="15" t="inlineStr">
        <is>
          <t>Wooden Drums</t>
        </is>
      </c>
      <c r="I440" s="15" t="inlineStr">
        <is>
          <t>OK</t>
        </is>
      </c>
      <c r="J440" s="15" t="inlineStr">
        <is>
          <t>A</t>
        </is>
      </c>
      <c r="K440" s="15" t="inlineStr">
        <is>
          <t>Y</t>
        </is>
      </c>
      <c r="L440" s="15" t="n">
        <v>1025</v>
      </c>
      <c r="M440" s="16" t="n">
        <v>1.7425</v>
      </c>
      <c r="N440" s="16" t="n">
        <v>0.320825</v>
      </c>
      <c r="O440" s="16" t="n">
        <v>0</v>
      </c>
      <c r="P440" s="16" t="n">
        <v>2.063325</v>
      </c>
      <c r="Q440">
        <f>--($A440=IF('الداشبورد'!$B$5="الكل",$A440,'الداشبورد'!$B$5))</f>
        <v/>
      </c>
      <c r="R440">
        <f>--($E440=IF('الداشبورد'!$B$6="الكل",$E440,'الداشبورد'!$B$6))</f>
        <v/>
      </c>
      <c r="S440">
        <f>--($K440=IF('الداشبورد'!$B$7="الكل",$K440,IF('الداشبورد'!$B$7="تصدير","Y","N")))</f>
        <v/>
      </c>
      <c r="T440">
        <f>--($J440=IF('الداشبورد'!$B$8="الكل",$J440,IF('الداشبورد'!$B$8="AL","A","C")))</f>
        <v/>
      </c>
      <c r="U440">
        <f>--($I440=IF('الداشبورد'!$B$9="الكل",$I440,IF('الداشبورد'!$B$9="بدون حالة","P",'الداشبورد'!$B$9)))</f>
        <v/>
      </c>
      <c r="V440">
        <f>--($D440=IF('الداشبورد'!$B$10="الكل",$D440,'الداشبورد'!$B$10))</f>
        <v/>
      </c>
      <c r="W440">
        <f>--($G440=IF('الداشبورد'!$B$11="الكل",$G440,'الداشبورد'!$B$11))</f>
        <v/>
      </c>
      <c r="X440">
        <f>Q440*R440*S440*T440*U440*V440*W440*--($C440&lt;&gt;"")</f>
        <v/>
      </c>
    </row>
    <row r="441">
      <c r="A441" s="15" t="n">
        <v>5</v>
      </c>
      <c r="B441" s="15" t="inlineStr">
        <is>
          <t>Q184716</t>
        </is>
      </c>
      <c r="C441" s="15" t="inlineStr">
        <is>
          <t>1264/26/01</t>
        </is>
      </c>
      <c r="D441" s="15" t="inlineStr">
        <is>
          <t>Eland Cables</t>
        </is>
      </c>
      <c r="E441" s="15" t="inlineStr">
        <is>
          <t>MV</t>
        </is>
      </c>
      <c r="F441" s="15" t="inlineStr">
        <is>
          <t>18/30 KV 1X630</t>
        </is>
      </c>
      <c r="G441" s="15" t="inlineStr">
        <is>
          <t>EX05</t>
        </is>
      </c>
      <c r="H441" s="15" t="inlineStr">
        <is>
          <t>Wooden Drums</t>
        </is>
      </c>
      <c r="I441" s="15" t="inlineStr">
        <is>
          <t>OK</t>
        </is>
      </c>
      <c r="J441" s="15" t="inlineStr">
        <is>
          <t>A</t>
        </is>
      </c>
      <c r="K441" s="15" t="inlineStr">
        <is>
          <t>Y</t>
        </is>
      </c>
      <c r="L441" s="15" t="n">
        <v>1040</v>
      </c>
      <c r="M441" s="16" t="n">
        <v>1.768</v>
      </c>
      <c r="N441" s="16" t="n">
        <v>0.32552</v>
      </c>
      <c r="O441" s="16" t="n">
        <v>0</v>
      </c>
      <c r="P441" s="16" t="n">
        <v>2.09352</v>
      </c>
      <c r="Q441">
        <f>--($A441=IF('الداشبورد'!$B$5="الكل",$A441,'الداشبورد'!$B$5))</f>
        <v/>
      </c>
      <c r="R441">
        <f>--($E441=IF('الداشبورد'!$B$6="الكل",$E441,'الداشبورد'!$B$6))</f>
        <v/>
      </c>
      <c r="S441">
        <f>--($K441=IF('الداشبورد'!$B$7="الكل",$K441,IF('الداشبورد'!$B$7="تصدير","Y","N")))</f>
        <v/>
      </c>
      <c r="T441">
        <f>--($J441=IF('الداشبورد'!$B$8="الكل",$J441,IF('الداشبورد'!$B$8="AL","A","C")))</f>
        <v/>
      </c>
      <c r="U441">
        <f>--($I441=IF('الداشبورد'!$B$9="الكل",$I441,IF('الداشبورد'!$B$9="بدون حالة","P",'الداشبورد'!$B$9)))</f>
        <v/>
      </c>
      <c r="V441">
        <f>--($D441=IF('الداشبورد'!$B$10="الكل",$D441,'الداشبورد'!$B$10))</f>
        <v/>
      </c>
      <c r="W441">
        <f>--($G441=IF('الداشبورد'!$B$11="الكل",$G441,'الداشبورد'!$B$11))</f>
        <v/>
      </c>
      <c r="X441">
        <f>Q441*R441*S441*T441*U441*V441*W441*--($C441&lt;&gt;"")</f>
        <v/>
      </c>
    </row>
    <row r="442">
      <c r="A442" s="15" t="n">
        <v>5</v>
      </c>
      <c r="B442" s="15" t="inlineStr">
        <is>
          <t>Q184719</t>
        </is>
      </c>
      <c r="C442" s="15" t="inlineStr">
        <is>
          <t>1264/26/01</t>
        </is>
      </c>
      <c r="D442" s="15" t="inlineStr">
        <is>
          <t>Eland Cables</t>
        </is>
      </c>
      <c r="E442" s="15" t="inlineStr">
        <is>
          <t>MV</t>
        </is>
      </c>
      <c r="F442" s="15" t="inlineStr">
        <is>
          <t>18/30 KV 1X630</t>
        </is>
      </c>
      <c r="G442" s="15" t="inlineStr">
        <is>
          <t>EX05</t>
        </is>
      </c>
      <c r="H442" s="15" t="inlineStr">
        <is>
          <t>Wooden Drums</t>
        </is>
      </c>
      <c r="I442" s="15" t="inlineStr">
        <is>
          <t>OK</t>
        </is>
      </c>
      <c r="J442" s="15" t="inlineStr">
        <is>
          <t>A</t>
        </is>
      </c>
      <c r="K442" s="15" t="inlineStr">
        <is>
          <t>Y</t>
        </is>
      </c>
      <c r="L442" s="15" t="n">
        <v>1025</v>
      </c>
      <c r="M442" s="16" t="n">
        <v>1.7425</v>
      </c>
      <c r="N442" s="16" t="n">
        <v>0.320825</v>
      </c>
      <c r="O442" s="16" t="n">
        <v>0</v>
      </c>
      <c r="P442" s="16" t="n">
        <v>2.063325</v>
      </c>
      <c r="Q442">
        <f>--($A442=IF('الداشبورد'!$B$5="الكل",$A442,'الداشبورد'!$B$5))</f>
        <v/>
      </c>
      <c r="R442">
        <f>--($E442=IF('الداشبورد'!$B$6="الكل",$E442,'الداشبورد'!$B$6))</f>
        <v/>
      </c>
      <c r="S442">
        <f>--($K442=IF('الداشبورد'!$B$7="الكل",$K442,IF('الداشبورد'!$B$7="تصدير","Y","N")))</f>
        <v/>
      </c>
      <c r="T442">
        <f>--($J442=IF('الداشبورد'!$B$8="الكل",$J442,IF('الداشبورد'!$B$8="AL","A","C")))</f>
        <v/>
      </c>
      <c r="U442">
        <f>--($I442=IF('الداشبورد'!$B$9="الكل",$I442,IF('الداشبورد'!$B$9="بدون حالة","P",'الداشبورد'!$B$9)))</f>
        <v/>
      </c>
      <c r="V442">
        <f>--($D442=IF('الداشبورد'!$B$10="الكل",$D442,'الداشبورد'!$B$10))</f>
        <v/>
      </c>
      <c r="W442">
        <f>--($G442=IF('الداشبورد'!$B$11="الكل",$G442,'الداشبورد'!$B$11))</f>
        <v/>
      </c>
      <c r="X442">
        <f>Q442*R442*S442*T442*U442*V442*W442*--($C442&lt;&gt;"")</f>
        <v/>
      </c>
    </row>
    <row r="443">
      <c r="A443" s="15" t="n">
        <v>5</v>
      </c>
      <c r="B443" s="15" t="inlineStr">
        <is>
          <t>Q184718</t>
        </is>
      </c>
      <c r="C443" s="15" t="inlineStr">
        <is>
          <t>1264/26/01</t>
        </is>
      </c>
      <c r="D443" s="15" t="inlineStr">
        <is>
          <t>Eland Cables</t>
        </is>
      </c>
      <c r="E443" s="15" t="inlineStr">
        <is>
          <t>MV</t>
        </is>
      </c>
      <c r="F443" s="15" t="inlineStr">
        <is>
          <t>18/30 KV 1X630</t>
        </is>
      </c>
      <c r="G443" s="15" t="inlineStr">
        <is>
          <t>EX05</t>
        </is>
      </c>
      <c r="H443" s="15" t="inlineStr">
        <is>
          <t>Wooden Drums</t>
        </is>
      </c>
      <c r="I443" s="15" t="inlineStr">
        <is>
          <t>OK</t>
        </is>
      </c>
      <c r="J443" s="15" t="inlineStr">
        <is>
          <t>A</t>
        </is>
      </c>
      <c r="K443" s="15" t="inlineStr">
        <is>
          <t>Y</t>
        </is>
      </c>
      <c r="L443" s="15" t="n">
        <v>1069</v>
      </c>
      <c r="M443" s="16" t="n">
        <v>1.8173</v>
      </c>
      <c r="N443" s="16" t="n">
        <v>0.334597</v>
      </c>
      <c r="O443" s="16" t="n">
        <v>0</v>
      </c>
      <c r="P443" s="16" t="n">
        <v>2.151897</v>
      </c>
      <c r="Q443">
        <f>--($A443=IF('الداشبورد'!$B$5="الكل",$A443,'الداشبورد'!$B$5))</f>
        <v/>
      </c>
      <c r="R443">
        <f>--($E443=IF('الداشبورد'!$B$6="الكل",$E443,'الداشبورد'!$B$6))</f>
        <v/>
      </c>
      <c r="S443">
        <f>--($K443=IF('الداشبورد'!$B$7="الكل",$K443,IF('الداشبورد'!$B$7="تصدير","Y","N")))</f>
        <v/>
      </c>
      <c r="T443">
        <f>--($J443=IF('الداشبورد'!$B$8="الكل",$J443,IF('الداشبورد'!$B$8="AL","A","C")))</f>
        <v/>
      </c>
      <c r="U443">
        <f>--($I443=IF('الداشبورد'!$B$9="الكل",$I443,IF('الداشبورد'!$B$9="بدون حالة","P",'الداشبورد'!$B$9)))</f>
        <v/>
      </c>
      <c r="V443">
        <f>--($D443=IF('الداشبورد'!$B$10="الكل",$D443,'الداشبورد'!$B$10))</f>
        <v/>
      </c>
      <c r="W443">
        <f>--($G443=IF('الداشبورد'!$B$11="الكل",$G443,'الداشبورد'!$B$11))</f>
        <v/>
      </c>
      <c r="X443">
        <f>Q443*R443*S443*T443*U443*V443*W443*--($C443&lt;&gt;"")</f>
        <v/>
      </c>
    </row>
    <row r="444">
      <c r="A444" s="15" t="n">
        <v>5</v>
      </c>
      <c r="B444" s="15" t="inlineStr">
        <is>
          <t>Q184717</t>
        </is>
      </c>
      <c r="C444" s="15" t="inlineStr">
        <is>
          <t>1264/26/01</t>
        </is>
      </c>
      <c r="D444" s="15" t="inlineStr">
        <is>
          <t>Eland Cables</t>
        </is>
      </c>
      <c r="E444" s="15" t="inlineStr">
        <is>
          <t>MV</t>
        </is>
      </c>
      <c r="F444" s="15" t="inlineStr">
        <is>
          <t>18/30 KV 1X630</t>
        </is>
      </c>
      <c r="G444" s="15" t="inlineStr">
        <is>
          <t>EX05</t>
        </is>
      </c>
      <c r="H444" s="15" t="inlineStr">
        <is>
          <t>Wooden Drums</t>
        </is>
      </c>
      <c r="I444" s="15" t="inlineStr">
        <is>
          <t>OK</t>
        </is>
      </c>
      <c r="J444" s="15" t="inlineStr">
        <is>
          <t>A</t>
        </is>
      </c>
      <c r="K444" s="15" t="inlineStr">
        <is>
          <t>Y</t>
        </is>
      </c>
      <c r="L444" s="15" t="n">
        <v>1035</v>
      </c>
      <c r="M444" s="16" t="n">
        <v>1.7595</v>
      </c>
      <c r="N444" s="16" t="n">
        <v>0.323955</v>
      </c>
      <c r="O444" s="16" t="n">
        <v>0</v>
      </c>
      <c r="P444" s="16" t="n">
        <v>2.083455</v>
      </c>
      <c r="Q444">
        <f>--($A444=IF('الداشبورد'!$B$5="الكل",$A444,'الداشبورد'!$B$5))</f>
        <v/>
      </c>
      <c r="R444">
        <f>--($E444=IF('الداشبورد'!$B$6="الكل",$E444,'الداشبورد'!$B$6))</f>
        <v/>
      </c>
      <c r="S444">
        <f>--($K444=IF('الداشبورد'!$B$7="الكل",$K444,IF('الداشبورد'!$B$7="تصدير","Y","N")))</f>
        <v/>
      </c>
      <c r="T444">
        <f>--($J444=IF('الداشبورد'!$B$8="الكل",$J444,IF('الداشبورد'!$B$8="AL","A","C")))</f>
        <v/>
      </c>
      <c r="U444">
        <f>--($I444=IF('الداشبورد'!$B$9="الكل",$I444,IF('الداشبورد'!$B$9="بدون حالة","P",'الداشبورد'!$B$9)))</f>
        <v/>
      </c>
      <c r="V444">
        <f>--($D444=IF('الداشبورد'!$B$10="الكل",$D444,'الداشبورد'!$B$10))</f>
        <v/>
      </c>
      <c r="W444">
        <f>--($G444=IF('الداشبورد'!$B$11="الكل",$G444,'الداشبورد'!$B$11))</f>
        <v/>
      </c>
      <c r="X444">
        <f>Q444*R444*S444*T444*U444*V444*W444*--($C444&lt;&gt;"")</f>
        <v/>
      </c>
    </row>
    <row r="445">
      <c r="A445" s="15" t="n">
        <v>5</v>
      </c>
      <c r="B445" s="15" t="inlineStr">
        <is>
          <t>Q184748</t>
        </is>
      </c>
      <c r="C445" s="15" t="inlineStr">
        <is>
          <t>1264/26/01</t>
        </is>
      </c>
      <c r="D445" s="15" t="inlineStr">
        <is>
          <t>Eland Cables</t>
        </is>
      </c>
      <c r="E445" s="15" t="inlineStr">
        <is>
          <t>MV</t>
        </is>
      </c>
      <c r="F445" s="15" t="inlineStr">
        <is>
          <t>18/30 KV 1X630</t>
        </is>
      </c>
      <c r="G445" s="15" t="inlineStr">
        <is>
          <t>EX05</t>
        </is>
      </c>
      <c r="H445" s="15" t="inlineStr">
        <is>
          <t>Wooden Drums</t>
        </is>
      </c>
      <c r="I445" s="15" t="inlineStr">
        <is>
          <t>OK</t>
        </is>
      </c>
      <c r="J445" s="15" t="inlineStr">
        <is>
          <t>A</t>
        </is>
      </c>
      <c r="K445" s="15" t="inlineStr">
        <is>
          <t>Y</t>
        </is>
      </c>
      <c r="L445" s="15" t="n">
        <v>1050</v>
      </c>
      <c r="M445" s="16" t="n">
        <v>1.785</v>
      </c>
      <c r="N445" s="16" t="n">
        <v>0.32865</v>
      </c>
      <c r="O445" s="16" t="n">
        <v>0</v>
      </c>
      <c r="P445" s="16" t="n">
        <v>2.11365</v>
      </c>
      <c r="Q445">
        <f>--($A445=IF('الداشبورد'!$B$5="الكل",$A445,'الداشبورد'!$B$5))</f>
        <v/>
      </c>
      <c r="R445">
        <f>--($E445=IF('الداشبورد'!$B$6="الكل",$E445,'الداشبورد'!$B$6))</f>
        <v/>
      </c>
      <c r="S445">
        <f>--($K445=IF('الداشبورد'!$B$7="الكل",$K445,IF('الداشبورد'!$B$7="تصدير","Y","N")))</f>
        <v/>
      </c>
      <c r="T445">
        <f>--($J445=IF('الداشبورد'!$B$8="الكل",$J445,IF('الداشبورد'!$B$8="AL","A","C")))</f>
        <v/>
      </c>
      <c r="U445">
        <f>--($I445=IF('الداشبورد'!$B$9="الكل",$I445,IF('الداشبورد'!$B$9="بدون حالة","P",'الداشبورد'!$B$9)))</f>
        <v/>
      </c>
      <c r="V445">
        <f>--($D445=IF('الداشبورد'!$B$10="الكل",$D445,'الداشبورد'!$B$10))</f>
        <v/>
      </c>
      <c r="W445">
        <f>--($G445=IF('الداشبورد'!$B$11="الكل",$G445,'الداشبورد'!$B$11))</f>
        <v/>
      </c>
      <c r="X445">
        <f>Q445*R445*S445*T445*U445*V445*W445*--($C445&lt;&gt;"")</f>
        <v/>
      </c>
    </row>
    <row r="446">
      <c r="A446" s="15" t="n">
        <v>5</v>
      </c>
      <c r="B446" s="15" t="inlineStr">
        <is>
          <t>Q184750</t>
        </is>
      </c>
      <c r="C446" s="15" t="inlineStr">
        <is>
          <t>1264/26/01</t>
        </is>
      </c>
      <c r="D446" s="15" t="inlineStr">
        <is>
          <t>Eland Cables</t>
        </is>
      </c>
      <c r="E446" s="15" t="inlineStr">
        <is>
          <t>MV</t>
        </is>
      </c>
      <c r="F446" s="15" t="inlineStr">
        <is>
          <t>18/30 KV 1X630</t>
        </is>
      </c>
      <c r="G446" s="15" t="inlineStr">
        <is>
          <t>EX05</t>
        </is>
      </c>
      <c r="H446" s="15" t="inlineStr">
        <is>
          <t>Wooden Drums</t>
        </is>
      </c>
      <c r="I446" s="15" t="inlineStr">
        <is>
          <t>OK</t>
        </is>
      </c>
      <c r="J446" s="15" t="inlineStr">
        <is>
          <t>A</t>
        </is>
      </c>
      <c r="K446" s="15" t="inlineStr">
        <is>
          <t>Y</t>
        </is>
      </c>
      <c r="L446" s="15" t="n">
        <v>1035</v>
      </c>
      <c r="M446" s="16" t="n">
        <v>1.7595</v>
      </c>
      <c r="N446" s="16" t="n">
        <v>0.323955</v>
      </c>
      <c r="O446" s="16" t="n">
        <v>0</v>
      </c>
      <c r="P446" s="16" t="n">
        <v>2.083455</v>
      </c>
      <c r="Q446">
        <f>--($A446=IF('الداشبورد'!$B$5="الكل",$A446,'الداشبورد'!$B$5))</f>
        <v/>
      </c>
      <c r="R446">
        <f>--($E446=IF('الداشبورد'!$B$6="الكل",$E446,'الداشبورد'!$B$6))</f>
        <v/>
      </c>
      <c r="S446">
        <f>--($K446=IF('الداشبورد'!$B$7="الكل",$K446,IF('الداشبورد'!$B$7="تصدير","Y","N")))</f>
        <v/>
      </c>
      <c r="T446">
        <f>--($J446=IF('الداشبورد'!$B$8="الكل",$J446,IF('الداشبورد'!$B$8="AL","A","C")))</f>
        <v/>
      </c>
      <c r="U446">
        <f>--($I446=IF('الداشبورد'!$B$9="الكل",$I446,IF('الداشبورد'!$B$9="بدون حالة","P",'الداشبورد'!$B$9)))</f>
        <v/>
      </c>
      <c r="V446">
        <f>--($D446=IF('الداشبورد'!$B$10="الكل",$D446,'الداشبورد'!$B$10))</f>
        <v/>
      </c>
      <c r="W446">
        <f>--($G446=IF('الداشبورد'!$B$11="الكل",$G446,'الداشبورد'!$B$11))</f>
        <v/>
      </c>
      <c r="X446">
        <f>Q446*R446*S446*T446*U446*V446*W446*--($C446&lt;&gt;"")</f>
        <v/>
      </c>
    </row>
    <row r="447">
      <c r="A447" s="15" t="n">
        <v>5</v>
      </c>
      <c r="B447" s="15" t="inlineStr">
        <is>
          <t>M184646</t>
        </is>
      </c>
      <c r="C447" s="15" t="inlineStr">
        <is>
          <t>1481/26/01</t>
        </is>
      </c>
      <c r="D447" s="15" t="inlineStr">
        <is>
          <t>Eland Cables</t>
        </is>
      </c>
      <c r="E447" s="15" t="inlineStr">
        <is>
          <t>MV</t>
        </is>
      </c>
      <c r="F447" s="15" t="inlineStr">
        <is>
          <t>12/20 KV 1X630</t>
        </is>
      </c>
      <c r="G447" s="15" t="inlineStr">
        <is>
          <t>EX06</t>
        </is>
      </c>
      <c r="H447" s="15" t="inlineStr">
        <is>
          <t>Wooden Drums</t>
        </is>
      </c>
      <c r="I447" s="15" t="inlineStr">
        <is>
          <t>OK</t>
        </is>
      </c>
      <c r="J447" s="15" t="inlineStr">
        <is>
          <t>A</t>
        </is>
      </c>
      <c r="K447" s="15" t="inlineStr">
        <is>
          <t>Y</t>
        </is>
      </c>
      <c r="L447" s="15" t="n">
        <v>644</v>
      </c>
      <c r="M447" s="16" t="n">
        <v>1.0948</v>
      </c>
      <c r="N447" s="16" t="n">
        <v>0.09531199999999999</v>
      </c>
      <c r="O447" s="16" t="n">
        <v>0</v>
      </c>
      <c r="P447" s="16" t="n">
        <v>1.190112</v>
      </c>
      <c r="Q447">
        <f>--($A447=IF('الداشبورد'!$B$5="الكل",$A447,'الداشبورد'!$B$5))</f>
        <v/>
      </c>
      <c r="R447">
        <f>--($E447=IF('الداشبورد'!$B$6="الكل",$E447,'الداشبورد'!$B$6))</f>
        <v/>
      </c>
      <c r="S447">
        <f>--($K447=IF('الداشبورد'!$B$7="الكل",$K447,IF('الداشبورد'!$B$7="تصدير","Y","N")))</f>
        <v/>
      </c>
      <c r="T447">
        <f>--($J447=IF('الداشبورد'!$B$8="الكل",$J447,IF('الداشبورد'!$B$8="AL","A","C")))</f>
        <v/>
      </c>
      <c r="U447">
        <f>--($I447=IF('الداشبورد'!$B$9="الكل",$I447,IF('الداشبورد'!$B$9="بدون حالة","P",'الداشبورد'!$B$9)))</f>
        <v/>
      </c>
      <c r="V447">
        <f>--($D447=IF('الداشبورد'!$B$10="الكل",$D447,'الداشبورد'!$B$10))</f>
        <v/>
      </c>
      <c r="W447">
        <f>--($G447=IF('الداشبورد'!$B$11="الكل",$G447,'الداشبورد'!$B$11))</f>
        <v/>
      </c>
      <c r="X447">
        <f>Q447*R447*S447*T447*U447*V447*W447*--($C447&lt;&gt;"")</f>
        <v/>
      </c>
    </row>
    <row r="448">
      <c r="A448" s="15" t="n">
        <v>5</v>
      </c>
      <c r="B448" s="15" t="inlineStr">
        <is>
          <t>M184689</t>
        </is>
      </c>
      <c r="C448" s="15" t="inlineStr">
        <is>
          <t>1481/26/01</t>
        </is>
      </c>
      <c r="D448" s="15" t="inlineStr">
        <is>
          <t>Eland Cables</t>
        </is>
      </c>
      <c r="E448" s="15" t="inlineStr">
        <is>
          <t>MV</t>
        </is>
      </c>
      <c r="F448" s="15" t="inlineStr">
        <is>
          <t>12/20 KV 1X630</t>
        </is>
      </c>
      <c r="G448" s="15" t="inlineStr">
        <is>
          <t>EX06</t>
        </is>
      </c>
      <c r="H448" s="15" t="inlineStr">
        <is>
          <t>Wooden Drums</t>
        </is>
      </c>
      <c r="I448" s="15" t="inlineStr">
        <is>
          <t>OK</t>
        </is>
      </c>
      <c r="J448" s="15" t="inlineStr">
        <is>
          <t>A</t>
        </is>
      </c>
      <c r="K448" s="15" t="inlineStr">
        <is>
          <t>Y</t>
        </is>
      </c>
      <c r="L448" s="15" t="n">
        <v>643</v>
      </c>
      <c r="M448" s="16" t="n">
        <v>1.0931</v>
      </c>
      <c r="N448" s="16" t="n">
        <v>0.095164</v>
      </c>
      <c r="O448" s="16" t="n">
        <v>0</v>
      </c>
      <c r="P448" s="16" t="n">
        <v>1.188264</v>
      </c>
      <c r="Q448">
        <f>--($A448=IF('الداشبورد'!$B$5="الكل",$A448,'الداشبورد'!$B$5))</f>
        <v/>
      </c>
      <c r="R448">
        <f>--($E448=IF('الداشبورد'!$B$6="الكل",$E448,'الداشبورد'!$B$6))</f>
        <v/>
      </c>
      <c r="S448">
        <f>--($K448=IF('الداشبورد'!$B$7="الكل",$K448,IF('الداشبورد'!$B$7="تصدير","Y","N")))</f>
        <v/>
      </c>
      <c r="T448">
        <f>--($J448=IF('الداشبورد'!$B$8="الكل",$J448,IF('الداشبورد'!$B$8="AL","A","C")))</f>
        <v/>
      </c>
      <c r="U448">
        <f>--($I448=IF('الداشبورد'!$B$9="الكل",$I448,IF('الداشبورد'!$B$9="بدون حالة","P",'الداشبورد'!$B$9)))</f>
        <v/>
      </c>
      <c r="V448">
        <f>--($D448=IF('الداشبورد'!$B$10="الكل",$D448,'الداشبورد'!$B$10))</f>
        <v/>
      </c>
      <c r="W448">
        <f>--($G448=IF('الداشبورد'!$B$11="الكل",$G448,'الداشبورد'!$B$11))</f>
        <v/>
      </c>
      <c r="X448">
        <f>Q448*R448*S448*T448*U448*V448*W448*--($C448&lt;&gt;"")</f>
        <v/>
      </c>
    </row>
    <row r="449">
      <c r="A449" s="15" t="n">
        <v>5</v>
      </c>
      <c r="B449" s="15" t="inlineStr">
        <is>
          <t>M184690</t>
        </is>
      </c>
      <c r="C449" s="15" t="inlineStr">
        <is>
          <t>1481/26/01</t>
        </is>
      </c>
      <c r="D449" s="15" t="inlineStr">
        <is>
          <t>Eland Cables</t>
        </is>
      </c>
      <c r="E449" s="15" t="inlineStr">
        <is>
          <t>MV</t>
        </is>
      </c>
      <c r="F449" s="15" t="inlineStr">
        <is>
          <t>12/20 KV 1X630</t>
        </is>
      </c>
      <c r="G449" s="15" t="inlineStr">
        <is>
          <t>EX06</t>
        </is>
      </c>
      <c r="H449" s="15" t="inlineStr">
        <is>
          <t>Wooden Drums</t>
        </is>
      </c>
      <c r="I449" s="15" t="inlineStr">
        <is>
          <t>OK</t>
        </is>
      </c>
      <c r="J449" s="15" t="inlineStr">
        <is>
          <t>A</t>
        </is>
      </c>
      <c r="K449" s="15" t="inlineStr">
        <is>
          <t>Y</t>
        </is>
      </c>
      <c r="L449" s="15" t="n">
        <v>635</v>
      </c>
      <c r="M449" s="16" t="n">
        <v>1.0795</v>
      </c>
      <c r="N449" s="16" t="n">
        <v>0.09397999999999999</v>
      </c>
      <c r="O449" s="16" t="n">
        <v>0</v>
      </c>
      <c r="P449" s="16" t="n">
        <v>1.17348</v>
      </c>
      <c r="Q449">
        <f>--($A449=IF('الداشبورد'!$B$5="الكل",$A449,'الداشبورد'!$B$5))</f>
        <v/>
      </c>
      <c r="R449">
        <f>--($E449=IF('الداشبورد'!$B$6="الكل",$E449,'الداشبورد'!$B$6))</f>
        <v/>
      </c>
      <c r="S449">
        <f>--($K449=IF('الداشبورد'!$B$7="الكل",$K449,IF('الداشبورد'!$B$7="تصدير","Y","N")))</f>
        <v/>
      </c>
      <c r="T449">
        <f>--($J449=IF('الداشبورد'!$B$8="الكل",$J449,IF('الداشبورد'!$B$8="AL","A","C")))</f>
        <v/>
      </c>
      <c r="U449">
        <f>--($I449=IF('الداشبورد'!$B$9="الكل",$I449,IF('الداشبورد'!$B$9="بدون حالة","P",'الداشبورد'!$B$9)))</f>
        <v/>
      </c>
      <c r="V449">
        <f>--($D449=IF('الداشبورد'!$B$10="الكل",$D449,'الداشبورد'!$B$10))</f>
        <v/>
      </c>
      <c r="W449">
        <f>--($G449=IF('الداشبورد'!$B$11="الكل",$G449,'الداشبورد'!$B$11))</f>
        <v/>
      </c>
      <c r="X449">
        <f>Q449*R449*S449*T449*U449*V449*W449*--($C449&lt;&gt;"")</f>
        <v/>
      </c>
    </row>
    <row r="450">
      <c r="A450" s="15" t="n">
        <v>5</v>
      </c>
      <c r="B450" s="15" t="inlineStr">
        <is>
          <t>M184687</t>
        </is>
      </c>
      <c r="C450" s="15" t="inlineStr">
        <is>
          <t>1481/26/01</t>
        </is>
      </c>
      <c r="D450" s="15" t="inlineStr">
        <is>
          <t>Eland Cables</t>
        </is>
      </c>
      <c r="E450" s="15" t="inlineStr">
        <is>
          <t>MV</t>
        </is>
      </c>
      <c r="F450" s="15" t="inlineStr">
        <is>
          <t>12/20 KV 1X630</t>
        </is>
      </c>
      <c r="G450" s="15" t="inlineStr">
        <is>
          <t>EX06</t>
        </is>
      </c>
      <c r="H450" s="15" t="inlineStr">
        <is>
          <t>Wooden Drums</t>
        </is>
      </c>
      <c r="I450" s="15" t="inlineStr">
        <is>
          <t>OK</t>
        </is>
      </c>
      <c r="J450" s="15" t="inlineStr">
        <is>
          <t>A</t>
        </is>
      </c>
      <c r="K450" s="15" t="inlineStr">
        <is>
          <t>Y</t>
        </is>
      </c>
      <c r="L450" s="15" t="n">
        <v>635</v>
      </c>
      <c r="M450" s="16" t="n">
        <v>1.0795</v>
      </c>
      <c r="N450" s="16" t="n">
        <v>0.09397999999999999</v>
      </c>
      <c r="O450" s="16" t="n">
        <v>0</v>
      </c>
      <c r="P450" s="16" t="n">
        <v>1.17348</v>
      </c>
      <c r="Q450">
        <f>--($A450=IF('الداشبورد'!$B$5="الكل",$A450,'الداشبورد'!$B$5))</f>
        <v/>
      </c>
      <c r="R450">
        <f>--($E450=IF('الداشبورد'!$B$6="الكل",$E450,'الداشبورد'!$B$6))</f>
        <v/>
      </c>
      <c r="S450">
        <f>--($K450=IF('الداشبورد'!$B$7="الكل",$K450,IF('الداشبورد'!$B$7="تصدير","Y","N")))</f>
        <v/>
      </c>
      <c r="T450">
        <f>--($J450=IF('الداشبورد'!$B$8="الكل",$J450,IF('الداشبورد'!$B$8="AL","A","C")))</f>
        <v/>
      </c>
      <c r="U450">
        <f>--($I450=IF('الداشبورد'!$B$9="الكل",$I450,IF('الداشبورد'!$B$9="بدون حالة","P",'الداشبورد'!$B$9)))</f>
        <v/>
      </c>
      <c r="V450">
        <f>--($D450=IF('الداشبورد'!$B$10="الكل",$D450,'الداشبورد'!$B$10))</f>
        <v/>
      </c>
      <c r="W450">
        <f>--($G450=IF('الداشبورد'!$B$11="الكل",$G450,'الداشبورد'!$B$11))</f>
        <v/>
      </c>
      <c r="X450">
        <f>Q450*R450*S450*T450*U450*V450*W450*--($C450&lt;&gt;"")</f>
        <v/>
      </c>
    </row>
    <row r="451">
      <c r="A451" s="15" t="n">
        <v>5</v>
      </c>
      <c r="B451" s="15" t="inlineStr">
        <is>
          <t>O184766</t>
        </is>
      </c>
      <c r="C451" s="15" t="inlineStr">
        <is>
          <t>1305/26/01</t>
        </is>
      </c>
      <c r="D451" s="15" t="inlineStr">
        <is>
          <t>Cleveland Cables Company</t>
        </is>
      </c>
      <c r="E451" s="15" t="inlineStr">
        <is>
          <t>MV</t>
        </is>
      </c>
      <c r="F451" s="15" t="inlineStr">
        <is>
          <t>19/33KV 1*240</t>
        </is>
      </c>
      <c r="G451" s="15" t="inlineStr">
        <is>
          <t>EX03</t>
        </is>
      </c>
      <c r="H451" s="15" t="inlineStr">
        <is>
          <t>Wooden Drums</t>
        </is>
      </c>
      <c r="I451" s="15" t="inlineStr">
        <is>
          <t>OK</t>
        </is>
      </c>
      <c r="J451" s="15" t="inlineStr">
        <is>
          <t>C</t>
        </is>
      </c>
      <c r="K451" s="15" t="inlineStr">
        <is>
          <t>Y</t>
        </is>
      </c>
      <c r="L451" s="15" t="n">
        <v>1050</v>
      </c>
      <c r="M451" s="16" t="n">
        <v>2.205</v>
      </c>
      <c r="N451" s="16" t="n">
        <v>0.3318</v>
      </c>
      <c r="O451" s="16" t="n">
        <v>0</v>
      </c>
      <c r="P451" s="16" t="n">
        <v>2.5368</v>
      </c>
      <c r="Q451">
        <f>--($A451=IF('الداشبورد'!$B$5="الكل",$A451,'الداشبورد'!$B$5))</f>
        <v/>
      </c>
      <c r="R451">
        <f>--($E451=IF('الداشبورد'!$B$6="الكل",$E451,'الداشبورد'!$B$6))</f>
        <v/>
      </c>
      <c r="S451">
        <f>--($K451=IF('الداشبورد'!$B$7="الكل",$K451,IF('الداشبورد'!$B$7="تصدير","Y","N")))</f>
        <v/>
      </c>
      <c r="T451">
        <f>--($J451=IF('الداشبورد'!$B$8="الكل",$J451,IF('الداشبورد'!$B$8="AL","A","C")))</f>
        <v/>
      </c>
      <c r="U451">
        <f>--($I451=IF('الداشبورد'!$B$9="الكل",$I451,IF('الداشبورد'!$B$9="بدون حالة","P",'الداشبورد'!$B$9)))</f>
        <v/>
      </c>
      <c r="V451">
        <f>--($D451=IF('الداشبورد'!$B$10="الكل",$D451,'الداشبورد'!$B$10))</f>
        <v/>
      </c>
      <c r="W451">
        <f>--($G451=IF('الداشبورد'!$B$11="الكل",$G451,'الداشبورد'!$B$11))</f>
        <v/>
      </c>
      <c r="X451">
        <f>Q451*R451*S451*T451*U451*V451*W451*--($C451&lt;&gt;"")</f>
        <v/>
      </c>
    </row>
    <row r="452">
      <c r="A452" s="15" t="n">
        <v>4</v>
      </c>
      <c r="B452" s="15" t="inlineStr">
        <is>
          <t>K184527</t>
        </is>
      </c>
      <c r="C452" s="15" t="inlineStr">
        <is>
          <t>1085/26/02</t>
        </is>
      </c>
      <c r="D452" s="15" t="inlineStr">
        <is>
          <t>Cleveland Cables Company</t>
        </is>
      </c>
      <c r="E452" s="15" t="inlineStr">
        <is>
          <t>MV</t>
        </is>
      </c>
      <c r="F452" s="15" t="inlineStr">
        <is>
          <t>19/33 KV 1X120</t>
        </is>
      </c>
      <c r="G452" s="15" t="inlineStr">
        <is>
          <t>EX05</t>
        </is>
      </c>
      <c r="H452" s="15" t="inlineStr">
        <is>
          <t>Wooden Drums</t>
        </is>
      </c>
      <c r="I452" s="15" t="inlineStr">
        <is>
          <t>OK</t>
        </is>
      </c>
      <c r="J452" s="15" t="inlineStr">
        <is>
          <t>A</t>
        </is>
      </c>
      <c r="K452" s="15" t="inlineStr">
        <is>
          <t>Y</t>
        </is>
      </c>
      <c r="L452" s="15" t="n">
        <v>95</v>
      </c>
      <c r="M452" s="16" t="n">
        <v>0.02907</v>
      </c>
      <c r="N452" s="16" t="n">
        <v>0</v>
      </c>
      <c r="O452" s="16" t="n">
        <v>0.045885</v>
      </c>
      <c r="P452" s="16" t="n">
        <v>0.07495499999999999</v>
      </c>
      <c r="Q452">
        <f>--($A452=IF('الداشبورد'!$B$5="الكل",$A452,'الداشبورد'!$B$5))</f>
        <v/>
      </c>
      <c r="R452">
        <f>--($E452=IF('الداشبورد'!$B$6="الكل",$E452,'الداشبورد'!$B$6))</f>
        <v/>
      </c>
      <c r="S452">
        <f>--($K452=IF('الداشبورد'!$B$7="الكل",$K452,IF('الداشبورد'!$B$7="تصدير","Y","N")))</f>
        <v/>
      </c>
      <c r="T452">
        <f>--($J452=IF('الداشبورد'!$B$8="الكل",$J452,IF('الداشبورد'!$B$8="AL","A","C")))</f>
        <v/>
      </c>
      <c r="U452">
        <f>--($I452=IF('الداشبورد'!$B$9="الكل",$I452,IF('الداشبورد'!$B$9="بدون حالة","P",'الداشبورد'!$B$9)))</f>
        <v/>
      </c>
      <c r="V452">
        <f>--($D452=IF('الداشبورد'!$B$10="الكل",$D452,'الداشبورد'!$B$10))</f>
        <v/>
      </c>
      <c r="W452">
        <f>--($G452=IF('الداشبورد'!$B$11="الكل",$G452,'الداشبورد'!$B$11))</f>
        <v/>
      </c>
      <c r="X452">
        <f>Q452*R452*S452*T452*U452*V452*W452*--($C452&lt;&gt;"")</f>
        <v/>
      </c>
    </row>
    <row r="453">
      <c r="A453" s="15" t="n">
        <v>5</v>
      </c>
      <c r="B453" s="15" t="inlineStr">
        <is>
          <t>Z184682</t>
        </is>
      </c>
      <c r="C453" s="15" t="inlineStr">
        <is>
          <t>1101/26/01</t>
        </is>
      </c>
      <c r="D453" s="15" t="inlineStr">
        <is>
          <t>شركة مصر العليا لتوزيع الكهرباء</t>
        </is>
      </c>
      <c r="E453" s="15" t="inlineStr">
        <is>
          <t>MV</t>
        </is>
      </c>
      <c r="F453" s="15" t="inlineStr">
        <is>
          <t>12/20KV 3X300</t>
        </is>
      </c>
      <c r="G453" s="15" t="inlineStr">
        <is>
          <t>EX07</t>
        </is>
      </c>
      <c r="H453" s="15" t="inlineStr">
        <is>
          <t>Wooden Drums</t>
        </is>
      </c>
      <c r="I453" s="15" t="inlineStr">
        <is>
          <t>OK</t>
        </is>
      </c>
      <c r="J453" s="15" t="inlineStr">
        <is>
          <t>A</t>
        </is>
      </c>
      <c r="K453" s="15" t="inlineStr">
        <is>
          <t>N</t>
        </is>
      </c>
      <c r="L453" s="15" t="n">
        <v>405</v>
      </c>
      <c r="M453" s="16" t="n">
        <v>0.9594450000000001</v>
      </c>
      <c r="N453" s="16" t="n">
        <v>0</v>
      </c>
      <c r="O453" s="16" t="n">
        <v>0</v>
      </c>
      <c r="P453" s="16" t="n">
        <v>0.9594450000000001</v>
      </c>
      <c r="Q453">
        <f>--($A453=IF('الداشبورد'!$B$5="الكل",$A453,'الداشبورد'!$B$5))</f>
        <v/>
      </c>
      <c r="R453">
        <f>--($E453=IF('الداشبورد'!$B$6="الكل",$E453,'الداشبورد'!$B$6))</f>
        <v/>
      </c>
      <c r="S453">
        <f>--($K453=IF('الداشبورد'!$B$7="الكل",$K453,IF('الداشبورد'!$B$7="تصدير","Y","N")))</f>
        <v/>
      </c>
      <c r="T453">
        <f>--($J453=IF('الداشبورد'!$B$8="الكل",$J453,IF('الداشبورد'!$B$8="AL","A","C")))</f>
        <v/>
      </c>
      <c r="U453">
        <f>--($I453=IF('الداشبورد'!$B$9="الكل",$I453,IF('الداشبورد'!$B$9="بدون حالة","P",'الداشبورد'!$B$9)))</f>
        <v/>
      </c>
      <c r="V453">
        <f>--($D453=IF('الداشبورد'!$B$10="الكل",$D453,'الداشبورد'!$B$10))</f>
        <v/>
      </c>
      <c r="W453">
        <f>--($G453=IF('الداشبورد'!$B$11="الكل",$G453,'الداشبورد'!$B$11))</f>
        <v/>
      </c>
      <c r="X453">
        <f>Q453*R453*S453*T453*U453*V453*W453*--($C453&lt;&gt;"")</f>
        <v/>
      </c>
    </row>
    <row r="454">
      <c r="A454" s="15" t="n">
        <v>5</v>
      </c>
      <c r="B454" s="15" t="inlineStr">
        <is>
          <t>V184390</t>
        </is>
      </c>
      <c r="C454" s="15" t="inlineStr">
        <is>
          <t>1101/26/01</t>
        </is>
      </c>
      <c r="D454" s="15" t="inlineStr">
        <is>
          <t>شركة مصر العليا لتوزيع الكهرباء</t>
        </is>
      </c>
      <c r="E454" s="15" t="inlineStr">
        <is>
          <t>MV</t>
        </is>
      </c>
      <c r="F454" s="15" t="inlineStr">
        <is>
          <t>12/20KV 3X300</t>
        </is>
      </c>
      <c r="G454" s="15" t="inlineStr">
        <is>
          <t>EX07</t>
        </is>
      </c>
      <c r="H454" s="15" t="inlineStr">
        <is>
          <t>Wooden Drums</t>
        </is>
      </c>
      <c r="I454" s="15" t="inlineStr">
        <is>
          <t>OK</t>
        </is>
      </c>
      <c r="J454" s="15" t="inlineStr">
        <is>
          <t>A</t>
        </is>
      </c>
      <c r="K454" s="15" t="inlineStr">
        <is>
          <t>N</t>
        </is>
      </c>
      <c r="L454" s="15" t="n">
        <v>405</v>
      </c>
      <c r="M454" s="16" t="n">
        <v>0.9594450000000001</v>
      </c>
      <c r="N454" s="16" t="n">
        <v>0</v>
      </c>
      <c r="O454" s="16" t="n">
        <v>0</v>
      </c>
      <c r="P454" s="16" t="n">
        <v>0.9594450000000001</v>
      </c>
      <c r="Q454">
        <f>--($A454=IF('الداشبورد'!$B$5="الكل",$A454,'الداشبورد'!$B$5))</f>
        <v/>
      </c>
      <c r="R454">
        <f>--($E454=IF('الداشبورد'!$B$6="الكل",$E454,'الداشبورد'!$B$6))</f>
        <v/>
      </c>
      <c r="S454">
        <f>--($K454=IF('الداشبورد'!$B$7="الكل",$K454,IF('الداشبورد'!$B$7="تصدير","Y","N")))</f>
        <v/>
      </c>
      <c r="T454">
        <f>--($J454=IF('الداشبورد'!$B$8="الكل",$J454,IF('الداشبورد'!$B$8="AL","A","C")))</f>
        <v/>
      </c>
      <c r="U454">
        <f>--($I454=IF('الداشبورد'!$B$9="الكل",$I454,IF('الداشبورد'!$B$9="بدون حالة","P",'الداشبورد'!$B$9)))</f>
        <v/>
      </c>
      <c r="V454">
        <f>--($D454=IF('الداشبورد'!$B$10="الكل",$D454,'الداشبورد'!$B$10))</f>
        <v/>
      </c>
      <c r="W454">
        <f>--($G454=IF('الداشبورد'!$B$11="الكل",$G454,'الداشبورد'!$B$11))</f>
        <v/>
      </c>
      <c r="X454">
        <f>Q454*R454*S454*T454*U454*V454*W454*--($C454&lt;&gt;"")</f>
        <v/>
      </c>
    </row>
    <row r="455">
      <c r="A455" s="15" t="n">
        <v>5</v>
      </c>
      <c r="B455" s="15" t="inlineStr">
        <is>
          <t>V184686</t>
        </is>
      </c>
      <c r="C455" s="15" t="inlineStr">
        <is>
          <t>1101/26/01</t>
        </is>
      </c>
      <c r="D455" s="15" t="inlineStr">
        <is>
          <t>شركة مصر العليا لتوزيع الكهرباء</t>
        </is>
      </c>
      <c r="E455" s="15" t="inlineStr">
        <is>
          <t>MV</t>
        </is>
      </c>
      <c r="F455" s="15" t="inlineStr">
        <is>
          <t>12/20KV 3X300</t>
        </is>
      </c>
      <c r="G455" s="15" t="inlineStr">
        <is>
          <t>EX07</t>
        </is>
      </c>
      <c r="H455" s="15" t="inlineStr">
        <is>
          <t>Wooden Drums</t>
        </is>
      </c>
      <c r="I455" s="15" t="inlineStr">
        <is>
          <t>OK</t>
        </is>
      </c>
      <c r="J455" s="15" t="inlineStr">
        <is>
          <t>A</t>
        </is>
      </c>
      <c r="K455" s="15" t="inlineStr">
        <is>
          <t>N</t>
        </is>
      </c>
      <c r="L455" s="15" t="n">
        <v>432</v>
      </c>
      <c r="M455" s="16" t="n">
        <v>1.023408</v>
      </c>
      <c r="N455" s="16" t="n">
        <v>0</v>
      </c>
      <c r="O455" s="16" t="n">
        <v>0</v>
      </c>
      <c r="P455" s="16" t="n">
        <v>1.023408</v>
      </c>
      <c r="Q455">
        <f>--($A455=IF('الداشبورد'!$B$5="الكل",$A455,'الداشبورد'!$B$5))</f>
        <v/>
      </c>
      <c r="R455">
        <f>--($E455=IF('الداشبورد'!$B$6="الكل",$E455,'الداشبورد'!$B$6))</f>
        <v/>
      </c>
      <c r="S455">
        <f>--($K455=IF('الداشبورد'!$B$7="الكل",$K455,IF('الداشبورد'!$B$7="تصدير","Y","N")))</f>
        <v/>
      </c>
      <c r="T455">
        <f>--($J455=IF('الداشبورد'!$B$8="الكل",$J455,IF('الداشبورد'!$B$8="AL","A","C")))</f>
        <v/>
      </c>
      <c r="U455">
        <f>--($I455=IF('الداشبورد'!$B$9="الكل",$I455,IF('الداشبورد'!$B$9="بدون حالة","P",'الداشبورد'!$B$9)))</f>
        <v/>
      </c>
      <c r="V455">
        <f>--($D455=IF('الداشبورد'!$B$10="الكل",$D455,'الداشبورد'!$B$10))</f>
        <v/>
      </c>
      <c r="W455">
        <f>--($G455=IF('الداشبورد'!$B$11="الكل",$G455,'الداشبورد'!$B$11))</f>
        <v/>
      </c>
      <c r="X455">
        <f>Q455*R455*S455*T455*U455*V455*W455*--($C455&lt;&gt;"")</f>
        <v/>
      </c>
    </row>
    <row r="456">
      <c r="A456" s="15" t="n">
        <v>5</v>
      </c>
      <c r="B456" s="15" t="inlineStr">
        <is>
          <t>Z184693</t>
        </is>
      </c>
      <c r="C456" s="15" t="inlineStr">
        <is>
          <t>1101/26/01</t>
        </is>
      </c>
      <c r="D456" s="15" t="inlineStr">
        <is>
          <t>شركة مصر العليا لتوزيع الكهرباء</t>
        </is>
      </c>
      <c r="E456" s="15" t="inlineStr">
        <is>
          <t>MV</t>
        </is>
      </c>
      <c r="F456" s="15" t="inlineStr">
        <is>
          <t>12/20KV 3X300</t>
        </is>
      </c>
      <c r="G456" s="15" t="inlineStr">
        <is>
          <t>EX07</t>
        </is>
      </c>
      <c r="H456" s="15" t="inlineStr">
        <is>
          <t>Wooden Drums</t>
        </is>
      </c>
      <c r="I456" s="15" t="inlineStr">
        <is>
          <t>OK</t>
        </is>
      </c>
      <c r="J456" s="15" t="inlineStr">
        <is>
          <t>A</t>
        </is>
      </c>
      <c r="K456" s="15" t="inlineStr">
        <is>
          <t>N</t>
        </is>
      </c>
      <c r="L456" s="15" t="n">
        <v>403</v>
      </c>
      <c r="M456" s="16" t="n">
        <v>0.9547070000000001</v>
      </c>
      <c r="N456" s="16" t="n">
        <v>0</v>
      </c>
      <c r="O456" s="16" t="n">
        <v>0</v>
      </c>
      <c r="P456" s="16" t="n">
        <v>0.9547070000000001</v>
      </c>
      <c r="Q456">
        <f>--($A456=IF('الداشبورد'!$B$5="الكل",$A456,'الداشبورد'!$B$5))</f>
        <v/>
      </c>
      <c r="R456">
        <f>--($E456=IF('الداشبورد'!$B$6="الكل",$E456,'الداشبورد'!$B$6))</f>
        <v/>
      </c>
      <c r="S456">
        <f>--($K456=IF('الداشبورد'!$B$7="الكل",$K456,IF('الداشبورد'!$B$7="تصدير","Y","N")))</f>
        <v/>
      </c>
      <c r="T456">
        <f>--($J456=IF('الداشبورد'!$B$8="الكل",$J456,IF('الداشبورد'!$B$8="AL","A","C")))</f>
        <v/>
      </c>
      <c r="U456">
        <f>--($I456=IF('الداشبورد'!$B$9="الكل",$I456,IF('الداشبورد'!$B$9="بدون حالة","P",'الداشبورد'!$B$9)))</f>
        <v/>
      </c>
      <c r="V456">
        <f>--($D456=IF('الداشبورد'!$B$10="الكل",$D456,'الداشبورد'!$B$10))</f>
        <v/>
      </c>
      <c r="W456">
        <f>--($G456=IF('الداشبورد'!$B$11="الكل",$G456,'الداشبورد'!$B$11))</f>
        <v/>
      </c>
      <c r="X456">
        <f>Q456*R456*S456*T456*U456*V456*W456*--($C456&lt;&gt;"")</f>
        <v/>
      </c>
    </row>
    <row r="457">
      <c r="A457" s="15" t="n">
        <v>5</v>
      </c>
      <c r="B457" s="15" t="inlineStr">
        <is>
          <t>V184692</t>
        </is>
      </c>
      <c r="C457" s="15" t="inlineStr">
        <is>
          <t>1101/26/01</t>
        </is>
      </c>
      <c r="D457" s="15" t="inlineStr">
        <is>
          <t>شركة مصر العليا لتوزيع الكهرباء</t>
        </is>
      </c>
      <c r="E457" s="15" t="inlineStr">
        <is>
          <t>MV</t>
        </is>
      </c>
      <c r="F457" s="15" t="inlineStr">
        <is>
          <t>12/20KV 3X300</t>
        </is>
      </c>
      <c r="G457" s="15" t="inlineStr">
        <is>
          <t>EX07</t>
        </is>
      </c>
      <c r="H457" s="15" t="inlineStr">
        <is>
          <t>Wooden Drums</t>
        </is>
      </c>
      <c r="I457" s="15" t="inlineStr">
        <is>
          <t>OK</t>
        </is>
      </c>
      <c r="J457" s="15" t="inlineStr">
        <is>
          <t>A</t>
        </is>
      </c>
      <c r="K457" s="15" t="inlineStr">
        <is>
          <t>N</t>
        </is>
      </c>
      <c r="L457" s="15" t="n">
        <v>394</v>
      </c>
      <c r="M457" s="16" t="n">
        <v>0.933386</v>
      </c>
      <c r="N457" s="16" t="n">
        <v>0</v>
      </c>
      <c r="O457" s="16" t="n">
        <v>0</v>
      </c>
      <c r="P457" s="16" t="n">
        <v>0.933386</v>
      </c>
      <c r="Q457">
        <f>--($A457=IF('الداشبورد'!$B$5="الكل",$A457,'الداشبورد'!$B$5))</f>
        <v/>
      </c>
      <c r="R457">
        <f>--($E457=IF('الداشبورد'!$B$6="الكل",$E457,'الداشبورد'!$B$6))</f>
        <v/>
      </c>
      <c r="S457">
        <f>--($K457=IF('الداشبورد'!$B$7="الكل",$K457,IF('الداشبورد'!$B$7="تصدير","Y","N")))</f>
        <v/>
      </c>
      <c r="T457">
        <f>--($J457=IF('الداشبورد'!$B$8="الكل",$J457,IF('الداشبورد'!$B$8="AL","A","C")))</f>
        <v/>
      </c>
      <c r="U457">
        <f>--($I457=IF('الداشبورد'!$B$9="الكل",$I457,IF('الداشبورد'!$B$9="بدون حالة","P",'الداشبورد'!$B$9)))</f>
        <v/>
      </c>
      <c r="V457">
        <f>--($D457=IF('الداشبورد'!$B$10="الكل",$D457,'الداشبورد'!$B$10))</f>
        <v/>
      </c>
      <c r="W457">
        <f>--($G457=IF('الداشبورد'!$B$11="الكل",$G457,'الداشبورد'!$B$11))</f>
        <v/>
      </c>
      <c r="X457">
        <f>Q457*R457*S457*T457*U457*V457*W457*--($C457&lt;&gt;"")</f>
        <v/>
      </c>
    </row>
    <row r="458">
      <c r="A458" s="15" t="n">
        <v>5</v>
      </c>
      <c r="B458" s="15" t="inlineStr">
        <is>
          <t>V184730</t>
        </is>
      </c>
      <c r="C458" s="15" t="inlineStr">
        <is>
          <t>1101/26/01</t>
        </is>
      </c>
      <c r="D458" s="15" t="inlineStr">
        <is>
          <t>شركة مصر العليا لتوزيع الكهرباء</t>
        </is>
      </c>
      <c r="E458" s="15" t="inlineStr">
        <is>
          <t>MV</t>
        </is>
      </c>
      <c r="F458" s="15" t="inlineStr">
        <is>
          <t>12/20KV 3X300</t>
        </is>
      </c>
      <c r="G458" s="15" t="inlineStr">
        <is>
          <t>EX07</t>
        </is>
      </c>
      <c r="H458" s="15" t="inlineStr">
        <is>
          <t>Wooden Drums</t>
        </is>
      </c>
      <c r="I458" s="15" t="inlineStr">
        <is>
          <t>OK</t>
        </is>
      </c>
      <c r="J458" s="15" t="inlineStr">
        <is>
          <t>A</t>
        </is>
      </c>
      <c r="K458" s="15" t="inlineStr">
        <is>
          <t>N</t>
        </is>
      </c>
      <c r="L458" s="15" t="n">
        <v>403</v>
      </c>
      <c r="M458" s="16" t="n">
        <v>0.9547070000000001</v>
      </c>
      <c r="N458" s="16" t="n">
        <v>0</v>
      </c>
      <c r="O458" s="16" t="n">
        <v>0</v>
      </c>
      <c r="P458" s="16" t="n">
        <v>0.9547070000000001</v>
      </c>
      <c r="Q458">
        <f>--($A458=IF('الداشبورد'!$B$5="الكل",$A458,'الداشبورد'!$B$5))</f>
        <v/>
      </c>
      <c r="R458">
        <f>--($E458=IF('الداشبورد'!$B$6="الكل",$E458,'الداشبورد'!$B$6))</f>
        <v/>
      </c>
      <c r="S458">
        <f>--($K458=IF('الداشبورد'!$B$7="الكل",$K458,IF('الداشبورد'!$B$7="تصدير","Y","N")))</f>
        <v/>
      </c>
      <c r="T458">
        <f>--($J458=IF('الداشبورد'!$B$8="الكل",$J458,IF('الداشبورد'!$B$8="AL","A","C")))</f>
        <v/>
      </c>
      <c r="U458">
        <f>--($I458=IF('الداشبورد'!$B$9="الكل",$I458,IF('الداشبورد'!$B$9="بدون حالة","P",'الداشبورد'!$B$9)))</f>
        <v/>
      </c>
      <c r="V458">
        <f>--($D458=IF('الداشبورد'!$B$10="الكل",$D458,'الداشبورد'!$B$10))</f>
        <v/>
      </c>
      <c r="W458">
        <f>--($G458=IF('الداشبورد'!$B$11="الكل",$G458,'الداشبورد'!$B$11))</f>
        <v/>
      </c>
      <c r="X458">
        <f>Q458*R458*S458*T458*U458*V458*W458*--($C458&lt;&gt;"")</f>
        <v/>
      </c>
    </row>
    <row r="459">
      <c r="A459" s="15" t="n">
        <v>5</v>
      </c>
      <c r="B459" s="15" t="inlineStr">
        <is>
          <t>Z184731</t>
        </is>
      </c>
      <c r="C459" s="15" t="inlineStr">
        <is>
          <t>1101/26/01</t>
        </is>
      </c>
      <c r="D459" s="15" t="inlineStr">
        <is>
          <t>شركة مصر العليا لتوزيع الكهرباء</t>
        </is>
      </c>
      <c r="E459" s="15" t="inlineStr">
        <is>
          <t>MV</t>
        </is>
      </c>
      <c r="F459" s="15" t="inlineStr">
        <is>
          <t>12/20KV 3X300</t>
        </is>
      </c>
      <c r="G459" s="15" t="inlineStr">
        <is>
          <t>EX07</t>
        </is>
      </c>
      <c r="H459" s="15" t="inlineStr">
        <is>
          <t>Wooden Drums</t>
        </is>
      </c>
      <c r="I459" s="15" t="inlineStr">
        <is>
          <t>OK</t>
        </is>
      </c>
      <c r="J459" s="15" t="inlineStr">
        <is>
          <t>A</t>
        </is>
      </c>
      <c r="K459" s="15" t="inlineStr">
        <is>
          <t>N</t>
        </is>
      </c>
      <c r="L459" s="15" t="n">
        <v>400</v>
      </c>
      <c r="M459" s="16" t="n">
        <v>0.9476000000000001</v>
      </c>
      <c r="N459" s="16" t="n">
        <v>0</v>
      </c>
      <c r="O459" s="16" t="n">
        <v>0</v>
      </c>
      <c r="P459" s="16" t="n">
        <v>0.9476000000000001</v>
      </c>
      <c r="Q459">
        <f>--($A459=IF('الداشبورد'!$B$5="الكل",$A459,'الداشبورد'!$B$5))</f>
        <v/>
      </c>
      <c r="R459">
        <f>--($E459=IF('الداشبورد'!$B$6="الكل",$E459,'الداشبورد'!$B$6))</f>
        <v/>
      </c>
      <c r="S459">
        <f>--($K459=IF('الداشبورد'!$B$7="الكل",$K459,IF('الداشبورد'!$B$7="تصدير","Y","N")))</f>
        <v/>
      </c>
      <c r="T459">
        <f>--($J459=IF('الداشبورد'!$B$8="الكل",$J459,IF('الداشبورد'!$B$8="AL","A","C")))</f>
        <v/>
      </c>
      <c r="U459">
        <f>--($I459=IF('الداشبورد'!$B$9="الكل",$I459,IF('الداشبورد'!$B$9="بدون حالة","P",'الداشبورد'!$B$9)))</f>
        <v/>
      </c>
      <c r="V459">
        <f>--($D459=IF('الداشبورد'!$B$10="الكل",$D459,'الداشبورد'!$B$10))</f>
        <v/>
      </c>
      <c r="W459">
        <f>--($G459=IF('الداشبورد'!$B$11="الكل",$G459,'الداشبورد'!$B$11))</f>
        <v/>
      </c>
      <c r="X459">
        <f>Q459*R459*S459*T459*U459*V459*W459*--($C459&lt;&gt;"")</f>
        <v/>
      </c>
    </row>
    <row r="460">
      <c r="A460" s="15" t="n">
        <v>5</v>
      </c>
      <c r="B460" s="15" t="inlineStr">
        <is>
          <t>Z184733</t>
        </is>
      </c>
      <c r="C460" s="15" t="inlineStr">
        <is>
          <t>1101/26/01</t>
        </is>
      </c>
      <c r="D460" s="15" t="inlineStr">
        <is>
          <t>شركة مصر العليا لتوزيع الكهرباء</t>
        </is>
      </c>
      <c r="E460" s="15" t="inlineStr">
        <is>
          <t>MV</t>
        </is>
      </c>
      <c r="F460" s="15" t="inlineStr">
        <is>
          <t>12/20KV 3X300</t>
        </is>
      </c>
      <c r="G460" s="15" t="inlineStr">
        <is>
          <t>EX07</t>
        </is>
      </c>
      <c r="H460" s="15" t="inlineStr">
        <is>
          <t>Wooden Drums</t>
        </is>
      </c>
      <c r="I460" s="15" t="inlineStr">
        <is>
          <t>OK</t>
        </is>
      </c>
      <c r="J460" s="15" t="inlineStr">
        <is>
          <t>A</t>
        </is>
      </c>
      <c r="K460" s="15" t="inlineStr">
        <is>
          <t>N</t>
        </is>
      </c>
      <c r="L460" s="15" t="n">
        <v>403</v>
      </c>
      <c r="M460" s="16" t="n">
        <v>0.9547070000000001</v>
      </c>
      <c r="N460" s="16" t="n">
        <v>0</v>
      </c>
      <c r="O460" s="16" t="n">
        <v>0</v>
      </c>
      <c r="P460" s="16" t="n">
        <v>0.9547070000000001</v>
      </c>
      <c r="Q460">
        <f>--($A460=IF('الداشبورد'!$B$5="الكل",$A460,'الداشبورد'!$B$5))</f>
        <v/>
      </c>
      <c r="R460">
        <f>--($E460=IF('الداشبورد'!$B$6="الكل",$E460,'الداشبورد'!$B$6))</f>
        <v/>
      </c>
      <c r="S460">
        <f>--($K460=IF('الداشبورد'!$B$7="الكل",$K460,IF('الداشبورد'!$B$7="تصدير","Y","N")))</f>
        <v/>
      </c>
      <c r="T460">
        <f>--($J460=IF('الداشبورد'!$B$8="الكل",$J460,IF('الداشبورد'!$B$8="AL","A","C")))</f>
        <v/>
      </c>
      <c r="U460">
        <f>--($I460=IF('الداشبورد'!$B$9="الكل",$I460,IF('الداشبورد'!$B$9="بدون حالة","P",'الداشبورد'!$B$9)))</f>
        <v/>
      </c>
      <c r="V460">
        <f>--($D460=IF('الداشبورد'!$B$10="الكل",$D460,'الداشبورد'!$B$10))</f>
        <v/>
      </c>
      <c r="W460">
        <f>--($G460=IF('الداشبورد'!$B$11="الكل",$G460,'الداشبورد'!$B$11))</f>
        <v/>
      </c>
      <c r="X460">
        <f>Q460*R460*S460*T460*U460*V460*W460*--($C460&lt;&gt;"")</f>
        <v/>
      </c>
    </row>
    <row r="461">
      <c r="A461" s="15" t="n">
        <v>5</v>
      </c>
      <c r="B461" s="15" t="inlineStr">
        <is>
          <t>Z184732</t>
        </is>
      </c>
      <c r="C461" s="15" t="inlineStr">
        <is>
          <t>1101/26/01</t>
        </is>
      </c>
      <c r="D461" s="15" t="inlineStr">
        <is>
          <t>شركة مصر العليا لتوزيع الكهرباء</t>
        </is>
      </c>
      <c r="E461" s="15" t="inlineStr">
        <is>
          <t>MV</t>
        </is>
      </c>
      <c r="F461" s="15" t="inlineStr">
        <is>
          <t>12/20KV 3X300</t>
        </is>
      </c>
      <c r="G461" s="15" t="inlineStr">
        <is>
          <t>EX07</t>
        </is>
      </c>
      <c r="H461" s="15" t="inlineStr">
        <is>
          <t>Wooden Drums</t>
        </is>
      </c>
      <c r="I461" s="15" t="inlineStr">
        <is>
          <t>OK</t>
        </is>
      </c>
      <c r="J461" s="15" t="inlineStr">
        <is>
          <t>A</t>
        </is>
      </c>
      <c r="K461" s="15" t="inlineStr">
        <is>
          <t>N</t>
        </is>
      </c>
      <c r="L461" s="15" t="n">
        <v>415</v>
      </c>
      <c r="M461" s="16" t="n">
        <v>0.9831350000000001</v>
      </c>
      <c r="N461" s="16" t="n">
        <v>0</v>
      </c>
      <c r="O461" s="16" t="n">
        <v>0</v>
      </c>
      <c r="P461" s="16" t="n">
        <v>0.9831350000000001</v>
      </c>
      <c r="Q461">
        <f>--($A461=IF('الداشبورد'!$B$5="الكل",$A461,'الداشبورد'!$B$5))</f>
        <v/>
      </c>
      <c r="R461">
        <f>--($E461=IF('الداشبورد'!$B$6="الكل",$E461,'الداشبورد'!$B$6))</f>
        <v/>
      </c>
      <c r="S461">
        <f>--($K461=IF('الداشبورد'!$B$7="الكل",$K461,IF('الداشبورد'!$B$7="تصدير","Y","N")))</f>
        <v/>
      </c>
      <c r="T461">
        <f>--($J461=IF('الداشبورد'!$B$8="الكل",$J461,IF('الداشبورد'!$B$8="AL","A","C")))</f>
        <v/>
      </c>
      <c r="U461">
        <f>--($I461=IF('الداشبورد'!$B$9="الكل",$I461,IF('الداشبورد'!$B$9="بدون حالة","P",'الداشبورد'!$B$9)))</f>
        <v/>
      </c>
      <c r="V461">
        <f>--($D461=IF('الداشبورد'!$B$10="الكل",$D461,'الداشبورد'!$B$10))</f>
        <v/>
      </c>
      <c r="W461">
        <f>--($G461=IF('الداشبورد'!$B$11="الكل",$G461,'الداشبورد'!$B$11))</f>
        <v/>
      </c>
      <c r="X461">
        <f>Q461*R461*S461*T461*U461*V461*W461*--($C461&lt;&gt;"")</f>
        <v/>
      </c>
    </row>
    <row r="462">
      <c r="A462" s="15" t="n">
        <v>5</v>
      </c>
      <c r="B462" s="15" t="inlineStr">
        <is>
          <t>K-83</t>
        </is>
      </c>
      <c r="C462" s="15" t="inlineStr">
        <is>
          <t>1385/26/03</t>
        </is>
      </c>
      <c r="D462" s="15" t="inlineStr">
        <is>
          <t>الشركة العربية للصناعة والتجارة الدولية</t>
        </is>
      </c>
      <c r="E462" s="15" t="inlineStr">
        <is>
          <t>LV</t>
        </is>
      </c>
      <c r="F462" s="15" t="inlineStr">
        <is>
          <t>0.6/1 KV 3*240+120</t>
        </is>
      </c>
      <c r="G462" s="15" t="inlineStr">
        <is>
          <t>EX09</t>
        </is>
      </c>
      <c r="H462" s="15" t="inlineStr">
        <is>
          <t>Wooden Drums</t>
        </is>
      </c>
      <c r="I462" s="15" t="inlineStr">
        <is>
          <t>Hold</t>
        </is>
      </c>
      <c r="J462" s="15" t="inlineStr">
        <is>
          <t>A</t>
        </is>
      </c>
      <c r="K462" s="15" t="inlineStr">
        <is>
          <t>N</t>
        </is>
      </c>
      <c r="L462" s="15" t="n">
        <v>2012</v>
      </c>
      <c r="M462" s="16" t="n">
        <v>4.420364</v>
      </c>
      <c r="N462" s="16" t="n">
        <v>0</v>
      </c>
      <c r="O462" s="16" t="n">
        <v>0</v>
      </c>
      <c r="P462" s="16" t="n">
        <v>4.420364</v>
      </c>
      <c r="Q462">
        <f>--($A462=IF('الداشبورد'!$B$5="الكل",$A462,'الداشبورد'!$B$5))</f>
        <v/>
      </c>
      <c r="R462">
        <f>--($E462=IF('الداشبورد'!$B$6="الكل",$E462,'الداشبورد'!$B$6))</f>
        <v/>
      </c>
      <c r="S462">
        <f>--($K462=IF('الداشبورد'!$B$7="الكل",$K462,IF('الداشبورد'!$B$7="تصدير","Y","N")))</f>
        <v/>
      </c>
      <c r="T462">
        <f>--($J462=IF('الداشبورد'!$B$8="الكل",$J462,IF('الداشبورد'!$B$8="AL","A","C")))</f>
        <v/>
      </c>
      <c r="U462">
        <f>--($I462=IF('الداشبورد'!$B$9="الكل",$I462,IF('الداشبورد'!$B$9="بدون حالة","P",'الداشبورد'!$B$9)))</f>
        <v/>
      </c>
      <c r="V462">
        <f>--($D462=IF('الداشبورد'!$B$10="الكل",$D462,'الداشبورد'!$B$10))</f>
        <v/>
      </c>
      <c r="W462">
        <f>--($G462=IF('الداشبورد'!$B$11="الكل",$G462,'الداشبورد'!$B$11))</f>
        <v/>
      </c>
      <c r="X462">
        <f>Q462*R462*S462*T462*U462*V462*W462*--($C462&lt;&gt;"")</f>
        <v/>
      </c>
    </row>
    <row r="463">
      <c r="A463" s="15" t="n">
        <v>5</v>
      </c>
      <c r="B463" s="15" t="inlineStr">
        <is>
          <t>G184710</t>
        </is>
      </c>
      <c r="C463" s="15" t="inlineStr">
        <is>
          <t>1439/26/01</t>
        </is>
      </c>
      <c r="D463" s="15" t="inlineStr">
        <is>
          <t>2M KABLO SAN VE TIC A.S</t>
        </is>
      </c>
      <c r="E463" s="15" t="inlineStr">
        <is>
          <t>MV</t>
        </is>
      </c>
      <c r="F463" s="15" t="inlineStr">
        <is>
          <t>12/20KV 1*95</t>
        </is>
      </c>
      <c r="G463" s="15" t="inlineStr">
        <is>
          <t>EX09</t>
        </is>
      </c>
      <c r="H463" s="15" t="inlineStr">
        <is>
          <t>Wooden Drums</t>
        </is>
      </c>
      <c r="I463" s="15" t="inlineStr">
        <is>
          <t>OK</t>
        </is>
      </c>
      <c r="J463" s="15" t="inlineStr">
        <is>
          <t>A</t>
        </is>
      </c>
      <c r="K463" s="15" t="inlineStr">
        <is>
          <t>Y</t>
        </is>
      </c>
      <c r="L463" s="15" t="n">
        <v>618</v>
      </c>
      <c r="M463" s="16" t="n">
        <v>0.150174</v>
      </c>
      <c r="N463" s="16" t="n">
        <v>0.091464</v>
      </c>
      <c r="O463" s="16" t="n">
        <v>0</v>
      </c>
      <c r="P463" s="16" t="n">
        <v>0.241638</v>
      </c>
      <c r="Q463">
        <f>--($A463=IF('الداشبورد'!$B$5="الكل",$A463,'الداشبورد'!$B$5))</f>
        <v/>
      </c>
      <c r="R463">
        <f>--($E463=IF('الداشبورد'!$B$6="الكل",$E463,'الداشبورد'!$B$6))</f>
        <v/>
      </c>
      <c r="S463">
        <f>--($K463=IF('الداشبورد'!$B$7="الكل",$K463,IF('الداشبورد'!$B$7="تصدير","Y","N")))</f>
        <v/>
      </c>
      <c r="T463">
        <f>--($J463=IF('الداشبورد'!$B$8="الكل",$J463,IF('الداشبورد'!$B$8="AL","A","C")))</f>
        <v/>
      </c>
      <c r="U463">
        <f>--($I463=IF('الداشبورد'!$B$9="الكل",$I463,IF('الداشبورد'!$B$9="بدون حالة","P",'الداشبورد'!$B$9)))</f>
        <v/>
      </c>
      <c r="V463">
        <f>--($D463=IF('الداشبورد'!$B$10="الكل",$D463,'الداشبورد'!$B$10))</f>
        <v/>
      </c>
      <c r="W463">
        <f>--($G463=IF('الداشبورد'!$B$11="الكل",$G463,'الداشبورد'!$B$11))</f>
        <v/>
      </c>
      <c r="X463">
        <f>Q463*R463*S463*T463*U463*V463*W463*--($C463&lt;&gt;"")</f>
        <v/>
      </c>
    </row>
    <row r="464">
      <c r="A464" s="15" t="n">
        <v>5</v>
      </c>
      <c r="B464" s="15" t="inlineStr">
        <is>
          <t>Y182918</t>
        </is>
      </c>
      <c r="C464" s="15" t="inlineStr">
        <is>
          <t>1439/26/01</t>
        </is>
      </c>
      <c r="D464" s="15" t="inlineStr">
        <is>
          <t>2M KABLO SAN VE TIC A.S</t>
        </is>
      </c>
      <c r="E464" s="15" t="inlineStr">
        <is>
          <t>MV</t>
        </is>
      </c>
      <c r="F464" s="15" t="inlineStr">
        <is>
          <t>12/20KV 1*95</t>
        </is>
      </c>
      <c r="G464" s="15" t="inlineStr">
        <is>
          <t>EX09</t>
        </is>
      </c>
      <c r="H464" s="15" t="inlineStr">
        <is>
          <t>Wooden Drums</t>
        </is>
      </c>
      <c r="I464" s="15" t="inlineStr">
        <is>
          <t>OK</t>
        </is>
      </c>
      <c r="J464" s="15" t="inlineStr">
        <is>
          <t>A</t>
        </is>
      </c>
      <c r="K464" s="15" t="inlineStr">
        <is>
          <t>Y</t>
        </is>
      </c>
      <c r="L464" s="15" t="n">
        <v>995</v>
      </c>
      <c r="M464" s="16" t="n">
        <v>0.241785</v>
      </c>
      <c r="N464" s="16" t="n">
        <v>0.14726</v>
      </c>
      <c r="O464" s="16" t="n">
        <v>0</v>
      </c>
      <c r="P464" s="16" t="n">
        <v>0.389045</v>
      </c>
      <c r="Q464">
        <f>--($A464=IF('الداشبورد'!$B$5="الكل",$A464,'الداشبورد'!$B$5))</f>
        <v/>
      </c>
      <c r="R464">
        <f>--($E464=IF('الداشبورد'!$B$6="الكل",$E464,'الداشبورد'!$B$6))</f>
        <v/>
      </c>
      <c r="S464">
        <f>--($K464=IF('الداشبورد'!$B$7="الكل",$K464,IF('الداشبورد'!$B$7="تصدير","Y","N")))</f>
        <v/>
      </c>
      <c r="T464">
        <f>--($J464=IF('الداشبورد'!$B$8="الكل",$J464,IF('الداشبورد'!$B$8="AL","A","C")))</f>
        <v/>
      </c>
      <c r="U464">
        <f>--($I464=IF('الداشبورد'!$B$9="الكل",$I464,IF('الداشبورد'!$B$9="بدون حالة","P",'الداشبورد'!$B$9)))</f>
        <v/>
      </c>
      <c r="V464">
        <f>--($D464=IF('الداشبورد'!$B$10="الكل",$D464,'الداشبورد'!$B$10))</f>
        <v/>
      </c>
      <c r="W464">
        <f>--($G464=IF('الداشبورد'!$B$11="الكل",$G464,'الداشبورد'!$B$11))</f>
        <v/>
      </c>
      <c r="X464">
        <f>Q464*R464*S464*T464*U464*V464*W464*--($C464&lt;&gt;"")</f>
        <v/>
      </c>
    </row>
    <row r="465">
      <c r="A465" s="15" t="n">
        <v>5</v>
      </c>
      <c r="B465" s="15" t="inlineStr">
        <is>
          <t>J184306</t>
        </is>
      </c>
      <c r="C465" s="15" t="inlineStr">
        <is>
          <t>1385/26/16</t>
        </is>
      </c>
      <c r="D465" s="15" t="inlineStr">
        <is>
          <t>الشركة العربية للصناعة والتجارة الدولية</t>
        </is>
      </c>
      <c r="E465" s="15" t="inlineStr">
        <is>
          <t>LV</t>
        </is>
      </c>
      <c r="F465" s="15" t="inlineStr">
        <is>
          <t>0.6/1 KV 1X120</t>
        </is>
      </c>
      <c r="G465" s="15" t="inlineStr">
        <is>
          <t>EX09</t>
        </is>
      </c>
      <c r="H465" s="15" t="inlineStr">
        <is>
          <t>Wooden Drums</t>
        </is>
      </c>
      <c r="I465" s="15" t="inlineStr">
        <is>
          <t>OK</t>
        </is>
      </c>
      <c r="J465" s="15" t="inlineStr">
        <is>
          <t>A</t>
        </is>
      </c>
      <c r="K465" s="15" t="inlineStr">
        <is>
          <t>N</t>
        </is>
      </c>
      <c r="L465" s="15" t="n">
        <v>289</v>
      </c>
      <c r="M465" s="16" t="n">
        <v>0.09103499999999999</v>
      </c>
      <c r="N465" s="16" t="n">
        <v>0</v>
      </c>
      <c r="O465" s="16" t="n">
        <v>0</v>
      </c>
      <c r="P465" s="16" t="n">
        <v>0.09103499999999999</v>
      </c>
      <c r="Q465">
        <f>--($A465=IF('الداشبورد'!$B$5="الكل",$A465,'الداشبورد'!$B$5))</f>
        <v/>
      </c>
      <c r="R465">
        <f>--($E465=IF('الداشبورد'!$B$6="الكل",$E465,'الداشبورد'!$B$6))</f>
        <v/>
      </c>
      <c r="S465">
        <f>--($K465=IF('الداشبورد'!$B$7="الكل",$K465,IF('الداشبورد'!$B$7="تصدير","Y","N")))</f>
        <v/>
      </c>
      <c r="T465">
        <f>--($J465=IF('الداشبورد'!$B$8="الكل",$J465,IF('الداشبورد'!$B$8="AL","A","C")))</f>
        <v/>
      </c>
      <c r="U465">
        <f>--($I465=IF('الداشبورد'!$B$9="الكل",$I465,IF('الداشبورد'!$B$9="بدون حالة","P",'الداشبورد'!$B$9)))</f>
        <v/>
      </c>
      <c r="V465">
        <f>--($D465=IF('الداشبورد'!$B$10="الكل",$D465,'الداشبورد'!$B$10))</f>
        <v/>
      </c>
      <c r="W465">
        <f>--($G465=IF('الداشبورد'!$B$11="الكل",$G465,'الداشبورد'!$B$11))</f>
        <v/>
      </c>
      <c r="X465">
        <f>Q465*R465*S465*T465*U465*V465*W465*--($C465&lt;&gt;"")</f>
        <v/>
      </c>
    </row>
    <row r="466">
      <c r="A466" s="15" t="n">
        <v>5</v>
      </c>
      <c r="B466" s="15" t="inlineStr">
        <is>
          <t>L184680</t>
        </is>
      </c>
      <c r="C466" s="15" t="inlineStr">
        <is>
          <t>951/26/04</t>
        </is>
      </c>
      <c r="D466" s="15" t="inlineStr">
        <is>
          <t>ENGINEERING AND SERVICES TECHNOLOGY SAE (EAST)</t>
        </is>
      </c>
      <c r="E466" s="15" t="inlineStr">
        <is>
          <t>LV</t>
        </is>
      </c>
      <c r="F466" s="15" t="inlineStr">
        <is>
          <t>0.6/1KV 3*95</t>
        </is>
      </c>
      <c r="G466" s="15" t="inlineStr">
        <is>
          <t>EX09</t>
        </is>
      </c>
      <c r="H466" s="15" t="inlineStr">
        <is>
          <t>Wooden Drums</t>
        </is>
      </c>
      <c r="I466" s="15" t="inlineStr">
        <is>
          <t>P</t>
        </is>
      </c>
      <c r="J466" s="15" t="inlineStr">
        <is>
          <t>C</t>
        </is>
      </c>
      <c r="K466" s="15" t="inlineStr">
        <is>
          <t>N</t>
        </is>
      </c>
      <c r="L466" s="15" t="n">
        <v>323</v>
      </c>
      <c r="M466" s="16" t="n">
        <v>0.7887660000000001</v>
      </c>
      <c r="N466" s="16" t="n">
        <v>0</v>
      </c>
      <c r="O466" s="16" t="n">
        <v>0</v>
      </c>
      <c r="P466" s="16" t="n">
        <v>0.7887660000000001</v>
      </c>
      <c r="Q466">
        <f>--($A466=IF('الداشبورد'!$B$5="الكل",$A466,'الداشبورد'!$B$5))</f>
        <v/>
      </c>
      <c r="R466">
        <f>--($E466=IF('الداشبورد'!$B$6="الكل",$E466,'الداشبورد'!$B$6))</f>
        <v/>
      </c>
      <c r="S466">
        <f>--($K466=IF('الداشبورد'!$B$7="الكل",$K466,IF('الداشبورد'!$B$7="تصدير","Y","N")))</f>
        <v/>
      </c>
      <c r="T466">
        <f>--($J466=IF('الداشبورد'!$B$8="الكل",$J466,IF('الداشبورد'!$B$8="AL","A","C")))</f>
        <v/>
      </c>
      <c r="U466">
        <f>--($I466=IF('الداشبورد'!$B$9="الكل",$I466,IF('الداشبورد'!$B$9="بدون حالة","P",'الداشبورد'!$B$9)))</f>
        <v/>
      </c>
      <c r="V466">
        <f>--($D466=IF('الداشبورد'!$B$10="الكل",$D466,'الداشبورد'!$B$10))</f>
        <v/>
      </c>
      <c r="W466">
        <f>--($G466=IF('الداشبورد'!$B$11="الكل",$G466,'الداشبورد'!$B$11))</f>
        <v/>
      </c>
      <c r="X466">
        <f>Q466*R466*S466*T466*U466*V466*W466*--($C466&lt;&gt;"")</f>
        <v/>
      </c>
    </row>
    <row r="467">
      <c r="A467" s="15" t="n">
        <v>5</v>
      </c>
      <c r="B467" s="15" t="inlineStr">
        <is>
          <t>J184706</t>
        </is>
      </c>
      <c r="C467" s="15" t="inlineStr">
        <is>
          <t>1439/26/01</t>
        </is>
      </c>
      <c r="D467" s="15" t="inlineStr">
        <is>
          <t>2M KABLO SAN VE TIC A.S</t>
        </is>
      </c>
      <c r="E467" s="15" t="inlineStr">
        <is>
          <t>MV</t>
        </is>
      </c>
      <c r="F467" s="15" t="inlineStr">
        <is>
          <t>12/20KV 1*95</t>
        </is>
      </c>
      <c r="G467" s="15" t="inlineStr">
        <is>
          <t>EX09</t>
        </is>
      </c>
      <c r="H467" s="15" t="inlineStr">
        <is>
          <t>Wooden Drums</t>
        </is>
      </c>
      <c r="I467" s="15" t="inlineStr">
        <is>
          <t>OK</t>
        </is>
      </c>
      <c r="J467" s="15" t="inlineStr">
        <is>
          <t>A</t>
        </is>
      </c>
      <c r="K467" s="15" t="inlineStr">
        <is>
          <t>Y</t>
        </is>
      </c>
      <c r="L467" s="15" t="n">
        <v>1030</v>
      </c>
      <c r="M467" s="16" t="n">
        <v>0.25029</v>
      </c>
      <c r="N467" s="16" t="n">
        <v>0.15244</v>
      </c>
      <c r="O467" s="16" t="n">
        <v>0</v>
      </c>
      <c r="P467" s="16" t="n">
        <v>0.40273</v>
      </c>
      <c r="Q467">
        <f>--($A467=IF('الداشبورد'!$B$5="الكل",$A467,'الداشبورد'!$B$5))</f>
        <v/>
      </c>
      <c r="R467">
        <f>--($E467=IF('الداشبورد'!$B$6="الكل",$E467,'الداشبورد'!$B$6))</f>
        <v/>
      </c>
      <c r="S467">
        <f>--($K467=IF('الداشبورد'!$B$7="الكل",$K467,IF('الداشبورد'!$B$7="تصدير","Y","N")))</f>
        <v/>
      </c>
      <c r="T467">
        <f>--($J467=IF('الداشبورد'!$B$8="الكل",$J467,IF('الداشبورد'!$B$8="AL","A","C")))</f>
        <v/>
      </c>
      <c r="U467">
        <f>--($I467=IF('الداشبورد'!$B$9="الكل",$I467,IF('الداشبورد'!$B$9="بدون حالة","P",'الداشبورد'!$B$9)))</f>
        <v/>
      </c>
      <c r="V467">
        <f>--($D467=IF('الداشبورد'!$B$10="الكل",$D467,'الداشبورد'!$B$10))</f>
        <v/>
      </c>
      <c r="W467">
        <f>--($G467=IF('الداشبورد'!$B$11="الكل",$G467,'الداشبورد'!$B$11))</f>
        <v/>
      </c>
      <c r="X467">
        <f>Q467*R467*S467*T467*U467*V467*W467*--($C467&lt;&gt;"")</f>
        <v/>
      </c>
    </row>
    <row r="468">
      <c r="A468" s="15" t="n">
        <v>5</v>
      </c>
      <c r="B468" s="15" t="inlineStr">
        <is>
          <t>J184708</t>
        </is>
      </c>
      <c r="C468" s="15" t="inlineStr">
        <is>
          <t>1439/26/01</t>
        </is>
      </c>
      <c r="D468" s="15" t="inlineStr">
        <is>
          <t>2M KABLO SAN VE TIC A.S</t>
        </is>
      </c>
      <c r="E468" s="15" t="inlineStr">
        <is>
          <t>MV</t>
        </is>
      </c>
      <c r="F468" s="15" t="inlineStr">
        <is>
          <t>12/20KV 1*95</t>
        </is>
      </c>
      <c r="G468" s="15" t="inlineStr">
        <is>
          <t>EX09</t>
        </is>
      </c>
      <c r="H468" s="15" t="inlineStr">
        <is>
          <t>Wooden Drums</t>
        </is>
      </c>
      <c r="I468" s="15" t="inlineStr">
        <is>
          <t>OK</t>
        </is>
      </c>
      <c r="J468" s="15" t="inlineStr">
        <is>
          <t>A</t>
        </is>
      </c>
      <c r="K468" s="15" t="inlineStr">
        <is>
          <t>Y</t>
        </is>
      </c>
      <c r="L468" s="15" t="n">
        <v>1030</v>
      </c>
      <c r="M468" s="16" t="n">
        <v>0.25029</v>
      </c>
      <c r="N468" s="16" t="n">
        <v>0.15244</v>
      </c>
      <c r="O468" s="16" t="n">
        <v>0</v>
      </c>
      <c r="P468" s="16" t="n">
        <v>0.40273</v>
      </c>
      <c r="Q468">
        <f>--($A468=IF('الداشبورد'!$B$5="الكل",$A468,'الداشبورد'!$B$5))</f>
        <v/>
      </c>
      <c r="R468">
        <f>--($E468=IF('الداشبورد'!$B$6="الكل",$E468,'الداشبورد'!$B$6))</f>
        <v/>
      </c>
      <c r="S468">
        <f>--($K468=IF('الداشبورد'!$B$7="الكل",$K468,IF('الداشبورد'!$B$7="تصدير","Y","N")))</f>
        <v/>
      </c>
      <c r="T468">
        <f>--($J468=IF('الداشبورد'!$B$8="الكل",$J468,IF('الداشبورد'!$B$8="AL","A","C")))</f>
        <v/>
      </c>
      <c r="U468">
        <f>--($I468=IF('الداشبورد'!$B$9="الكل",$I468,IF('الداشبورد'!$B$9="بدون حالة","P",'الداشبورد'!$B$9)))</f>
        <v/>
      </c>
      <c r="V468">
        <f>--($D468=IF('الداشبورد'!$B$10="الكل",$D468,'الداشبورد'!$B$10))</f>
        <v/>
      </c>
      <c r="W468">
        <f>--($G468=IF('الداشبورد'!$B$11="الكل",$G468,'الداشبورد'!$B$11))</f>
        <v/>
      </c>
      <c r="X468">
        <f>Q468*R468*S468*T468*U468*V468*W468*--($C468&lt;&gt;"")</f>
        <v/>
      </c>
    </row>
    <row r="469">
      <c r="A469" s="15" t="n">
        <v>5</v>
      </c>
      <c r="B469" s="15" t="inlineStr">
        <is>
          <t>J184709</t>
        </is>
      </c>
      <c r="C469" s="15" t="inlineStr">
        <is>
          <t>1439/26/01</t>
        </is>
      </c>
      <c r="D469" s="15" t="inlineStr">
        <is>
          <t>2M KABLO SAN VE TIC A.S</t>
        </is>
      </c>
      <c r="E469" s="15" t="inlineStr">
        <is>
          <t>MV</t>
        </is>
      </c>
      <c r="F469" s="15" t="inlineStr">
        <is>
          <t>12/20KV 1*95</t>
        </is>
      </c>
      <c r="G469" s="15" t="inlineStr">
        <is>
          <t>EX09</t>
        </is>
      </c>
      <c r="H469" s="15" t="inlineStr">
        <is>
          <t>Wooden Drums</t>
        </is>
      </c>
      <c r="I469" s="15" t="inlineStr">
        <is>
          <t>OK</t>
        </is>
      </c>
      <c r="J469" s="15" t="inlineStr">
        <is>
          <t>A</t>
        </is>
      </c>
      <c r="K469" s="15" t="inlineStr">
        <is>
          <t>Y</t>
        </is>
      </c>
      <c r="L469" s="15" t="n">
        <v>1110</v>
      </c>
      <c r="M469" s="16" t="n">
        <v>0.26973</v>
      </c>
      <c r="N469" s="16" t="n">
        <v>0.16428</v>
      </c>
      <c r="O469" s="16" t="n">
        <v>0</v>
      </c>
      <c r="P469" s="16" t="n">
        <v>0.43401</v>
      </c>
      <c r="Q469">
        <f>--($A469=IF('الداشبورد'!$B$5="الكل",$A469,'الداشبورد'!$B$5))</f>
        <v/>
      </c>
      <c r="R469">
        <f>--($E469=IF('الداشبورد'!$B$6="الكل",$E469,'الداشبورد'!$B$6))</f>
        <v/>
      </c>
      <c r="S469">
        <f>--($K469=IF('الداشبورد'!$B$7="الكل",$K469,IF('الداشبورد'!$B$7="تصدير","Y","N")))</f>
        <v/>
      </c>
      <c r="T469">
        <f>--($J469=IF('الداشبورد'!$B$8="الكل",$J469,IF('الداشبورد'!$B$8="AL","A","C")))</f>
        <v/>
      </c>
      <c r="U469">
        <f>--($I469=IF('الداشبورد'!$B$9="الكل",$I469,IF('الداشبورد'!$B$9="بدون حالة","P",'الداشبورد'!$B$9)))</f>
        <v/>
      </c>
      <c r="V469">
        <f>--($D469=IF('الداشبورد'!$B$10="الكل",$D469,'الداشبورد'!$B$10))</f>
        <v/>
      </c>
      <c r="W469">
        <f>--($G469=IF('الداشبورد'!$B$11="الكل",$G469,'الداشبورد'!$B$11))</f>
        <v/>
      </c>
      <c r="X469">
        <f>Q469*R469*S469*T469*U469*V469*W469*--($C469&lt;&gt;"")</f>
        <v/>
      </c>
    </row>
    <row r="470">
      <c r="A470" s="15" t="n">
        <v>5</v>
      </c>
      <c r="B470" s="15" t="inlineStr">
        <is>
          <t>J184329</t>
        </is>
      </c>
      <c r="C470" s="15" t="inlineStr">
        <is>
          <t>1405/26/04</t>
        </is>
      </c>
      <c r="D470" s="15" t="inlineStr">
        <is>
          <t>Kharafi National</t>
        </is>
      </c>
      <c r="E470" s="15" t="inlineStr">
        <is>
          <t>LV</t>
        </is>
      </c>
      <c r="F470" s="15" t="inlineStr">
        <is>
          <t>0.6/1 KV 3X16</t>
        </is>
      </c>
      <c r="G470" s="15" t="inlineStr">
        <is>
          <t>EX13</t>
        </is>
      </c>
      <c r="H470" s="15" t="inlineStr">
        <is>
          <t>Wooden Drums</t>
        </is>
      </c>
      <c r="I470" s="15" t="inlineStr">
        <is>
          <t>OK</t>
        </is>
      </c>
      <c r="J470" s="15" t="inlineStr">
        <is>
          <t>A</t>
        </is>
      </c>
      <c r="K470" s="15" t="inlineStr">
        <is>
          <t>N</t>
        </is>
      </c>
      <c r="L470" s="15" t="n">
        <v>988</v>
      </c>
      <c r="M470" s="16" t="n">
        <v>0.122512</v>
      </c>
      <c r="N470" s="16" t="n">
        <v>0</v>
      </c>
      <c r="O470" s="16" t="n">
        <v>0</v>
      </c>
      <c r="P470" s="16" t="n">
        <v>0.122512</v>
      </c>
      <c r="Q470">
        <f>--($A470=IF('الداشبورد'!$B$5="الكل",$A470,'الداشبورد'!$B$5))</f>
        <v/>
      </c>
      <c r="R470">
        <f>--($E470=IF('الداشبورد'!$B$6="الكل",$E470,'الداشبورد'!$B$6))</f>
        <v/>
      </c>
      <c r="S470">
        <f>--($K470=IF('الداشبورد'!$B$7="الكل",$K470,IF('الداشبورد'!$B$7="تصدير","Y","N")))</f>
        <v/>
      </c>
      <c r="T470">
        <f>--($J470=IF('الداشبورد'!$B$8="الكل",$J470,IF('الداشبورد'!$B$8="AL","A","C")))</f>
        <v/>
      </c>
      <c r="U470">
        <f>--($I470=IF('الداشبورد'!$B$9="الكل",$I470,IF('الداشبورد'!$B$9="بدون حالة","P",'الداشبورد'!$B$9)))</f>
        <v/>
      </c>
      <c r="V470">
        <f>--($D470=IF('الداشبورد'!$B$10="الكل",$D470,'الداشبورد'!$B$10))</f>
        <v/>
      </c>
      <c r="W470">
        <f>--($G470=IF('الداشبورد'!$B$11="الكل",$G470,'الداشبورد'!$B$11))</f>
        <v/>
      </c>
      <c r="X470">
        <f>Q470*R470*S470*T470*U470*V470*W470*--($C470&lt;&gt;"")</f>
        <v/>
      </c>
    </row>
    <row r="471">
      <c r="A471" s="15" t="n">
        <v>5</v>
      </c>
      <c r="B471" s="15" t="inlineStr">
        <is>
          <t>L184679</t>
        </is>
      </c>
      <c r="C471" s="15" t="inlineStr">
        <is>
          <t>1405/26/01</t>
        </is>
      </c>
      <c r="D471" s="15" t="inlineStr">
        <is>
          <t>Kharafi National</t>
        </is>
      </c>
      <c r="E471" s="15" t="inlineStr">
        <is>
          <t>LV</t>
        </is>
      </c>
      <c r="F471" s="15" t="inlineStr">
        <is>
          <t>0.6/1 KV 4*16</t>
        </is>
      </c>
      <c r="G471" s="15" t="inlineStr">
        <is>
          <t>EX13</t>
        </is>
      </c>
      <c r="H471" s="15" t="inlineStr">
        <is>
          <t>Wooden Drums</t>
        </is>
      </c>
      <c r="I471" s="15" t="inlineStr">
        <is>
          <t>OK</t>
        </is>
      </c>
      <c r="J471" s="15" t="inlineStr">
        <is>
          <t>A</t>
        </is>
      </c>
      <c r="K471" s="15" t="inlineStr">
        <is>
          <t>N</t>
        </is>
      </c>
      <c r="L471" s="15" t="n">
        <v>2022</v>
      </c>
      <c r="M471" s="16" t="n">
        <v>0.331608</v>
      </c>
      <c r="N471" s="16" t="n">
        <v>0</v>
      </c>
      <c r="O471" s="16" t="n">
        <v>0</v>
      </c>
      <c r="P471" s="16" t="n">
        <v>0.331608</v>
      </c>
      <c r="Q471">
        <f>--($A471=IF('الداشبورد'!$B$5="الكل",$A471,'الداشبورد'!$B$5))</f>
        <v/>
      </c>
      <c r="R471">
        <f>--($E471=IF('الداشبورد'!$B$6="الكل",$E471,'الداشبورد'!$B$6))</f>
        <v/>
      </c>
      <c r="S471">
        <f>--($K471=IF('الداشبورد'!$B$7="الكل",$K471,IF('الداشبورد'!$B$7="تصدير","Y","N")))</f>
        <v/>
      </c>
      <c r="T471">
        <f>--($J471=IF('الداشبورد'!$B$8="الكل",$J471,IF('الداشبورد'!$B$8="AL","A","C")))</f>
        <v/>
      </c>
      <c r="U471">
        <f>--($I471=IF('الداشبورد'!$B$9="الكل",$I471,IF('الداشبورد'!$B$9="بدون حالة","P",'الداشبورد'!$B$9)))</f>
        <v/>
      </c>
      <c r="V471">
        <f>--($D471=IF('الداشبورد'!$B$10="الكل",$D471,'الداشبورد'!$B$10))</f>
        <v/>
      </c>
      <c r="W471">
        <f>--($G471=IF('الداشبورد'!$B$11="الكل",$G471,'الداشبورد'!$B$11))</f>
        <v/>
      </c>
      <c r="X471">
        <f>Q471*R471*S471*T471*U471*V471*W471*--($C471&lt;&gt;"")</f>
        <v/>
      </c>
    </row>
    <row r="472">
      <c r="A472" s="15" t="n">
        <v>5</v>
      </c>
      <c r="B472" s="15" t="inlineStr">
        <is>
          <t>M180896</t>
        </is>
      </c>
      <c r="C472" s="15" t="inlineStr">
        <is>
          <t>1405/26/01</t>
        </is>
      </c>
      <c r="D472" s="15" t="inlineStr">
        <is>
          <t>Kharafi National</t>
        </is>
      </c>
      <c r="E472" s="15" t="inlineStr">
        <is>
          <t>LV</t>
        </is>
      </c>
      <c r="F472" s="15" t="inlineStr">
        <is>
          <t>0.6/1 KV 4*16</t>
        </is>
      </c>
      <c r="G472" s="15" t="inlineStr">
        <is>
          <t>EX13</t>
        </is>
      </c>
      <c r="H472" s="15" t="inlineStr">
        <is>
          <t>Wooden Drums</t>
        </is>
      </c>
      <c r="I472" s="15" t="inlineStr">
        <is>
          <t>OK</t>
        </is>
      </c>
      <c r="J472" s="15" t="inlineStr">
        <is>
          <t>A</t>
        </is>
      </c>
      <c r="K472" s="15" t="inlineStr">
        <is>
          <t>N</t>
        </is>
      </c>
      <c r="L472" s="15" t="n">
        <v>2044</v>
      </c>
      <c r="M472" s="16" t="n">
        <v>0.335216</v>
      </c>
      <c r="N472" s="16" t="n">
        <v>0</v>
      </c>
      <c r="O472" s="16" t="n">
        <v>0</v>
      </c>
      <c r="P472" s="16" t="n">
        <v>0.335216</v>
      </c>
      <c r="Q472">
        <f>--($A472=IF('الداشبورد'!$B$5="الكل",$A472,'الداشبورد'!$B$5))</f>
        <v/>
      </c>
      <c r="R472">
        <f>--($E472=IF('الداشبورد'!$B$6="الكل",$E472,'الداشبورد'!$B$6))</f>
        <v/>
      </c>
      <c r="S472">
        <f>--($K472=IF('الداشبورد'!$B$7="الكل",$K472,IF('الداشبورد'!$B$7="تصدير","Y","N")))</f>
        <v/>
      </c>
      <c r="T472">
        <f>--($J472=IF('الداشبورد'!$B$8="الكل",$J472,IF('الداشبورد'!$B$8="AL","A","C")))</f>
        <v/>
      </c>
      <c r="U472">
        <f>--($I472=IF('الداشبورد'!$B$9="الكل",$I472,IF('الداشبورد'!$B$9="بدون حالة","P",'الداشبورد'!$B$9)))</f>
        <v/>
      </c>
      <c r="V472">
        <f>--($D472=IF('الداشبورد'!$B$10="الكل",$D472,'الداشبورد'!$B$10))</f>
        <v/>
      </c>
      <c r="W472">
        <f>--($G472=IF('الداشبورد'!$B$11="الكل",$G472,'الداشبورد'!$B$11))</f>
        <v/>
      </c>
      <c r="X472">
        <f>Q472*R472*S472*T472*U472*V472*W472*--($C472&lt;&gt;"")</f>
        <v/>
      </c>
    </row>
    <row r="473">
      <c r="A473" s="15" t="n">
        <v>5</v>
      </c>
      <c r="B473" s="15" t="inlineStr">
        <is>
          <t>N184372</t>
        </is>
      </c>
      <c r="C473" s="15" t="inlineStr">
        <is>
          <t>1405/26/01</t>
        </is>
      </c>
      <c r="D473" s="15" t="inlineStr">
        <is>
          <t>Kharafi National</t>
        </is>
      </c>
      <c r="E473" s="15" t="inlineStr">
        <is>
          <t>LV</t>
        </is>
      </c>
      <c r="F473" s="15" t="inlineStr">
        <is>
          <t>0.6/1 KV 4*16</t>
        </is>
      </c>
      <c r="G473" s="15" t="inlineStr">
        <is>
          <t>EX13</t>
        </is>
      </c>
      <c r="H473" s="15" t="inlineStr">
        <is>
          <t>Wooden Drums</t>
        </is>
      </c>
      <c r="I473" s="15" t="inlineStr">
        <is>
          <t>OK</t>
        </is>
      </c>
      <c r="J473" s="15" t="inlineStr">
        <is>
          <t>A</t>
        </is>
      </c>
      <c r="K473" s="15" t="inlineStr">
        <is>
          <t>N</t>
        </is>
      </c>
      <c r="L473" s="15" t="n">
        <v>2000</v>
      </c>
      <c r="M473" s="16" t="n">
        <v>0.328</v>
      </c>
      <c r="N473" s="16" t="n">
        <v>0</v>
      </c>
      <c r="O473" s="16" t="n">
        <v>0</v>
      </c>
      <c r="P473" s="16" t="n">
        <v>0.328</v>
      </c>
      <c r="Q473">
        <f>--($A473=IF('الداشبورد'!$B$5="الكل",$A473,'الداشبورد'!$B$5))</f>
        <v/>
      </c>
      <c r="R473">
        <f>--($E473=IF('الداشبورد'!$B$6="الكل",$E473,'الداشبورد'!$B$6))</f>
        <v/>
      </c>
      <c r="S473">
        <f>--($K473=IF('الداشبورد'!$B$7="الكل",$K473,IF('الداشبورد'!$B$7="تصدير","Y","N")))</f>
        <v/>
      </c>
      <c r="T473">
        <f>--($J473=IF('الداشبورد'!$B$8="الكل",$J473,IF('الداشبورد'!$B$8="AL","A","C")))</f>
        <v/>
      </c>
      <c r="U473">
        <f>--($I473=IF('الداشبورد'!$B$9="الكل",$I473,IF('الداشبورد'!$B$9="بدون حالة","P",'الداشبورد'!$B$9)))</f>
        <v/>
      </c>
      <c r="V473">
        <f>--($D473=IF('الداشبورد'!$B$10="الكل",$D473,'الداشبورد'!$B$10))</f>
        <v/>
      </c>
      <c r="W473">
        <f>--($G473=IF('الداشبورد'!$B$11="الكل",$G473,'الداشبورد'!$B$11))</f>
        <v/>
      </c>
      <c r="X473">
        <f>Q473*R473*S473*T473*U473*V473*W473*--($C473&lt;&gt;"")</f>
        <v/>
      </c>
    </row>
    <row r="474">
      <c r="A474" s="15" t="n">
        <v>5</v>
      </c>
      <c r="B474" s="15" t="inlineStr">
        <is>
          <t>G184594</t>
        </is>
      </c>
      <c r="C474" s="15" t="inlineStr">
        <is>
          <t>1405/26/01</t>
        </is>
      </c>
      <c r="D474" s="15" t="inlineStr">
        <is>
          <t>Kharafi National</t>
        </is>
      </c>
      <c r="E474" s="15" t="inlineStr">
        <is>
          <t>LV</t>
        </is>
      </c>
      <c r="F474" s="15" t="inlineStr">
        <is>
          <t>0.6/1 KV 4*16</t>
        </is>
      </c>
      <c r="G474" s="15" t="inlineStr">
        <is>
          <t>EX13</t>
        </is>
      </c>
      <c r="H474" s="15" t="inlineStr">
        <is>
          <t>Wooden Drums</t>
        </is>
      </c>
      <c r="I474" s="15" t="inlineStr">
        <is>
          <t>OK</t>
        </is>
      </c>
      <c r="J474" s="15" t="inlineStr">
        <is>
          <t>A</t>
        </is>
      </c>
      <c r="K474" s="15" t="inlineStr">
        <is>
          <t>N</t>
        </is>
      </c>
      <c r="L474" s="15" t="n">
        <v>670</v>
      </c>
      <c r="M474" s="16" t="n">
        <v>0.10988</v>
      </c>
      <c r="N474" s="16" t="n">
        <v>0</v>
      </c>
      <c r="O474" s="16" t="n">
        <v>0</v>
      </c>
      <c r="P474" s="16" t="n">
        <v>0.10988</v>
      </c>
      <c r="Q474">
        <f>--($A474=IF('الداشبورد'!$B$5="الكل",$A474,'الداشبورد'!$B$5))</f>
        <v/>
      </c>
      <c r="R474">
        <f>--($E474=IF('الداشبورد'!$B$6="الكل",$E474,'الداشبورد'!$B$6))</f>
        <v/>
      </c>
      <c r="S474">
        <f>--($K474=IF('الداشبورد'!$B$7="الكل",$K474,IF('الداشبورد'!$B$7="تصدير","Y","N")))</f>
        <v/>
      </c>
      <c r="T474">
        <f>--($J474=IF('الداشبورد'!$B$8="الكل",$J474,IF('الداشبورد'!$B$8="AL","A","C")))</f>
        <v/>
      </c>
      <c r="U474">
        <f>--($I474=IF('الداشبورد'!$B$9="الكل",$I474,IF('الداشبورد'!$B$9="بدون حالة","P",'الداشبورد'!$B$9)))</f>
        <v/>
      </c>
      <c r="V474">
        <f>--($D474=IF('الداشبورد'!$B$10="الكل",$D474,'الداشبورد'!$B$10))</f>
        <v/>
      </c>
      <c r="W474">
        <f>--($G474=IF('الداشبورد'!$B$11="الكل",$G474,'الداشبورد'!$B$11))</f>
        <v/>
      </c>
      <c r="X474">
        <f>Q474*R474*S474*T474*U474*V474*W474*--($C474&lt;&gt;"")</f>
        <v/>
      </c>
    </row>
    <row r="475">
      <c r="A475" s="15" t="n">
        <v>5</v>
      </c>
      <c r="B475" s="15" t="inlineStr">
        <is>
          <t>P184639</t>
        </is>
      </c>
      <c r="C475" s="15" t="inlineStr">
        <is>
          <t>1392/26/09</t>
        </is>
      </c>
      <c r="D475" s="15" t="inlineStr">
        <is>
          <t>أوتاك  للتجارة والهندسية</t>
        </is>
      </c>
      <c r="E475" s="15" t="inlineStr">
        <is>
          <t>LV</t>
        </is>
      </c>
      <c r="F475" s="15" t="inlineStr">
        <is>
          <t>0.6/1 KV 4*16</t>
        </is>
      </c>
      <c r="G475" s="15" t="inlineStr">
        <is>
          <t>EX13</t>
        </is>
      </c>
      <c r="H475" s="15" t="inlineStr">
        <is>
          <t>Wooden Drums</t>
        </is>
      </c>
      <c r="I475" s="15" t="inlineStr">
        <is>
          <t>OK</t>
        </is>
      </c>
      <c r="J475" s="15" t="inlineStr">
        <is>
          <t>A</t>
        </is>
      </c>
      <c r="K475" s="15" t="inlineStr">
        <is>
          <t>N</t>
        </is>
      </c>
      <c r="L475" s="15" t="n">
        <v>1970</v>
      </c>
      <c r="M475" s="16" t="n">
        <v>0.32308</v>
      </c>
      <c r="N475" s="16" t="n">
        <v>0</v>
      </c>
      <c r="O475" s="16" t="n">
        <v>0</v>
      </c>
      <c r="P475" s="16" t="n">
        <v>0.32308</v>
      </c>
      <c r="Q475">
        <f>--($A475=IF('الداشبورد'!$B$5="الكل",$A475,'الداشبورد'!$B$5))</f>
        <v/>
      </c>
      <c r="R475">
        <f>--($E475=IF('الداشبورد'!$B$6="الكل",$E475,'الداشبورد'!$B$6))</f>
        <v/>
      </c>
      <c r="S475">
        <f>--($K475=IF('الداشبورد'!$B$7="الكل",$K475,IF('الداشبورد'!$B$7="تصدير","Y","N")))</f>
        <v/>
      </c>
      <c r="T475">
        <f>--($J475=IF('الداشبورد'!$B$8="الكل",$J475,IF('الداشبورد'!$B$8="AL","A","C")))</f>
        <v/>
      </c>
      <c r="U475">
        <f>--($I475=IF('الداشبورد'!$B$9="الكل",$I475,IF('الداشبورد'!$B$9="بدون حالة","P",'الداشبورد'!$B$9)))</f>
        <v/>
      </c>
      <c r="V475">
        <f>--($D475=IF('الداشبورد'!$B$10="الكل",$D475,'الداشبورد'!$B$10))</f>
        <v/>
      </c>
      <c r="W475">
        <f>--($G475=IF('الداشبورد'!$B$11="الكل",$G475,'الداشبورد'!$B$11))</f>
        <v/>
      </c>
      <c r="X475">
        <f>Q475*R475*S475*T475*U475*V475*W475*--($C475&lt;&gt;"")</f>
        <v/>
      </c>
    </row>
    <row r="476">
      <c r="A476" s="15" t="n">
        <v>5</v>
      </c>
      <c r="B476" s="15" t="inlineStr">
        <is>
          <t>J184178</t>
        </is>
      </c>
      <c r="C476" s="15" t="inlineStr">
        <is>
          <t>1392/26/09</t>
        </is>
      </c>
      <c r="D476" s="15" t="inlineStr">
        <is>
          <t>أوتاك  للتجارة والهندسية</t>
        </is>
      </c>
      <c r="E476" s="15" t="inlineStr">
        <is>
          <t>LV</t>
        </is>
      </c>
      <c r="F476" s="15" t="inlineStr">
        <is>
          <t>0.6/1 KV 4*16</t>
        </is>
      </c>
      <c r="G476" s="15" t="inlineStr">
        <is>
          <t>EX13</t>
        </is>
      </c>
      <c r="H476" s="15" t="inlineStr">
        <is>
          <t>Wooden Drums</t>
        </is>
      </c>
      <c r="I476" s="15" t="inlineStr">
        <is>
          <t>OK</t>
        </is>
      </c>
      <c r="J476" s="15" t="inlineStr">
        <is>
          <t>A</t>
        </is>
      </c>
      <c r="K476" s="15" t="inlineStr">
        <is>
          <t>N</t>
        </is>
      </c>
      <c r="L476" s="15" t="n">
        <v>1785</v>
      </c>
      <c r="M476" s="16" t="n">
        <v>0.29274</v>
      </c>
      <c r="N476" s="16" t="n">
        <v>0</v>
      </c>
      <c r="O476" s="16" t="n">
        <v>0</v>
      </c>
      <c r="P476" s="16" t="n">
        <v>0.29274</v>
      </c>
      <c r="Q476">
        <f>--($A476=IF('الداشبورد'!$B$5="الكل",$A476,'الداشبورد'!$B$5))</f>
        <v/>
      </c>
      <c r="R476">
        <f>--($E476=IF('الداشبورد'!$B$6="الكل",$E476,'الداشبورد'!$B$6))</f>
        <v/>
      </c>
      <c r="S476">
        <f>--($K476=IF('الداشبورد'!$B$7="الكل",$K476,IF('الداشبورد'!$B$7="تصدير","Y","N")))</f>
        <v/>
      </c>
      <c r="T476">
        <f>--($J476=IF('الداشبورد'!$B$8="الكل",$J476,IF('الداشبورد'!$B$8="AL","A","C")))</f>
        <v/>
      </c>
      <c r="U476">
        <f>--($I476=IF('الداشبورد'!$B$9="الكل",$I476,IF('الداشبورد'!$B$9="بدون حالة","P",'الداشبورد'!$B$9)))</f>
        <v/>
      </c>
      <c r="V476">
        <f>--($D476=IF('الداشبورد'!$B$10="الكل",$D476,'الداشبورد'!$B$10))</f>
        <v/>
      </c>
      <c r="W476">
        <f>--($G476=IF('الداشبورد'!$B$11="الكل",$G476,'الداشبورد'!$B$11))</f>
        <v/>
      </c>
      <c r="X476">
        <f>Q476*R476*S476*T476*U476*V476*W476*--($C476&lt;&gt;"")</f>
        <v/>
      </c>
    </row>
    <row r="477">
      <c r="A477" s="15" t="n">
        <v>5</v>
      </c>
      <c r="B477" s="15" t="inlineStr">
        <is>
          <t>37916</t>
        </is>
      </c>
      <c r="C477" s="15" t="inlineStr">
        <is>
          <t>9/25/40</t>
        </is>
      </c>
      <c r="D477" s="15" t="inlineStr">
        <is>
          <t>Helal Elsewedy</t>
        </is>
      </c>
      <c r="E477" s="15" t="inlineStr">
        <is>
          <t>BC</t>
        </is>
      </c>
      <c r="F477" s="15" t="inlineStr">
        <is>
          <t>450/750 V 1X6</t>
        </is>
      </c>
      <c r="G477" s="15" t="inlineStr">
        <is>
          <t>CO01</t>
        </is>
      </c>
      <c r="H477" s="15" t="inlineStr">
        <is>
          <t>Plastic Spool 100M</t>
        </is>
      </c>
      <c r="I477" s="15" t="inlineStr">
        <is>
          <t>OK</t>
        </is>
      </c>
      <c r="J477" s="15" t="inlineStr">
        <is>
          <t>C</t>
        </is>
      </c>
      <c r="K477" s="15" t="inlineStr">
        <is>
          <t>N</t>
        </is>
      </c>
      <c r="L477" s="15" t="n">
        <v>4600</v>
      </c>
      <c r="M477" s="16" t="n">
        <v>0.2208</v>
      </c>
      <c r="N477" s="16" t="n">
        <v>0</v>
      </c>
      <c r="O477" s="16" t="n">
        <v>0</v>
      </c>
      <c r="P477" s="16" t="n">
        <v>0.2208</v>
      </c>
      <c r="Q477">
        <f>--($A477=IF('الداشبورد'!$B$5="الكل",$A477,'الداشبورد'!$B$5))</f>
        <v/>
      </c>
      <c r="R477">
        <f>--($E477=IF('الداشبورد'!$B$6="الكل",$E477,'الداشبورد'!$B$6))</f>
        <v/>
      </c>
      <c r="S477">
        <f>--($K477=IF('الداشبورد'!$B$7="الكل",$K477,IF('الداشبورد'!$B$7="تصدير","Y","N")))</f>
        <v/>
      </c>
      <c r="T477">
        <f>--($J477=IF('الداشبورد'!$B$8="الكل",$J477,IF('الداشبورد'!$B$8="AL","A","C")))</f>
        <v/>
      </c>
      <c r="U477">
        <f>--($I477=IF('الداشبورد'!$B$9="الكل",$I477,IF('الداشبورد'!$B$9="بدون حالة","P",'الداشبورد'!$B$9)))</f>
        <v/>
      </c>
      <c r="V477">
        <f>--($D477=IF('الداشبورد'!$B$10="الكل",$D477,'الداشبورد'!$B$10))</f>
        <v/>
      </c>
      <c r="W477">
        <f>--($G477=IF('الداشبورد'!$B$11="الكل",$G477,'الداشبورد'!$B$11))</f>
        <v/>
      </c>
      <c r="X477">
        <f>Q477*R477*S477*T477*U477*V477*W477*--($C477&lt;&gt;"")</f>
        <v/>
      </c>
    </row>
    <row r="478">
      <c r="A478" s="15" t="n">
        <v>4</v>
      </c>
      <c r="B478" s="15" t="inlineStr">
        <is>
          <t>T184653</t>
        </is>
      </c>
      <c r="C478" s="15" t="inlineStr">
        <is>
          <t>1385/26/03</t>
        </is>
      </c>
      <c r="D478" s="15" t="inlineStr">
        <is>
          <t>الشركة العربية للصناعة والتجارة الدولية</t>
        </is>
      </c>
      <c r="E478" s="15" t="inlineStr">
        <is>
          <t>LV</t>
        </is>
      </c>
      <c r="F478" s="15" t="inlineStr">
        <is>
          <t>0.6/1 KV 3*240+120</t>
        </is>
      </c>
      <c r="G478" s="15" t="inlineStr">
        <is>
          <t>EX09</t>
        </is>
      </c>
      <c r="H478" s="15" t="inlineStr">
        <is>
          <t>Wooden Drums</t>
        </is>
      </c>
      <c r="I478" s="15" t="inlineStr">
        <is>
          <t>OK</t>
        </is>
      </c>
      <c r="J478" s="15" t="inlineStr">
        <is>
          <t>A</t>
        </is>
      </c>
      <c r="K478" s="15" t="inlineStr">
        <is>
          <t>N</t>
        </is>
      </c>
      <c r="L478" s="15" t="n">
        <v>993</v>
      </c>
      <c r="M478" s="16" t="n">
        <v>2.181621</v>
      </c>
      <c r="N478" s="16" t="n">
        <v>0</v>
      </c>
      <c r="O478" s="16" t="n">
        <v>0</v>
      </c>
      <c r="P478" s="16" t="n">
        <v>2.181621</v>
      </c>
      <c r="Q478">
        <f>--($A478=IF('الداشبورد'!$B$5="الكل",$A478,'الداشبورد'!$B$5))</f>
        <v/>
      </c>
      <c r="R478">
        <f>--($E478=IF('الداشبورد'!$B$6="الكل",$E478,'الداشبورد'!$B$6))</f>
        <v/>
      </c>
      <c r="S478">
        <f>--($K478=IF('الداشبورد'!$B$7="الكل",$K478,IF('الداشبورد'!$B$7="تصدير","Y","N")))</f>
        <v/>
      </c>
      <c r="T478">
        <f>--($J478=IF('الداشبورد'!$B$8="الكل",$J478,IF('الداشبورد'!$B$8="AL","A","C")))</f>
        <v/>
      </c>
      <c r="U478">
        <f>--($I478=IF('الداشبورد'!$B$9="الكل",$I478,IF('الداشبورد'!$B$9="بدون حالة","P",'الداشبورد'!$B$9)))</f>
        <v/>
      </c>
      <c r="V478">
        <f>--($D478=IF('الداشبورد'!$B$10="الكل",$D478,'الداشبورد'!$B$10))</f>
        <v/>
      </c>
      <c r="W478">
        <f>--($G478=IF('الداشبورد'!$B$11="الكل",$G478,'الداشبورد'!$B$11))</f>
        <v/>
      </c>
      <c r="X478">
        <f>Q478*R478*S478*T478*U478*V478*W478*--($C478&lt;&gt;"")</f>
        <v/>
      </c>
    </row>
    <row r="479">
      <c r="A479" s="15" t="n">
        <v>5</v>
      </c>
      <c r="B479" s="15" t="inlineStr">
        <is>
          <t>37911</t>
        </is>
      </c>
      <c r="C479" s="15" t="inlineStr">
        <is>
          <t>9/25/14</t>
        </is>
      </c>
      <c r="D479" s="15" t="inlineStr">
        <is>
          <t>Helal Elsewedy</t>
        </is>
      </c>
      <c r="E479" s="15" t="inlineStr">
        <is>
          <t>BC</t>
        </is>
      </c>
      <c r="F479" s="15" t="inlineStr">
        <is>
          <t>450/750 V 1X2</t>
        </is>
      </c>
      <c r="G479" s="15" t="inlineStr">
        <is>
          <t>CO01</t>
        </is>
      </c>
      <c r="H479" s="15" t="inlineStr">
        <is>
          <t>Plastic Spool 100M</t>
        </is>
      </c>
      <c r="I479" s="15" t="inlineStr">
        <is>
          <t>OK</t>
        </is>
      </c>
      <c r="J479" s="15" t="inlineStr">
        <is>
          <t>C</t>
        </is>
      </c>
      <c r="K479" s="15" t="inlineStr">
        <is>
          <t>N</t>
        </is>
      </c>
      <c r="L479" s="15" t="n">
        <v>5100</v>
      </c>
      <c r="M479" s="16" t="n">
        <v>0.08160000000000001</v>
      </c>
      <c r="N479" s="16" t="n">
        <v>0</v>
      </c>
      <c r="O479" s="16" t="n">
        <v>0</v>
      </c>
      <c r="P479" s="16" t="n">
        <v>0.08160000000000001</v>
      </c>
      <c r="Q479">
        <f>--($A479=IF('الداشبورد'!$B$5="الكل",$A479,'الداشبورد'!$B$5))</f>
        <v/>
      </c>
      <c r="R479">
        <f>--($E479=IF('الداشبورد'!$B$6="الكل",$E479,'الداشبورد'!$B$6))</f>
        <v/>
      </c>
      <c r="S479">
        <f>--($K479=IF('الداشبورد'!$B$7="الكل",$K479,IF('الداشبورد'!$B$7="تصدير","Y","N")))</f>
        <v/>
      </c>
      <c r="T479">
        <f>--($J479=IF('الداشبورد'!$B$8="الكل",$J479,IF('الداشبورد'!$B$8="AL","A","C")))</f>
        <v/>
      </c>
      <c r="U479">
        <f>--($I479=IF('الداشبورد'!$B$9="الكل",$I479,IF('الداشبورد'!$B$9="بدون حالة","P",'الداشبورد'!$B$9)))</f>
        <v/>
      </c>
      <c r="V479">
        <f>--($D479=IF('الداشبورد'!$B$10="الكل",$D479,'الداشبورد'!$B$10))</f>
        <v/>
      </c>
      <c r="W479">
        <f>--($G479=IF('الداشبورد'!$B$11="الكل",$G479,'الداشبورد'!$B$11))</f>
        <v/>
      </c>
      <c r="X479">
        <f>Q479*R479*S479*T479*U479*V479*W479*--($C479&lt;&gt;"")</f>
        <v/>
      </c>
    </row>
    <row r="480">
      <c r="A480" s="15" t="n">
        <v>5</v>
      </c>
      <c r="B480" s="15" t="inlineStr">
        <is>
          <t>37912</t>
        </is>
      </c>
      <c r="C480" s="15" t="inlineStr">
        <is>
          <t>9/25/15</t>
        </is>
      </c>
      <c r="D480" s="15" t="inlineStr">
        <is>
          <t>Helal Elsewedy</t>
        </is>
      </c>
      <c r="E480" s="15" t="inlineStr">
        <is>
          <t>BC</t>
        </is>
      </c>
      <c r="F480" s="15" t="inlineStr">
        <is>
          <t>450/750 V 1X2</t>
        </is>
      </c>
      <c r="G480" s="15" t="inlineStr">
        <is>
          <t>CO01</t>
        </is>
      </c>
      <c r="H480" s="15" t="inlineStr">
        <is>
          <t>Plastic Spool 100M</t>
        </is>
      </c>
      <c r="I480" s="15" t="inlineStr">
        <is>
          <t>OK</t>
        </is>
      </c>
      <c r="J480" s="15" t="inlineStr">
        <is>
          <t>C</t>
        </is>
      </c>
      <c r="K480" s="15" t="inlineStr">
        <is>
          <t>N</t>
        </is>
      </c>
      <c r="L480" s="15" t="n">
        <v>10700</v>
      </c>
      <c r="M480" s="16" t="n">
        <v>0.1712</v>
      </c>
      <c r="N480" s="16" t="n">
        <v>0</v>
      </c>
      <c r="O480" s="16" t="n">
        <v>0</v>
      </c>
      <c r="P480" s="16" t="n">
        <v>0.1712</v>
      </c>
      <c r="Q480">
        <f>--($A480=IF('الداشبورد'!$B$5="الكل",$A480,'الداشبورد'!$B$5))</f>
        <v/>
      </c>
      <c r="R480">
        <f>--($E480=IF('الداشبورد'!$B$6="الكل",$E480,'الداشبورد'!$B$6))</f>
        <v/>
      </c>
      <c r="S480">
        <f>--($K480=IF('الداشبورد'!$B$7="الكل",$K480,IF('الداشبورد'!$B$7="تصدير","Y","N")))</f>
        <v/>
      </c>
      <c r="T480">
        <f>--($J480=IF('الداشبورد'!$B$8="الكل",$J480,IF('الداشبورد'!$B$8="AL","A","C")))</f>
        <v/>
      </c>
      <c r="U480">
        <f>--($I480=IF('الداشبورد'!$B$9="الكل",$I480,IF('الداشبورد'!$B$9="بدون حالة","P",'الداشبورد'!$B$9)))</f>
        <v/>
      </c>
      <c r="V480">
        <f>--($D480=IF('الداشبورد'!$B$10="الكل",$D480,'الداشبورد'!$B$10))</f>
        <v/>
      </c>
      <c r="W480">
        <f>--($G480=IF('الداشبورد'!$B$11="الكل",$G480,'الداشبورد'!$B$11))</f>
        <v/>
      </c>
      <c r="X480">
        <f>Q480*R480*S480*T480*U480*V480*W480*--($C480&lt;&gt;"")</f>
        <v/>
      </c>
    </row>
    <row r="481">
      <c r="A481" s="15" t="n">
        <v>5</v>
      </c>
      <c r="B481" s="15" t="inlineStr">
        <is>
          <t>37913</t>
        </is>
      </c>
      <c r="C481" s="15" t="inlineStr">
        <is>
          <t>9/25/16</t>
        </is>
      </c>
      <c r="D481" s="15" t="inlineStr">
        <is>
          <t>Helal Elsewedy</t>
        </is>
      </c>
      <c r="E481" s="15" t="inlineStr">
        <is>
          <t>BC</t>
        </is>
      </c>
      <c r="F481" s="15" t="inlineStr">
        <is>
          <t>450/750 V 1X2</t>
        </is>
      </c>
      <c r="G481" s="15" t="inlineStr">
        <is>
          <t>CO01</t>
        </is>
      </c>
      <c r="H481" s="15" t="inlineStr">
        <is>
          <t>Plastic Spool 100M</t>
        </is>
      </c>
      <c r="I481" s="15" t="inlineStr">
        <is>
          <t>OK</t>
        </is>
      </c>
      <c r="J481" s="15" t="inlineStr">
        <is>
          <t>C</t>
        </is>
      </c>
      <c r="K481" s="15" t="inlineStr">
        <is>
          <t>N</t>
        </is>
      </c>
      <c r="L481" s="15" t="n">
        <v>11000</v>
      </c>
      <c r="M481" s="16" t="n">
        <v>0.176</v>
      </c>
      <c r="N481" s="16" t="n">
        <v>0</v>
      </c>
      <c r="O481" s="16" t="n">
        <v>0</v>
      </c>
      <c r="P481" s="16" t="n">
        <v>0.176</v>
      </c>
      <c r="Q481">
        <f>--($A481=IF('الداشبورد'!$B$5="الكل",$A481,'الداشبورد'!$B$5))</f>
        <v/>
      </c>
      <c r="R481">
        <f>--($E481=IF('الداشبورد'!$B$6="الكل",$E481,'الداشبورد'!$B$6))</f>
        <v/>
      </c>
      <c r="S481">
        <f>--($K481=IF('الداشبورد'!$B$7="الكل",$K481,IF('الداشبورد'!$B$7="تصدير","Y","N")))</f>
        <v/>
      </c>
      <c r="T481">
        <f>--($J481=IF('الداشبورد'!$B$8="الكل",$J481,IF('الداشبورد'!$B$8="AL","A","C")))</f>
        <v/>
      </c>
      <c r="U481">
        <f>--($I481=IF('الداشبورد'!$B$9="الكل",$I481,IF('الداشبورد'!$B$9="بدون حالة","P",'الداشبورد'!$B$9)))</f>
        <v/>
      </c>
      <c r="V481">
        <f>--($D481=IF('الداشبورد'!$B$10="الكل",$D481,'الداشبورد'!$B$10))</f>
        <v/>
      </c>
      <c r="W481">
        <f>--($G481=IF('الداشبورد'!$B$11="الكل",$G481,'الداشبورد'!$B$11))</f>
        <v/>
      </c>
      <c r="X481">
        <f>Q481*R481*S481*T481*U481*V481*W481*--($C481&lt;&gt;"")</f>
        <v/>
      </c>
    </row>
    <row r="482">
      <c r="A482" s="15" t="n">
        <v>5</v>
      </c>
      <c r="B482" s="15" t="inlineStr">
        <is>
          <t>37910</t>
        </is>
      </c>
      <c r="C482" s="15" t="inlineStr">
        <is>
          <t>9/25/17</t>
        </is>
      </c>
      <c r="D482" s="15" t="inlineStr">
        <is>
          <t>Helal Elsewedy</t>
        </is>
      </c>
      <c r="E482" s="15" t="inlineStr">
        <is>
          <t>BC</t>
        </is>
      </c>
      <c r="F482" s="15" t="inlineStr">
        <is>
          <t>450/750 V 1X2</t>
        </is>
      </c>
      <c r="G482" s="15" t="inlineStr">
        <is>
          <t>CO01</t>
        </is>
      </c>
      <c r="H482" s="15" t="inlineStr">
        <is>
          <t>Plastic Spool 100M</t>
        </is>
      </c>
      <c r="I482" s="15" t="inlineStr">
        <is>
          <t>OK</t>
        </is>
      </c>
      <c r="J482" s="15" t="inlineStr">
        <is>
          <t>C</t>
        </is>
      </c>
      <c r="K482" s="15" t="inlineStr">
        <is>
          <t>N</t>
        </is>
      </c>
      <c r="L482" s="15" t="n">
        <v>15000</v>
      </c>
      <c r="M482" s="16" t="n">
        <v>0.24</v>
      </c>
      <c r="N482" s="16" t="n">
        <v>0</v>
      </c>
      <c r="O482" s="16" t="n">
        <v>0</v>
      </c>
      <c r="P482" s="16" t="n">
        <v>0.24</v>
      </c>
      <c r="Q482">
        <f>--($A482=IF('الداشبورد'!$B$5="الكل",$A482,'الداشبورد'!$B$5))</f>
        <v/>
      </c>
      <c r="R482">
        <f>--($E482=IF('الداشبورد'!$B$6="الكل",$E482,'الداشبورد'!$B$6))</f>
        <v/>
      </c>
      <c r="S482">
        <f>--($K482=IF('الداشبورد'!$B$7="الكل",$K482,IF('الداشبورد'!$B$7="تصدير","Y","N")))</f>
        <v/>
      </c>
      <c r="T482">
        <f>--($J482=IF('الداشبورد'!$B$8="الكل",$J482,IF('الداشبورد'!$B$8="AL","A","C")))</f>
        <v/>
      </c>
      <c r="U482">
        <f>--($I482=IF('الداشبورد'!$B$9="الكل",$I482,IF('الداشبورد'!$B$9="بدون حالة","P",'الداشبورد'!$B$9)))</f>
        <v/>
      </c>
      <c r="V482">
        <f>--($D482=IF('الداشبورد'!$B$10="الكل",$D482,'الداشبورد'!$B$10))</f>
        <v/>
      </c>
      <c r="W482">
        <f>--($G482=IF('الداشبورد'!$B$11="الكل",$G482,'الداشبورد'!$B$11))</f>
        <v/>
      </c>
      <c r="X482">
        <f>Q482*R482*S482*T482*U482*V482*W482*--($C482&lt;&gt;"")</f>
        <v/>
      </c>
    </row>
    <row r="483">
      <c r="A483" s="15" t="n">
        <v>5</v>
      </c>
      <c r="B483" s="15" t="inlineStr">
        <is>
          <t>37915</t>
        </is>
      </c>
      <c r="C483" s="15" t="inlineStr">
        <is>
          <t>9/25/37</t>
        </is>
      </c>
      <c r="D483" s="15" t="inlineStr">
        <is>
          <t>Helal Elsewedy</t>
        </is>
      </c>
      <c r="E483" s="15" t="inlineStr">
        <is>
          <t>BC</t>
        </is>
      </c>
      <c r="F483" s="15" t="inlineStr">
        <is>
          <t>450/750 V 1X6</t>
        </is>
      </c>
      <c r="G483" s="15" t="inlineStr">
        <is>
          <t>CO01</t>
        </is>
      </c>
      <c r="H483" s="15" t="inlineStr">
        <is>
          <t>Plastic Spool 100M</t>
        </is>
      </c>
      <c r="I483" s="15" t="inlineStr">
        <is>
          <t>OK</t>
        </is>
      </c>
      <c r="J483" s="15" t="inlineStr">
        <is>
          <t>C</t>
        </is>
      </c>
      <c r="K483" s="15" t="inlineStr">
        <is>
          <t>N</t>
        </is>
      </c>
      <c r="L483" s="15" t="n">
        <v>4200</v>
      </c>
      <c r="M483" s="16" t="n">
        <v>0.2016</v>
      </c>
      <c r="N483" s="16" t="n">
        <v>0</v>
      </c>
      <c r="O483" s="16" t="n">
        <v>0</v>
      </c>
      <c r="P483" s="16" t="n">
        <v>0.2016</v>
      </c>
      <c r="Q483">
        <f>--($A483=IF('الداشبورد'!$B$5="الكل",$A483,'الداشبورد'!$B$5))</f>
        <v/>
      </c>
      <c r="R483">
        <f>--($E483=IF('الداشبورد'!$B$6="الكل",$E483,'الداشبورد'!$B$6))</f>
        <v/>
      </c>
      <c r="S483">
        <f>--($K483=IF('الداشبورد'!$B$7="الكل",$K483,IF('الداشبورد'!$B$7="تصدير","Y","N")))</f>
        <v/>
      </c>
      <c r="T483">
        <f>--($J483=IF('الداشبورد'!$B$8="الكل",$J483,IF('الداشبورد'!$B$8="AL","A","C")))</f>
        <v/>
      </c>
      <c r="U483">
        <f>--($I483=IF('الداشبورد'!$B$9="الكل",$I483,IF('الداشبورد'!$B$9="بدون حالة","P",'الداشبورد'!$B$9)))</f>
        <v/>
      </c>
      <c r="V483">
        <f>--($D483=IF('الداشبورد'!$B$10="الكل",$D483,'الداشبورد'!$B$10))</f>
        <v/>
      </c>
      <c r="W483">
        <f>--($G483=IF('الداشبورد'!$B$11="الكل",$G483,'الداشبورد'!$B$11))</f>
        <v/>
      </c>
      <c r="X483">
        <f>Q483*R483*S483*T483*U483*V483*W483*--($C483&lt;&gt;"")</f>
        <v/>
      </c>
    </row>
    <row r="484">
      <c r="A484" s="15" t="n">
        <v>4</v>
      </c>
      <c r="B484" s="15" t="inlineStr">
        <is>
          <t>N184522</t>
        </is>
      </c>
      <c r="C484" s="15" t="inlineStr">
        <is>
          <t>1632/26/01</t>
        </is>
      </c>
      <c r="D484" s="15" t="inlineStr">
        <is>
          <t>جيزه للانظمه مناطق حره</t>
        </is>
      </c>
      <c r="E484" s="15" t="inlineStr">
        <is>
          <t>IC</t>
        </is>
      </c>
      <c r="F484" s="15" t="inlineStr">
        <is>
          <t>500 V 5X2X1.5</t>
        </is>
      </c>
      <c r="G484" s="15" t="inlineStr">
        <is>
          <t>EX14</t>
        </is>
      </c>
      <c r="H484" s="15" t="inlineStr">
        <is>
          <t>Wooden Drums</t>
        </is>
      </c>
      <c r="I484" s="15" t="inlineStr">
        <is>
          <t>OK</t>
        </is>
      </c>
      <c r="J484" s="15" t="inlineStr">
        <is>
          <t>C</t>
        </is>
      </c>
      <c r="K484" s="15" t="inlineStr">
        <is>
          <t>N</t>
        </is>
      </c>
      <c r="L484" s="15" t="n">
        <v>1986</v>
      </c>
      <c r="M484" s="16" t="n">
        <v>0.266124</v>
      </c>
      <c r="N484" s="16" t="n">
        <v>0</v>
      </c>
      <c r="O484" s="16" t="n">
        <v>0</v>
      </c>
      <c r="P484" s="16" t="n">
        <v>0.266124</v>
      </c>
      <c r="Q484">
        <f>--($A484=IF('الداشبورد'!$B$5="الكل",$A484,'الداشبورد'!$B$5))</f>
        <v/>
      </c>
      <c r="R484">
        <f>--($E484=IF('الداشبورد'!$B$6="الكل",$E484,'الداشبورد'!$B$6))</f>
        <v/>
      </c>
      <c r="S484">
        <f>--($K484=IF('الداشبورد'!$B$7="الكل",$K484,IF('الداشبورد'!$B$7="تصدير","Y","N")))</f>
        <v/>
      </c>
      <c r="T484">
        <f>--($J484=IF('الداشبورد'!$B$8="الكل",$J484,IF('الداشبورد'!$B$8="AL","A","C")))</f>
        <v/>
      </c>
      <c r="U484">
        <f>--($I484=IF('الداشبورد'!$B$9="الكل",$I484,IF('الداشبورد'!$B$9="بدون حالة","P",'الداشبورد'!$B$9)))</f>
        <v/>
      </c>
      <c r="V484">
        <f>--($D484=IF('الداشبورد'!$B$10="الكل",$D484,'الداشبورد'!$B$10))</f>
        <v/>
      </c>
      <c r="W484">
        <f>--($G484=IF('الداشبورد'!$B$11="الكل",$G484,'الداشبورد'!$B$11))</f>
        <v/>
      </c>
      <c r="X484">
        <f>Q484*R484*S484*T484*U484*V484*W484*--($C484&lt;&gt;"")</f>
        <v/>
      </c>
    </row>
    <row r="485">
      <c r="A485" s="15" t="n">
        <v>4</v>
      </c>
      <c r="B485" s="15" t="inlineStr">
        <is>
          <t>Q183823</t>
        </is>
      </c>
      <c r="C485" s="15" t="inlineStr">
        <is>
          <t>1356/26/02</t>
        </is>
      </c>
      <c r="D485" s="15" t="inlineStr">
        <is>
          <t>Eland Cables</t>
        </is>
      </c>
      <c r="E485" s="15" t="inlineStr">
        <is>
          <t>MV</t>
        </is>
      </c>
      <c r="F485" s="15" t="inlineStr">
        <is>
          <t>12/20KV 3*240</t>
        </is>
      </c>
      <c r="G485" s="15" t="inlineStr">
        <is>
          <t>EX07</t>
        </is>
      </c>
      <c r="H485" s="15" t="inlineStr">
        <is>
          <t>Wooden Drums</t>
        </is>
      </c>
      <c r="I485" s="15" t="inlineStr">
        <is>
          <t>OK</t>
        </is>
      </c>
      <c r="J485" s="15" t="inlineStr">
        <is>
          <t>C</t>
        </is>
      </c>
      <c r="K485" s="15" t="inlineStr">
        <is>
          <t>Y</t>
        </is>
      </c>
      <c r="L485" s="15" t="n">
        <v>333</v>
      </c>
      <c r="M485" s="16" t="n">
        <v>2.112552</v>
      </c>
      <c r="N485" s="16" t="n">
        <v>0</v>
      </c>
      <c r="O485" s="16" t="n">
        <v>0</v>
      </c>
      <c r="P485" s="16" t="n">
        <v>2.112552</v>
      </c>
      <c r="Q485">
        <f>--($A485=IF('الداشبورد'!$B$5="الكل",$A485,'الداشبورد'!$B$5))</f>
        <v/>
      </c>
      <c r="R485">
        <f>--($E485=IF('الداشبورد'!$B$6="الكل",$E485,'الداشبورد'!$B$6))</f>
        <v/>
      </c>
      <c r="S485">
        <f>--($K485=IF('الداشبورد'!$B$7="الكل",$K485,IF('الداشبورد'!$B$7="تصدير","Y","N")))</f>
        <v/>
      </c>
      <c r="T485">
        <f>--($J485=IF('الداشبورد'!$B$8="الكل",$J485,IF('الداشبورد'!$B$8="AL","A","C")))</f>
        <v/>
      </c>
      <c r="U485">
        <f>--($I485=IF('الداشبورد'!$B$9="الكل",$I485,IF('الداشبورد'!$B$9="بدون حالة","P",'الداشبورد'!$B$9)))</f>
        <v/>
      </c>
      <c r="V485">
        <f>--($D485=IF('الداشبورد'!$B$10="الكل",$D485,'الداشبورد'!$B$10))</f>
        <v/>
      </c>
      <c r="W485">
        <f>--($G485=IF('الداشبورد'!$B$11="الكل",$G485,'الداشبورد'!$B$11))</f>
        <v/>
      </c>
      <c r="X485">
        <f>Q485*R485*S485*T485*U485*V485*W485*--($C485&lt;&gt;"")</f>
        <v/>
      </c>
    </row>
    <row r="486">
      <c r="A486" s="15" t="n">
        <v>2</v>
      </c>
      <c r="B486" s="15" t="inlineStr">
        <is>
          <t>H184685</t>
        </is>
      </c>
      <c r="C486" s="15" t="inlineStr">
        <is>
          <t>1550/26/09</t>
        </is>
      </c>
      <c r="D486" s="15" t="inlineStr">
        <is>
          <t>Master Power Systems  Ltd</t>
        </is>
      </c>
      <c r="E486" s="15" t="inlineStr">
        <is>
          <t>LV</t>
        </is>
      </c>
      <c r="F486" s="15" t="inlineStr">
        <is>
          <t>0.6/1 KV 4X120</t>
        </is>
      </c>
      <c r="G486" s="15" t="inlineStr">
        <is>
          <t>EX03</t>
        </is>
      </c>
      <c r="H486" s="15" t="inlineStr">
        <is>
          <t>Wooden Drums</t>
        </is>
      </c>
      <c r="I486" s="15" t="inlineStr">
        <is>
          <t>OK</t>
        </is>
      </c>
      <c r="J486" s="15" t="inlineStr">
        <is>
          <t>A</t>
        </is>
      </c>
      <c r="K486" s="15" t="inlineStr">
        <is>
          <t>Y</t>
        </is>
      </c>
      <c r="L486" s="15" t="n">
        <v>172</v>
      </c>
      <c r="M486" s="16" t="n">
        <v>0.212248</v>
      </c>
      <c r="N486" s="16" t="n">
        <v>0</v>
      </c>
      <c r="O486" s="16" t="n">
        <v>0</v>
      </c>
      <c r="P486" s="16" t="n">
        <v>0.212248</v>
      </c>
      <c r="Q486">
        <f>--($A486=IF('الداشبورد'!$B$5="الكل",$A486,'الداشبورد'!$B$5))</f>
        <v/>
      </c>
      <c r="R486">
        <f>--($E486=IF('الداشبورد'!$B$6="الكل",$E486,'الداشبورد'!$B$6))</f>
        <v/>
      </c>
      <c r="S486">
        <f>--($K486=IF('الداشبورد'!$B$7="الكل",$K486,IF('الداشبورد'!$B$7="تصدير","Y","N")))</f>
        <v/>
      </c>
      <c r="T486">
        <f>--($J486=IF('الداشبورد'!$B$8="الكل",$J486,IF('الداشبورد'!$B$8="AL","A","C")))</f>
        <v/>
      </c>
      <c r="U486">
        <f>--($I486=IF('الداشبورد'!$B$9="الكل",$I486,IF('الداشبورد'!$B$9="بدون حالة","P",'الداشبورد'!$B$9)))</f>
        <v/>
      </c>
      <c r="V486">
        <f>--($D486=IF('الداشبورد'!$B$10="الكل",$D486,'الداشبورد'!$B$10))</f>
        <v/>
      </c>
      <c r="W486">
        <f>--($G486=IF('الداشبورد'!$B$11="الكل",$G486,'الداشبورد'!$B$11))</f>
        <v/>
      </c>
      <c r="X486">
        <f>Q486*R486*S486*T486*U486*V486*W486*--($C486&lt;&gt;"")</f>
        <v/>
      </c>
    </row>
    <row r="487">
      <c r="A487" s="15" t="n">
        <v>5</v>
      </c>
      <c r="B487" s="15" t="inlineStr">
        <is>
          <t>Q182194</t>
        </is>
      </c>
      <c r="C487" s="15" t="inlineStr">
        <is>
          <t>1431/26/11</t>
        </is>
      </c>
      <c r="D487" s="15" t="inlineStr">
        <is>
          <t>Faber Kabel</t>
        </is>
      </c>
      <c r="E487" s="15" t="inlineStr">
        <is>
          <t>LV</t>
        </is>
      </c>
      <c r="F487" s="15" t="inlineStr">
        <is>
          <t>0.6/1 KV 5X185</t>
        </is>
      </c>
      <c r="G487" s="15" t="inlineStr">
        <is>
          <t>EX03</t>
        </is>
      </c>
      <c r="H487" s="15" t="inlineStr">
        <is>
          <t>Wooden Drums</t>
        </is>
      </c>
      <c r="I487" s="15" t="inlineStr">
        <is>
          <t>OK</t>
        </is>
      </c>
      <c r="J487" s="15" t="inlineStr">
        <is>
          <t>A</t>
        </is>
      </c>
      <c r="K487" s="15" t="inlineStr">
        <is>
          <t>Y</t>
        </is>
      </c>
      <c r="L487" s="15" t="n">
        <v>1020</v>
      </c>
      <c r="M487" s="16" t="n">
        <v>2.48472</v>
      </c>
      <c r="N487" s="16" t="n">
        <v>0</v>
      </c>
      <c r="O487" s="16" t="n">
        <v>0</v>
      </c>
      <c r="P487" s="16" t="n">
        <v>2.48472</v>
      </c>
      <c r="Q487">
        <f>--($A487=IF('الداشبورد'!$B$5="الكل",$A487,'الداشبورد'!$B$5))</f>
        <v/>
      </c>
      <c r="R487">
        <f>--($E487=IF('الداشبورد'!$B$6="الكل",$E487,'الداشبورد'!$B$6))</f>
        <v/>
      </c>
      <c r="S487">
        <f>--($K487=IF('الداشبورد'!$B$7="الكل",$K487,IF('الداشبورد'!$B$7="تصدير","Y","N")))</f>
        <v/>
      </c>
      <c r="T487">
        <f>--($J487=IF('الداشبورد'!$B$8="الكل",$J487,IF('الداشبورد'!$B$8="AL","A","C")))</f>
        <v/>
      </c>
      <c r="U487">
        <f>--($I487=IF('الداشبورد'!$B$9="الكل",$I487,IF('الداشبورد'!$B$9="بدون حالة","P",'الداشبورد'!$B$9)))</f>
        <v/>
      </c>
      <c r="V487">
        <f>--($D487=IF('الداشبورد'!$B$10="الكل",$D487,'الداشبورد'!$B$10))</f>
        <v/>
      </c>
      <c r="W487">
        <f>--($G487=IF('الداشبورد'!$B$11="الكل",$G487,'الداشبورد'!$B$11))</f>
        <v/>
      </c>
      <c r="X487">
        <f>Q487*R487*S487*T487*U487*V487*W487*--($C487&lt;&gt;"")</f>
        <v/>
      </c>
    </row>
    <row r="488">
      <c r="A488" s="15" t="n">
        <v>5</v>
      </c>
      <c r="B488" s="15" t="inlineStr">
        <is>
          <t>P182677</t>
        </is>
      </c>
      <c r="C488" s="15" t="inlineStr">
        <is>
          <t>1432/26/05</t>
        </is>
      </c>
      <c r="D488" s="15" t="inlineStr">
        <is>
          <t>Faber Kabel</t>
        </is>
      </c>
      <c r="E488" s="15" t="inlineStr">
        <is>
          <t>LV</t>
        </is>
      </c>
      <c r="F488" s="15" t="inlineStr">
        <is>
          <t>0.6/1 KV 4X240</t>
        </is>
      </c>
      <c r="G488" s="15" t="inlineStr">
        <is>
          <t>EX05</t>
        </is>
      </c>
      <c r="H488" s="15" t="inlineStr">
        <is>
          <t>Wooden Drums</t>
        </is>
      </c>
      <c r="I488" s="15" t="inlineStr">
        <is>
          <t>OK</t>
        </is>
      </c>
      <c r="J488" s="15" t="inlineStr">
        <is>
          <t>A</t>
        </is>
      </c>
      <c r="K488" s="15" t="inlineStr">
        <is>
          <t>Y</t>
        </is>
      </c>
      <c r="L488" s="15" t="n">
        <v>525</v>
      </c>
      <c r="M488" s="16" t="n">
        <v>1.320375</v>
      </c>
      <c r="N488" s="16" t="n">
        <v>0</v>
      </c>
      <c r="O488" s="16" t="n">
        <v>0</v>
      </c>
      <c r="P488" s="16" t="n">
        <v>1.320375</v>
      </c>
      <c r="Q488">
        <f>--($A488=IF('الداشبورد'!$B$5="الكل",$A488,'الداشبورد'!$B$5))</f>
        <v/>
      </c>
      <c r="R488">
        <f>--($E488=IF('الداشبورد'!$B$6="الكل",$E488,'الداشبورد'!$B$6))</f>
        <v/>
      </c>
      <c r="S488">
        <f>--($K488=IF('الداشبورد'!$B$7="الكل",$K488,IF('الداشبورد'!$B$7="تصدير","Y","N")))</f>
        <v/>
      </c>
      <c r="T488">
        <f>--($J488=IF('الداشبورد'!$B$8="الكل",$J488,IF('الداشبورد'!$B$8="AL","A","C")))</f>
        <v/>
      </c>
      <c r="U488">
        <f>--($I488=IF('الداشبورد'!$B$9="الكل",$I488,IF('الداشبورد'!$B$9="بدون حالة","P",'الداشبورد'!$B$9)))</f>
        <v/>
      </c>
      <c r="V488">
        <f>--($D488=IF('الداشبورد'!$B$10="الكل",$D488,'الداشبورد'!$B$10))</f>
        <v/>
      </c>
      <c r="W488">
        <f>--($G488=IF('الداشبورد'!$B$11="الكل",$G488,'الداشبورد'!$B$11))</f>
        <v/>
      </c>
      <c r="X488">
        <f>Q488*R488*S488*T488*U488*V488*W488*--($C488&lt;&gt;"")</f>
        <v/>
      </c>
    </row>
    <row r="489">
      <c r="A489" s="15" t="n">
        <v>6</v>
      </c>
      <c r="B489" s="15" t="inlineStr">
        <is>
          <t>37914</t>
        </is>
      </c>
      <c r="C489" s="15" t="inlineStr">
        <is>
          <t>9/25/29</t>
        </is>
      </c>
      <c r="D489" s="15" t="inlineStr">
        <is>
          <t>Helal Elsewedy</t>
        </is>
      </c>
      <c r="E489" s="15" t="inlineStr">
        <is>
          <t>BC</t>
        </is>
      </c>
      <c r="F489" s="15" t="inlineStr">
        <is>
          <t>450/750 V 1X3</t>
        </is>
      </c>
      <c r="G489" s="15" t="inlineStr">
        <is>
          <t>CO01</t>
        </is>
      </c>
      <c r="H489" s="15" t="inlineStr">
        <is>
          <t>Plastic Spool 100M</t>
        </is>
      </c>
      <c r="I489" s="15" t="inlineStr">
        <is>
          <t>OK</t>
        </is>
      </c>
      <c r="J489" s="15" t="inlineStr">
        <is>
          <t>C</t>
        </is>
      </c>
      <c r="K489" s="15" t="inlineStr">
        <is>
          <t>N</t>
        </is>
      </c>
      <c r="L489" s="15" t="n">
        <v>5700</v>
      </c>
      <c r="M489" s="16" t="n">
        <v>0.1368</v>
      </c>
      <c r="N489" s="16" t="n">
        <v>0</v>
      </c>
      <c r="O489" s="16" t="n">
        <v>0</v>
      </c>
      <c r="P489" s="16" t="n">
        <v>0.1368</v>
      </c>
      <c r="Q489">
        <f>--($A489=IF('الداشبورد'!$B$5="الكل",$A489,'الداشبورد'!$B$5))</f>
        <v/>
      </c>
      <c r="R489">
        <f>--($E489=IF('الداشبورد'!$B$6="الكل",$E489,'الداشبورد'!$B$6))</f>
        <v/>
      </c>
      <c r="S489">
        <f>--($K489=IF('الداشبورد'!$B$7="الكل",$K489,IF('الداشبورد'!$B$7="تصدير","Y","N")))</f>
        <v/>
      </c>
      <c r="T489">
        <f>--($J489=IF('الداشبورد'!$B$8="الكل",$J489,IF('الداشبورد'!$B$8="AL","A","C")))</f>
        <v/>
      </c>
      <c r="U489">
        <f>--($I489=IF('الداشبورد'!$B$9="الكل",$I489,IF('الداشبورد'!$B$9="بدون حالة","P",'الداشبورد'!$B$9)))</f>
        <v/>
      </c>
      <c r="V489">
        <f>--($D489=IF('الداشبورد'!$B$10="الكل",$D489,'الداشبورد'!$B$10))</f>
        <v/>
      </c>
      <c r="W489">
        <f>--($G489=IF('الداشبورد'!$B$11="الكل",$G489,'الداشبورد'!$B$11))</f>
        <v/>
      </c>
      <c r="X489">
        <f>Q489*R489*S489*T489*U489*V489*W489*--($C489&lt;&gt;"")</f>
        <v/>
      </c>
    </row>
    <row r="490">
      <c r="A490" s="15" t="n">
        <v>5</v>
      </c>
      <c r="B490" s="15" t="inlineStr">
        <is>
          <t>I182102</t>
        </is>
      </c>
      <c r="C490" s="15" t="inlineStr">
        <is>
          <t>1445/26/05</t>
        </is>
      </c>
      <c r="D490" s="15" t="inlineStr">
        <is>
          <t>Faber Kabel</t>
        </is>
      </c>
      <c r="E490" s="15" t="inlineStr">
        <is>
          <t>CC</t>
        </is>
      </c>
      <c r="F490" s="15" t="inlineStr">
        <is>
          <t>0.6/1 KV 4X2.5/2.5</t>
        </is>
      </c>
      <c r="G490" s="15" t="inlineStr">
        <is>
          <t>EX13</t>
        </is>
      </c>
      <c r="H490" s="15" t="inlineStr">
        <is>
          <t>Wooden Drums</t>
        </is>
      </c>
      <c r="I490" s="15" t="inlineStr">
        <is>
          <t>OK</t>
        </is>
      </c>
      <c r="J490" s="15" t="inlineStr">
        <is>
          <t>C</t>
        </is>
      </c>
      <c r="K490" s="15" t="inlineStr">
        <is>
          <t>Y</t>
        </is>
      </c>
      <c r="L490" s="15" t="n">
        <v>3010</v>
      </c>
      <c r="M490" s="16" t="n">
        <v>0.26187</v>
      </c>
      <c r="N490" s="16" t="n">
        <v>0.07525</v>
      </c>
      <c r="O490" s="16" t="n">
        <v>0</v>
      </c>
      <c r="P490" s="16" t="n">
        <v>0.33712</v>
      </c>
      <c r="Q490">
        <f>--($A490=IF('الداشبورد'!$B$5="الكل",$A490,'الداشبورد'!$B$5))</f>
        <v/>
      </c>
      <c r="R490">
        <f>--($E490=IF('الداشبورد'!$B$6="الكل",$E490,'الداشبورد'!$B$6))</f>
        <v/>
      </c>
      <c r="S490">
        <f>--($K490=IF('الداشبورد'!$B$7="الكل",$K490,IF('الداشبورد'!$B$7="تصدير","Y","N")))</f>
        <v/>
      </c>
      <c r="T490">
        <f>--($J490=IF('الداشبورد'!$B$8="الكل",$J490,IF('الداشبورد'!$B$8="AL","A","C")))</f>
        <v/>
      </c>
      <c r="U490">
        <f>--($I490=IF('الداشبورد'!$B$9="الكل",$I490,IF('الداشبورد'!$B$9="بدون حالة","P",'الداشبورد'!$B$9)))</f>
        <v/>
      </c>
      <c r="V490">
        <f>--($D490=IF('الداشبورد'!$B$10="الكل",$D490,'الداشبورد'!$B$10))</f>
        <v/>
      </c>
      <c r="W490">
        <f>--($G490=IF('الداشبورد'!$B$11="الكل",$G490,'الداشبورد'!$B$11))</f>
        <v/>
      </c>
      <c r="X490">
        <f>Q490*R490*S490*T490*U490*V490*W490*--($C490&lt;&gt;"")</f>
        <v/>
      </c>
    </row>
    <row r="491">
      <c r="A491" s="15" t="n">
        <v>5</v>
      </c>
      <c r="B491" s="15" t="inlineStr">
        <is>
          <t>I182105</t>
        </is>
      </c>
      <c r="C491" s="15" t="inlineStr">
        <is>
          <t>1445/26/05</t>
        </is>
      </c>
      <c r="D491" s="15" t="inlineStr">
        <is>
          <t>Faber Kabel</t>
        </is>
      </c>
      <c r="E491" s="15" t="inlineStr">
        <is>
          <t>CC</t>
        </is>
      </c>
      <c r="F491" s="15" t="inlineStr">
        <is>
          <t>0.6/1 KV 4X2.5/2.5</t>
        </is>
      </c>
      <c r="G491" s="15" t="inlineStr">
        <is>
          <t>EX13</t>
        </is>
      </c>
      <c r="H491" s="15" t="inlineStr">
        <is>
          <t>Wooden Drums</t>
        </is>
      </c>
      <c r="I491" s="15" t="inlineStr">
        <is>
          <t>OK</t>
        </is>
      </c>
      <c r="J491" s="15" t="inlineStr">
        <is>
          <t>C</t>
        </is>
      </c>
      <c r="K491" s="15" t="inlineStr">
        <is>
          <t>Y</t>
        </is>
      </c>
      <c r="L491" s="15" t="n">
        <v>3024</v>
      </c>
      <c r="M491" s="16" t="n">
        <v>0.263088</v>
      </c>
      <c r="N491" s="16" t="n">
        <v>0.07560000000000001</v>
      </c>
      <c r="O491" s="16" t="n">
        <v>0</v>
      </c>
      <c r="P491" s="16" t="n">
        <v>0.338688</v>
      </c>
      <c r="Q491">
        <f>--($A491=IF('الداشبورد'!$B$5="الكل",$A491,'الداشبورد'!$B$5))</f>
        <v/>
      </c>
      <c r="R491">
        <f>--($E491=IF('الداشبورد'!$B$6="الكل",$E491,'الداشبورد'!$B$6))</f>
        <v/>
      </c>
      <c r="S491">
        <f>--($K491=IF('الداشبورد'!$B$7="الكل",$K491,IF('الداشبورد'!$B$7="تصدير","Y","N")))</f>
        <v/>
      </c>
      <c r="T491">
        <f>--($J491=IF('الداشبورد'!$B$8="الكل",$J491,IF('الداشبورد'!$B$8="AL","A","C")))</f>
        <v/>
      </c>
      <c r="U491">
        <f>--($I491=IF('الداشبورد'!$B$9="الكل",$I491,IF('الداشبورد'!$B$9="بدون حالة","P",'الداشبورد'!$B$9)))</f>
        <v/>
      </c>
      <c r="V491">
        <f>--($D491=IF('الداشبورد'!$B$10="الكل",$D491,'الداشبورد'!$B$10))</f>
        <v/>
      </c>
      <c r="W491">
        <f>--($G491=IF('الداشبورد'!$B$11="الكل",$G491,'الداشبورد'!$B$11))</f>
        <v/>
      </c>
      <c r="X491">
        <f>Q491*R491*S491*T491*U491*V491*W491*--($C491&lt;&gt;"")</f>
        <v/>
      </c>
    </row>
    <row r="492">
      <c r="A492" s="15" t="n">
        <v>2</v>
      </c>
      <c r="B492" s="15" t="inlineStr">
        <is>
          <t>P184284</t>
        </is>
      </c>
      <c r="C492" s="15" t="inlineStr">
        <is>
          <t>1549/26/10</t>
        </is>
      </c>
      <c r="D492" s="15" t="inlineStr">
        <is>
          <t>Next Technologies Limited</t>
        </is>
      </c>
      <c r="E492" s="15" t="inlineStr">
        <is>
          <t>MV</t>
        </is>
      </c>
      <c r="F492" s="15" t="inlineStr">
        <is>
          <t>6.35/11 KV 3X95</t>
        </is>
      </c>
      <c r="G492" s="15" t="inlineStr">
        <is>
          <t>EX09</t>
        </is>
      </c>
      <c r="H492" s="15" t="inlineStr">
        <is>
          <t>Wooden Drums</t>
        </is>
      </c>
      <c r="I492" s="15" t="inlineStr">
        <is>
          <t>OK</t>
        </is>
      </c>
      <c r="J492" s="15" t="inlineStr">
        <is>
          <t>C</t>
        </is>
      </c>
      <c r="K492" s="15" t="inlineStr">
        <is>
          <t>Y</t>
        </is>
      </c>
      <c r="L492" s="15" t="n">
        <v>179</v>
      </c>
      <c r="M492" s="16" t="n">
        <v>0.440161</v>
      </c>
      <c r="N492" s="16" t="n">
        <v>0</v>
      </c>
      <c r="O492" s="16" t="n">
        <v>0</v>
      </c>
      <c r="P492" s="16" t="n">
        <v>0.440161</v>
      </c>
      <c r="Q492">
        <f>--($A492=IF('الداشبورد'!$B$5="الكل",$A492,'الداشبورد'!$B$5))</f>
        <v/>
      </c>
      <c r="R492">
        <f>--($E492=IF('الداشبورد'!$B$6="الكل",$E492,'الداشبورد'!$B$6))</f>
        <v/>
      </c>
      <c r="S492">
        <f>--($K492=IF('الداشبورد'!$B$7="الكل",$K492,IF('الداشبورد'!$B$7="تصدير","Y","N")))</f>
        <v/>
      </c>
      <c r="T492">
        <f>--($J492=IF('الداشبورد'!$B$8="الكل",$J492,IF('الداشبورد'!$B$8="AL","A","C")))</f>
        <v/>
      </c>
      <c r="U492">
        <f>--($I492=IF('الداشبورد'!$B$9="الكل",$I492,IF('الداشبورد'!$B$9="بدون حالة","P",'الداشبورد'!$B$9)))</f>
        <v/>
      </c>
      <c r="V492">
        <f>--($D492=IF('الداشبورد'!$B$10="الكل",$D492,'الداشبورد'!$B$10))</f>
        <v/>
      </c>
      <c r="W492">
        <f>--($G492=IF('الداشبورد'!$B$11="الكل",$G492,'الداشبورد'!$B$11))</f>
        <v/>
      </c>
      <c r="X492">
        <f>Q492*R492*S492*T492*U492*V492*W492*--($C492&lt;&gt;"")</f>
        <v/>
      </c>
    </row>
    <row r="493">
      <c r="A493" s="15" t="n">
        <v>2</v>
      </c>
      <c r="B493" s="15" t="inlineStr">
        <is>
          <t>T184245</t>
        </is>
      </c>
      <c r="C493" s="15" t="inlineStr">
        <is>
          <t>1385/26/03</t>
        </is>
      </c>
      <c r="D493" s="15" t="inlineStr">
        <is>
          <t>الشركة العربية للصناعة والتجارة الدولية</t>
        </is>
      </c>
      <c r="E493" s="15" t="inlineStr">
        <is>
          <t>LV</t>
        </is>
      </c>
      <c r="F493" s="15" t="inlineStr">
        <is>
          <t>0.6/1 KV 3*240+120</t>
        </is>
      </c>
      <c r="G493" s="15" t="inlineStr">
        <is>
          <t>EX07</t>
        </is>
      </c>
      <c r="H493" s="15" t="inlineStr">
        <is>
          <t>Wooden Drums</t>
        </is>
      </c>
      <c r="I493" s="15" t="inlineStr">
        <is>
          <t>OK</t>
        </is>
      </c>
      <c r="J493" s="15" t="inlineStr">
        <is>
          <t>A</t>
        </is>
      </c>
      <c r="K493" s="15" t="inlineStr">
        <is>
          <t>N</t>
        </is>
      </c>
      <c r="L493" s="15" t="n">
        <v>1010</v>
      </c>
      <c r="M493" s="16" t="n">
        <v>2.21897</v>
      </c>
      <c r="N493" s="16" t="n">
        <v>0</v>
      </c>
      <c r="O493" s="16" t="n">
        <v>0</v>
      </c>
      <c r="P493" s="16" t="n">
        <v>2.21897</v>
      </c>
      <c r="Q493">
        <f>--($A493=IF('الداشبورد'!$B$5="الكل",$A493,'الداشبورد'!$B$5))</f>
        <v/>
      </c>
      <c r="R493">
        <f>--($E493=IF('الداشبورد'!$B$6="الكل",$E493,'الداشبورد'!$B$6))</f>
        <v/>
      </c>
      <c r="S493">
        <f>--($K493=IF('الداشبورد'!$B$7="الكل",$K493,IF('الداشبورد'!$B$7="تصدير","Y","N")))</f>
        <v/>
      </c>
      <c r="T493">
        <f>--($J493=IF('الداشبورد'!$B$8="الكل",$J493,IF('الداشبورد'!$B$8="AL","A","C")))</f>
        <v/>
      </c>
      <c r="U493">
        <f>--($I493=IF('الداشبورد'!$B$9="الكل",$I493,IF('الداشبورد'!$B$9="بدون حالة","P",'الداشبورد'!$B$9)))</f>
        <v/>
      </c>
      <c r="V493">
        <f>--($D493=IF('الداشبورد'!$B$10="الكل",$D493,'الداشبورد'!$B$10))</f>
        <v/>
      </c>
      <c r="W493">
        <f>--($G493=IF('الداشبورد'!$B$11="الكل",$G493,'الداشبورد'!$B$11))</f>
        <v/>
      </c>
      <c r="X493">
        <f>Q493*R493*S493*T493*U493*V493*W493*--($C493&lt;&gt;"")</f>
        <v/>
      </c>
    </row>
    <row r="494">
      <c r="A494" s="15" t="n">
        <v>5</v>
      </c>
      <c r="B494" s="15" t="inlineStr">
        <is>
          <t>M184649</t>
        </is>
      </c>
      <c r="C494" s="15" t="inlineStr">
        <is>
          <t>1481/26/01</t>
        </is>
      </c>
      <c r="D494" s="15" t="inlineStr">
        <is>
          <t>Eland Cables</t>
        </is>
      </c>
      <c r="E494" s="15" t="inlineStr">
        <is>
          <t>MV</t>
        </is>
      </c>
      <c r="F494" s="15" t="inlineStr">
        <is>
          <t>12/20 KV 1X630</t>
        </is>
      </c>
      <c r="G494" s="15" t="inlineStr">
        <is>
          <t>EX06</t>
        </is>
      </c>
      <c r="H494" s="15" t="inlineStr">
        <is>
          <t>Wooden Drums</t>
        </is>
      </c>
      <c r="I494" s="15" t="inlineStr">
        <is>
          <t>OK</t>
        </is>
      </c>
      <c r="J494" s="15" t="inlineStr">
        <is>
          <t>A</t>
        </is>
      </c>
      <c r="K494" s="15" t="inlineStr">
        <is>
          <t>Y</t>
        </is>
      </c>
      <c r="L494" s="15" t="n">
        <v>612</v>
      </c>
      <c r="M494" s="16" t="n">
        <v>1.0404</v>
      </c>
      <c r="N494" s="16" t="n">
        <v>0.09057599999999999</v>
      </c>
      <c r="O494" s="16" t="n">
        <v>0</v>
      </c>
      <c r="P494" s="16" t="n">
        <v>1.130976</v>
      </c>
      <c r="Q494">
        <f>--($A494=IF('الداشبورد'!$B$5="الكل",$A494,'الداشبورد'!$B$5))</f>
        <v/>
      </c>
      <c r="R494">
        <f>--($E494=IF('الداشبورد'!$B$6="الكل",$E494,'الداشبورد'!$B$6))</f>
        <v/>
      </c>
      <c r="S494">
        <f>--($K494=IF('الداشبورد'!$B$7="الكل",$K494,IF('الداشبورد'!$B$7="تصدير","Y","N")))</f>
        <v/>
      </c>
      <c r="T494">
        <f>--($J494=IF('الداشبورد'!$B$8="الكل",$J494,IF('الداشبورد'!$B$8="AL","A","C")))</f>
        <v/>
      </c>
      <c r="U494">
        <f>--($I494=IF('الداشبورد'!$B$9="الكل",$I494,IF('الداشبورد'!$B$9="بدون حالة","P",'الداشبورد'!$B$9)))</f>
        <v/>
      </c>
      <c r="V494">
        <f>--($D494=IF('الداشبورد'!$B$10="الكل",$D494,'الداشبورد'!$B$10))</f>
        <v/>
      </c>
      <c r="W494">
        <f>--($G494=IF('الداشبورد'!$B$11="الكل",$G494,'الداشبورد'!$B$11))</f>
        <v/>
      </c>
      <c r="X494">
        <f>Q494*R494*S494*T494*U494*V494*W494*--($C494&lt;&gt;"")</f>
        <v/>
      </c>
    </row>
    <row r="495">
      <c r="A495" s="15" t="n">
        <v>5</v>
      </c>
      <c r="B495" s="15" t="inlineStr">
        <is>
          <t>M184643</t>
        </is>
      </c>
      <c r="C495" s="15" t="inlineStr">
        <is>
          <t>1481/26/01</t>
        </is>
      </c>
      <c r="D495" s="15" t="inlineStr">
        <is>
          <t>Eland Cables</t>
        </is>
      </c>
      <c r="E495" s="15" t="inlineStr">
        <is>
          <t>MV</t>
        </is>
      </c>
      <c r="F495" s="15" t="inlineStr">
        <is>
          <t>12/20 KV 1X630</t>
        </is>
      </c>
      <c r="G495" s="15" t="inlineStr">
        <is>
          <t>EX06</t>
        </is>
      </c>
      <c r="H495" s="15" t="inlineStr">
        <is>
          <t>Wooden Drums</t>
        </is>
      </c>
      <c r="I495" s="15" t="inlineStr">
        <is>
          <t>OK</t>
        </is>
      </c>
      <c r="J495" s="15" t="inlineStr">
        <is>
          <t>A</t>
        </is>
      </c>
      <c r="K495" s="15" t="inlineStr">
        <is>
          <t>Y</t>
        </is>
      </c>
      <c r="L495" s="15" t="n">
        <v>617</v>
      </c>
      <c r="M495" s="16" t="n">
        <v>1.0489</v>
      </c>
      <c r="N495" s="16" t="n">
        <v>0.09131600000000001</v>
      </c>
      <c r="O495" s="16" t="n">
        <v>0</v>
      </c>
      <c r="P495" s="16" t="n">
        <v>1.140216</v>
      </c>
      <c r="Q495">
        <f>--($A495=IF('الداشبورد'!$B$5="الكل",$A495,'الداشبورد'!$B$5))</f>
        <v/>
      </c>
      <c r="R495">
        <f>--($E495=IF('الداشبورد'!$B$6="الكل",$E495,'الداشبورد'!$B$6))</f>
        <v/>
      </c>
      <c r="S495">
        <f>--($K495=IF('الداشبورد'!$B$7="الكل",$K495,IF('الداشبورد'!$B$7="تصدير","Y","N")))</f>
        <v/>
      </c>
      <c r="T495">
        <f>--($J495=IF('الداشبورد'!$B$8="الكل",$J495,IF('الداشبورد'!$B$8="AL","A","C")))</f>
        <v/>
      </c>
      <c r="U495">
        <f>--($I495=IF('الداشبورد'!$B$9="الكل",$I495,IF('الداشبورد'!$B$9="بدون حالة","P",'الداشبورد'!$B$9)))</f>
        <v/>
      </c>
      <c r="V495">
        <f>--($D495=IF('الداشبورد'!$B$10="الكل",$D495,'الداشبورد'!$B$10))</f>
        <v/>
      </c>
      <c r="W495">
        <f>--($G495=IF('الداشبورد'!$B$11="الكل",$G495,'الداشبورد'!$B$11))</f>
        <v/>
      </c>
      <c r="X495">
        <f>Q495*R495*S495*T495*U495*V495*W495*--($C495&lt;&gt;"")</f>
        <v/>
      </c>
    </row>
    <row r="496">
      <c r="A496" s="15" t="n">
        <v>5</v>
      </c>
      <c r="B496" s="15" t="inlineStr">
        <is>
          <t>M184644</t>
        </is>
      </c>
      <c r="C496" s="15" t="inlineStr">
        <is>
          <t>1481/26/01</t>
        </is>
      </c>
      <c r="D496" s="15" t="inlineStr">
        <is>
          <t>Eland Cables</t>
        </is>
      </c>
      <c r="E496" s="15" t="inlineStr">
        <is>
          <t>MV</t>
        </is>
      </c>
      <c r="F496" s="15" t="inlineStr">
        <is>
          <t>12/20 KV 1X630</t>
        </is>
      </c>
      <c r="G496" s="15" t="inlineStr">
        <is>
          <t>EX06</t>
        </is>
      </c>
      <c r="H496" s="15" t="inlineStr">
        <is>
          <t>Wooden Drums</t>
        </is>
      </c>
      <c r="I496" s="15" t="inlineStr">
        <is>
          <t>OK</t>
        </is>
      </c>
      <c r="J496" s="15" t="inlineStr">
        <is>
          <t>A</t>
        </is>
      </c>
      <c r="K496" s="15" t="inlineStr">
        <is>
          <t>Y</t>
        </is>
      </c>
      <c r="L496" s="15" t="n">
        <v>620</v>
      </c>
      <c r="M496" s="16" t="n">
        <v>1.054</v>
      </c>
      <c r="N496" s="16" t="n">
        <v>0.09175999999999999</v>
      </c>
      <c r="O496" s="16" t="n">
        <v>0</v>
      </c>
      <c r="P496" s="16" t="n">
        <v>1.14576</v>
      </c>
      <c r="Q496">
        <f>--($A496=IF('الداشبورد'!$B$5="الكل",$A496,'الداشبورد'!$B$5))</f>
        <v/>
      </c>
      <c r="R496">
        <f>--($E496=IF('الداشبورد'!$B$6="الكل",$E496,'الداشبورد'!$B$6))</f>
        <v/>
      </c>
      <c r="S496">
        <f>--($K496=IF('الداشبورد'!$B$7="الكل",$K496,IF('الداشبورد'!$B$7="تصدير","Y","N")))</f>
        <v/>
      </c>
      <c r="T496">
        <f>--($J496=IF('الداشبورد'!$B$8="الكل",$J496,IF('الداشبورد'!$B$8="AL","A","C")))</f>
        <v/>
      </c>
      <c r="U496">
        <f>--($I496=IF('الداشبورد'!$B$9="الكل",$I496,IF('الداشبورد'!$B$9="بدون حالة","P",'الداشبورد'!$B$9)))</f>
        <v/>
      </c>
      <c r="V496">
        <f>--($D496=IF('الداشبورد'!$B$10="الكل",$D496,'الداشبورد'!$B$10))</f>
        <v/>
      </c>
      <c r="W496">
        <f>--($G496=IF('الداشبورد'!$B$11="الكل",$G496,'الداشبورد'!$B$11))</f>
        <v/>
      </c>
      <c r="X496">
        <f>Q496*R496*S496*T496*U496*V496*W496*--($C496&lt;&gt;"")</f>
        <v/>
      </c>
    </row>
    <row r="497">
      <c r="A497" s="15" t="n">
        <v>5</v>
      </c>
      <c r="B497" s="15" t="inlineStr">
        <is>
          <t>J184240</t>
        </is>
      </c>
      <c r="C497" s="15" t="inlineStr">
        <is>
          <t>1385/26/15</t>
        </is>
      </c>
      <c r="D497" s="15" t="inlineStr">
        <is>
          <t>الشركة العربية للصناعة والتجارة الدولية</t>
        </is>
      </c>
      <c r="E497" s="15" t="inlineStr">
        <is>
          <t>LV</t>
        </is>
      </c>
      <c r="F497" s="15" t="inlineStr">
        <is>
          <t>600/1000 1X150</t>
        </is>
      </c>
      <c r="G497" s="15" t="inlineStr">
        <is>
          <t>EX09</t>
        </is>
      </c>
      <c r="H497" s="15" t="inlineStr">
        <is>
          <t>Wooden Drums</t>
        </is>
      </c>
      <c r="I497" s="15" t="inlineStr">
        <is>
          <t>OK</t>
        </is>
      </c>
      <c r="J497" s="15" t="inlineStr">
        <is>
          <t>A</t>
        </is>
      </c>
      <c r="K497" s="15" t="inlineStr">
        <is>
          <t>N</t>
        </is>
      </c>
      <c r="L497" s="15" t="n">
        <v>1030</v>
      </c>
      <c r="M497" s="16" t="n">
        <v>0.4017</v>
      </c>
      <c r="N497" s="16" t="n">
        <v>0</v>
      </c>
      <c r="O497" s="16" t="n">
        <v>0</v>
      </c>
      <c r="P497" s="16" t="n">
        <v>0.4017</v>
      </c>
      <c r="Q497">
        <f>--($A497=IF('الداشبورد'!$B$5="الكل",$A497,'الداشبورد'!$B$5))</f>
        <v/>
      </c>
      <c r="R497">
        <f>--($E497=IF('الداشبورد'!$B$6="الكل",$E497,'الداشبورد'!$B$6))</f>
        <v/>
      </c>
      <c r="S497">
        <f>--($K497=IF('الداشبورد'!$B$7="الكل",$K497,IF('الداشبورد'!$B$7="تصدير","Y","N")))</f>
        <v/>
      </c>
      <c r="T497">
        <f>--($J497=IF('الداشبورد'!$B$8="الكل",$J497,IF('الداشبورد'!$B$8="AL","A","C")))</f>
        <v/>
      </c>
      <c r="U497">
        <f>--($I497=IF('الداشبورد'!$B$9="الكل",$I497,IF('الداشبورد'!$B$9="بدون حالة","P",'الداشبورد'!$B$9)))</f>
        <v/>
      </c>
      <c r="V497">
        <f>--($D497=IF('الداشبورد'!$B$10="الكل",$D497,'الداشبورد'!$B$10))</f>
        <v/>
      </c>
      <c r="W497">
        <f>--($G497=IF('الداشبورد'!$B$11="الكل",$G497,'الداشبورد'!$B$11))</f>
        <v/>
      </c>
      <c r="X497">
        <f>Q497*R497*S497*T497*U497*V497*W497*--($C497&lt;&gt;"")</f>
        <v/>
      </c>
    </row>
    <row r="498">
      <c r="A498" s="15" t="n">
        <v>5</v>
      </c>
      <c r="B498" s="15" t="inlineStr">
        <is>
          <t>M184647</t>
        </is>
      </c>
      <c r="C498" s="15" t="inlineStr">
        <is>
          <t>1481/26/01</t>
        </is>
      </c>
      <c r="D498" s="15" t="inlineStr">
        <is>
          <t>Eland Cables</t>
        </is>
      </c>
      <c r="E498" s="15" t="inlineStr">
        <is>
          <t>MV</t>
        </is>
      </c>
      <c r="F498" s="15" t="inlineStr">
        <is>
          <t>12/20 KV 1X630</t>
        </is>
      </c>
      <c r="G498" s="15" t="inlineStr">
        <is>
          <t>EX06</t>
        </is>
      </c>
      <c r="H498" s="15" t="inlineStr">
        <is>
          <t>Wooden Drums</t>
        </is>
      </c>
      <c r="I498" s="15" t="inlineStr">
        <is>
          <t>OK</t>
        </is>
      </c>
      <c r="J498" s="15" t="inlineStr">
        <is>
          <t>A</t>
        </is>
      </c>
      <c r="K498" s="15" t="inlineStr">
        <is>
          <t>Y</t>
        </is>
      </c>
      <c r="L498" s="15" t="n">
        <v>615</v>
      </c>
      <c r="M498" s="16" t="n">
        <v>1.0455</v>
      </c>
      <c r="N498" s="16" t="n">
        <v>0.09101999999999999</v>
      </c>
      <c r="O498" s="16" t="n">
        <v>0</v>
      </c>
      <c r="P498" s="16" t="n">
        <v>1.13652</v>
      </c>
      <c r="Q498">
        <f>--($A498=IF('الداشبورد'!$B$5="الكل",$A498,'الداشبورد'!$B$5))</f>
        <v/>
      </c>
      <c r="R498">
        <f>--($E498=IF('الداشبورد'!$B$6="الكل",$E498,'الداشبورد'!$B$6))</f>
        <v/>
      </c>
      <c r="S498">
        <f>--($K498=IF('الداشبورد'!$B$7="الكل",$K498,IF('الداشبورد'!$B$7="تصدير","Y","N")))</f>
        <v/>
      </c>
      <c r="T498">
        <f>--($J498=IF('الداشبورد'!$B$8="الكل",$J498,IF('الداشبورد'!$B$8="AL","A","C")))</f>
        <v/>
      </c>
      <c r="U498">
        <f>--($I498=IF('الداشبورد'!$B$9="الكل",$I498,IF('الداشبورد'!$B$9="بدون حالة","P",'الداشبورد'!$B$9)))</f>
        <v/>
      </c>
      <c r="V498">
        <f>--($D498=IF('الداشبورد'!$B$10="الكل",$D498,'الداشبورد'!$B$10))</f>
        <v/>
      </c>
      <c r="W498">
        <f>--($G498=IF('الداشبورد'!$B$11="الكل",$G498,'الداشبورد'!$B$11))</f>
        <v/>
      </c>
      <c r="X498">
        <f>Q498*R498*S498*T498*U498*V498*W498*--($C498&lt;&gt;"")</f>
        <v/>
      </c>
    </row>
    <row r="499">
      <c r="A499" s="15" t="n">
        <v>1</v>
      </c>
      <c r="B499" s="15" t="inlineStr">
        <is>
          <t>SQ465</t>
        </is>
      </c>
      <c r="C499" s="15" t="inlineStr">
        <is>
          <t>1081/26/01</t>
        </is>
      </c>
      <c r="D499" s="15" t="inlineStr">
        <is>
          <t>Cleveland Cables Company</t>
        </is>
      </c>
      <c r="E499" s="15" t="inlineStr">
        <is>
          <t>MV</t>
        </is>
      </c>
      <c r="F499" s="15" t="inlineStr">
        <is>
          <t>6.35/11 KV 3X50</t>
        </is>
      </c>
      <c r="G499" s="15" t="inlineStr">
        <is>
          <t>EX09</t>
        </is>
      </c>
      <c r="H499" s="15" t="inlineStr">
        <is>
          <t>Wooden Drums</t>
        </is>
      </c>
      <c r="I499" s="15" t="inlineStr">
        <is>
          <t>OK</t>
        </is>
      </c>
      <c r="J499" s="15" t="inlineStr">
        <is>
          <t>C</t>
        </is>
      </c>
      <c r="K499" s="15" t="inlineStr">
        <is>
          <t>Y</t>
        </is>
      </c>
      <c r="L499" s="15" t="n">
        <v>1513</v>
      </c>
      <c r="M499" s="16" t="n">
        <v>1.850399</v>
      </c>
      <c r="N499" s="16" t="n">
        <v>0</v>
      </c>
      <c r="O499" s="16" t="n">
        <v>0</v>
      </c>
      <c r="P499" s="16" t="n">
        <v>1.850399</v>
      </c>
      <c r="Q499">
        <f>--($A499=IF('الداشبورد'!$B$5="الكل",$A499,'الداشبورد'!$B$5))</f>
        <v/>
      </c>
      <c r="R499">
        <f>--($E499=IF('الداشبورد'!$B$6="الكل",$E499,'الداشبورد'!$B$6))</f>
        <v/>
      </c>
      <c r="S499">
        <f>--($K499=IF('الداشبورد'!$B$7="الكل",$K499,IF('الداشبورد'!$B$7="تصدير","Y","N")))</f>
        <v/>
      </c>
      <c r="T499">
        <f>--($J499=IF('الداشبورد'!$B$8="الكل",$J499,IF('الداشبورد'!$B$8="AL","A","C")))</f>
        <v/>
      </c>
      <c r="U499">
        <f>--($I499=IF('الداشبورد'!$B$9="الكل",$I499,IF('الداشبورد'!$B$9="بدون حالة","P",'الداشبورد'!$B$9)))</f>
        <v/>
      </c>
      <c r="V499">
        <f>--($D499=IF('الداشبورد'!$B$10="الكل",$D499,'الداشبورد'!$B$10))</f>
        <v/>
      </c>
      <c r="W499">
        <f>--($G499=IF('الداشبورد'!$B$11="الكل",$G499,'الداشبورد'!$B$11))</f>
        <v/>
      </c>
      <c r="X499">
        <f>Q499*R499*S499*T499*U499*V499*W499*--($C499&lt;&gt;"")</f>
        <v/>
      </c>
    </row>
    <row r="500">
      <c r="A500" s="15" t="n">
        <v>5</v>
      </c>
      <c r="B500" s="15" t="inlineStr">
        <is>
          <t>G184655</t>
        </is>
      </c>
      <c r="C500" s="15" t="inlineStr">
        <is>
          <t>645/26/02</t>
        </is>
      </c>
      <c r="D500" s="15" t="inlineStr">
        <is>
          <t>Vigo trgovina d.o.o.</t>
        </is>
      </c>
      <c r="E500" s="15" t="inlineStr">
        <is>
          <t>LV</t>
        </is>
      </c>
      <c r="F500" s="15" t="inlineStr">
        <is>
          <t>0.6/1 KV 4X50</t>
        </is>
      </c>
      <c r="G500" s="15" t="inlineStr">
        <is>
          <t>EX03</t>
        </is>
      </c>
      <c r="H500" s="15" t="inlineStr">
        <is>
          <t>Wooden Drums</t>
        </is>
      </c>
      <c r="I500" s="15" t="inlineStr">
        <is>
          <t>OK</t>
        </is>
      </c>
      <c r="J500" s="15" t="inlineStr">
        <is>
          <t>A</t>
        </is>
      </c>
      <c r="K500" s="15" t="inlineStr">
        <is>
          <t>Y</t>
        </is>
      </c>
      <c r="L500" s="15" t="n">
        <v>525</v>
      </c>
      <c r="M500" s="16" t="n">
        <v>0.24885</v>
      </c>
      <c r="N500" s="16" t="n">
        <v>0</v>
      </c>
      <c r="O500" s="16" t="n">
        <v>0</v>
      </c>
      <c r="P500" s="16" t="n">
        <v>0.24885</v>
      </c>
      <c r="Q500">
        <f>--($A500=IF('الداشبورد'!$B$5="الكل",$A500,'الداشبورد'!$B$5))</f>
        <v/>
      </c>
      <c r="R500">
        <f>--($E500=IF('الداشبورد'!$B$6="الكل",$E500,'الداشبورد'!$B$6))</f>
        <v/>
      </c>
      <c r="S500">
        <f>--($K500=IF('الداشبورد'!$B$7="الكل",$K500,IF('الداشبورد'!$B$7="تصدير","Y","N")))</f>
        <v/>
      </c>
      <c r="T500">
        <f>--($J500=IF('الداشبورد'!$B$8="الكل",$J500,IF('الداشبورد'!$B$8="AL","A","C")))</f>
        <v/>
      </c>
      <c r="U500">
        <f>--($I500=IF('الداشبورد'!$B$9="الكل",$I500,IF('الداشبورد'!$B$9="بدون حالة","P",'الداشبورد'!$B$9)))</f>
        <v/>
      </c>
      <c r="V500">
        <f>--($D500=IF('الداشبورد'!$B$10="الكل",$D500,'الداشبورد'!$B$10))</f>
        <v/>
      </c>
      <c r="W500">
        <f>--($G500=IF('الداشبورد'!$B$11="الكل",$G500,'الداشبورد'!$B$11))</f>
        <v/>
      </c>
      <c r="X500">
        <f>Q500*R500*S500*T500*U500*V500*W500*--($C500&lt;&gt;"")</f>
        <v/>
      </c>
    </row>
    <row r="501">
      <c r="A501" s="15" t="n">
        <v>4</v>
      </c>
      <c r="B501" s="15" t="inlineStr">
        <is>
          <t>K184704</t>
        </is>
      </c>
      <c r="C501" s="15" t="inlineStr">
        <is>
          <t>1462/26/05</t>
        </is>
      </c>
      <c r="D501" s="15" t="inlineStr">
        <is>
          <t>Vigo trgovina d.o.o.</t>
        </is>
      </c>
      <c r="E501" s="15" t="inlineStr">
        <is>
          <t>LV</t>
        </is>
      </c>
      <c r="F501" s="15" t="inlineStr">
        <is>
          <t>0.6/1 KV 4X10</t>
        </is>
      </c>
      <c r="G501" s="15" t="inlineStr">
        <is>
          <t>EX13</t>
        </is>
      </c>
      <c r="H501" s="15" t="inlineStr">
        <is>
          <t>Wooden Drums</t>
        </is>
      </c>
      <c r="I501" s="15" t="inlineStr">
        <is>
          <t>OK</t>
        </is>
      </c>
      <c r="J501" s="15" t="inlineStr">
        <is>
          <t>C</t>
        </is>
      </c>
      <c r="K501" s="15" t="inlineStr">
        <is>
          <t>Y</t>
        </is>
      </c>
      <c r="L501" s="15" t="n">
        <v>3050</v>
      </c>
      <c r="M501" s="16" t="n">
        <v>1.0797</v>
      </c>
      <c r="N501" s="16" t="n">
        <v>0</v>
      </c>
      <c r="O501" s="16" t="n">
        <v>0</v>
      </c>
      <c r="P501" s="16" t="n">
        <v>1.0797</v>
      </c>
      <c r="Q501">
        <f>--($A501=IF('الداشبورد'!$B$5="الكل",$A501,'الداشبورد'!$B$5))</f>
        <v/>
      </c>
      <c r="R501">
        <f>--($E501=IF('الداشبورد'!$B$6="الكل",$E501,'الداشبورد'!$B$6))</f>
        <v/>
      </c>
      <c r="S501">
        <f>--($K501=IF('الداشبورد'!$B$7="الكل",$K501,IF('الداشبورد'!$B$7="تصدير","Y","N")))</f>
        <v/>
      </c>
      <c r="T501">
        <f>--($J501=IF('الداشبورد'!$B$8="الكل",$J501,IF('الداشبورد'!$B$8="AL","A","C")))</f>
        <v/>
      </c>
      <c r="U501">
        <f>--($I501=IF('الداشبورد'!$B$9="الكل",$I501,IF('الداشبورد'!$B$9="بدون حالة","P",'الداشبورد'!$B$9)))</f>
        <v/>
      </c>
      <c r="V501">
        <f>--($D501=IF('الداشبورد'!$B$10="الكل",$D501,'الداشبورد'!$B$10))</f>
        <v/>
      </c>
      <c r="W501">
        <f>--($G501=IF('الداشبورد'!$B$11="الكل",$G501,'الداشبورد'!$B$11))</f>
        <v/>
      </c>
      <c r="X501">
        <f>Q501*R501*S501*T501*U501*V501*W501*--($C501&lt;&gt;"")</f>
        <v/>
      </c>
    </row>
    <row r="502">
      <c r="A502" s="15" t="n">
        <v>4</v>
      </c>
      <c r="B502" s="15" t="inlineStr">
        <is>
          <t>P184480</t>
        </is>
      </c>
      <c r="C502" s="15" t="inlineStr">
        <is>
          <t>1478/26/23</t>
        </is>
      </c>
      <c r="D502" s="15" t="inlineStr">
        <is>
          <t>Energya Power &amp; Telecom Solutions</t>
        </is>
      </c>
      <c r="E502" s="15" t="inlineStr">
        <is>
          <t>LV</t>
        </is>
      </c>
      <c r="F502" s="15" t="inlineStr">
        <is>
          <t>0.6/1 KV 3X300+150</t>
        </is>
      </c>
      <c r="G502" s="15" t="inlineStr">
        <is>
          <t>EX03</t>
        </is>
      </c>
      <c r="H502" s="15" t="inlineStr">
        <is>
          <t>Wooden Drums</t>
        </is>
      </c>
      <c r="I502" s="15" t="inlineStr">
        <is>
          <t>OK</t>
        </is>
      </c>
      <c r="J502" s="15" t="inlineStr">
        <is>
          <t>C</t>
        </is>
      </c>
      <c r="K502" s="15" t="inlineStr">
        <is>
          <t>N</t>
        </is>
      </c>
      <c r="L502" s="15" t="n">
        <v>347</v>
      </c>
      <c r="M502" s="16" t="n">
        <v>3.201075</v>
      </c>
      <c r="N502" s="16" t="n">
        <v>0</v>
      </c>
      <c r="O502" s="16" t="n">
        <v>0</v>
      </c>
      <c r="P502" s="16" t="n">
        <v>3.201075</v>
      </c>
      <c r="Q502">
        <f>--($A502=IF('الداشبورد'!$B$5="الكل",$A502,'الداشبورد'!$B$5))</f>
        <v/>
      </c>
      <c r="R502">
        <f>--($E502=IF('الداشبورد'!$B$6="الكل",$E502,'الداشبورد'!$B$6))</f>
        <v/>
      </c>
      <c r="S502">
        <f>--($K502=IF('الداشبورد'!$B$7="الكل",$K502,IF('الداشبورد'!$B$7="تصدير","Y","N")))</f>
        <v/>
      </c>
      <c r="T502">
        <f>--($J502=IF('الداشبورد'!$B$8="الكل",$J502,IF('الداشبورد'!$B$8="AL","A","C")))</f>
        <v/>
      </c>
      <c r="U502">
        <f>--($I502=IF('الداشبورد'!$B$9="الكل",$I502,IF('الداشبورد'!$B$9="بدون حالة","P",'الداشبورد'!$B$9)))</f>
        <v/>
      </c>
      <c r="V502">
        <f>--($D502=IF('الداشبورد'!$B$10="الكل",$D502,'الداشبورد'!$B$10))</f>
        <v/>
      </c>
      <c r="W502">
        <f>--($G502=IF('الداشبورد'!$B$11="الكل",$G502,'الداشبورد'!$B$11))</f>
        <v/>
      </c>
      <c r="X502">
        <f>Q502*R502*S502*T502*U502*V502*W502*--($C502&lt;&gt;"")</f>
        <v/>
      </c>
    </row>
    <row r="503">
      <c r="A503" s="15" t="n">
        <v>4</v>
      </c>
      <c r="B503" s="15" t="inlineStr">
        <is>
          <t>K184525</t>
        </is>
      </c>
      <c r="C503" s="15" t="inlineStr">
        <is>
          <t>1772/26/04</t>
        </is>
      </c>
      <c r="D503" s="15" t="inlineStr">
        <is>
          <t>Obaido</t>
        </is>
      </c>
      <c r="E503" s="15" t="inlineStr">
        <is>
          <t>LV</t>
        </is>
      </c>
      <c r="F503" s="15" t="inlineStr">
        <is>
          <t>0.6/1 KV 4X120</t>
        </is>
      </c>
      <c r="G503" s="15" t="inlineStr">
        <is>
          <t>EX03</t>
        </is>
      </c>
      <c r="H503" s="15" t="inlineStr">
        <is>
          <t>Wooden Drums</t>
        </is>
      </c>
      <c r="I503" s="15" t="inlineStr">
        <is>
          <t>OK</t>
        </is>
      </c>
      <c r="J503" s="15" t="inlineStr">
        <is>
          <t>A</t>
        </is>
      </c>
      <c r="K503" s="15" t="inlineStr">
        <is>
          <t>Y</t>
        </is>
      </c>
      <c r="L503" s="15" t="n">
        <v>1030</v>
      </c>
      <c r="M503" s="16" t="n">
        <v>1.27102</v>
      </c>
      <c r="N503" s="16" t="n">
        <v>0</v>
      </c>
      <c r="O503" s="16" t="n">
        <v>0</v>
      </c>
      <c r="P503" s="16" t="n">
        <v>1.27102</v>
      </c>
      <c r="Q503">
        <f>--($A503=IF('الداشبورد'!$B$5="الكل",$A503,'الداشبورد'!$B$5))</f>
        <v/>
      </c>
      <c r="R503">
        <f>--($E503=IF('الداشبورد'!$B$6="الكل",$E503,'الداشبورد'!$B$6))</f>
        <v/>
      </c>
      <c r="S503">
        <f>--($K503=IF('الداشبورد'!$B$7="الكل",$K503,IF('الداشبورد'!$B$7="تصدير","Y","N")))</f>
        <v/>
      </c>
      <c r="T503">
        <f>--($J503=IF('الداشبورد'!$B$8="الكل",$J503,IF('الداشبورد'!$B$8="AL","A","C")))</f>
        <v/>
      </c>
      <c r="U503">
        <f>--($I503=IF('الداشبورد'!$B$9="الكل",$I503,IF('الداشبورد'!$B$9="بدون حالة","P",'الداشبورد'!$B$9)))</f>
        <v/>
      </c>
      <c r="V503">
        <f>--($D503=IF('الداشبورد'!$B$10="الكل",$D503,'الداشبورد'!$B$10))</f>
        <v/>
      </c>
      <c r="W503">
        <f>--($G503=IF('الداشبورد'!$B$11="الكل",$G503,'الداشبورد'!$B$11))</f>
        <v/>
      </c>
      <c r="X503">
        <f>Q503*R503*S503*T503*U503*V503*W503*--($C503&lt;&gt;"")</f>
        <v/>
      </c>
    </row>
    <row r="504">
      <c r="A504" s="15" t="n">
        <v>5</v>
      </c>
      <c r="B504" s="15" t="inlineStr">
        <is>
          <t>M184645</t>
        </is>
      </c>
      <c r="C504" s="15" t="inlineStr">
        <is>
          <t>1481/26/01</t>
        </is>
      </c>
      <c r="D504" s="15" t="inlineStr">
        <is>
          <t>Eland Cables</t>
        </is>
      </c>
      <c r="E504" s="15" t="inlineStr">
        <is>
          <t>MV</t>
        </is>
      </c>
      <c r="F504" s="15" t="inlineStr">
        <is>
          <t>12/20 KV 1X630</t>
        </is>
      </c>
      <c r="G504" s="15" t="inlineStr">
        <is>
          <t>EX06</t>
        </is>
      </c>
      <c r="H504" s="15" t="inlineStr">
        <is>
          <t>Wooden Drums</t>
        </is>
      </c>
      <c r="I504" s="15" t="inlineStr">
        <is>
          <t>OK</t>
        </is>
      </c>
      <c r="J504" s="15" t="inlineStr">
        <is>
          <t>A</t>
        </is>
      </c>
      <c r="K504" s="15" t="inlineStr">
        <is>
          <t>Y</t>
        </is>
      </c>
      <c r="L504" s="15" t="n">
        <v>651</v>
      </c>
      <c r="M504" s="16" t="n">
        <v>1.1067</v>
      </c>
      <c r="N504" s="16" t="n">
        <v>0.096348</v>
      </c>
      <c r="O504" s="16" t="n">
        <v>0</v>
      </c>
      <c r="P504" s="16" t="n">
        <v>1.203048</v>
      </c>
      <c r="Q504">
        <f>--($A504=IF('الداشبورد'!$B$5="الكل",$A504,'الداشبورد'!$B$5))</f>
        <v/>
      </c>
      <c r="R504">
        <f>--($E504=IF('الداشبورد'!$B$6="الكل",$E504,'الداشبورد'!$B$6))</f>
        <v/>
      </c>
      <c r="S504">
        <f>--($K504=IF('الداشبورد'!$B$7="الكل",$K504,IF('الداشبورد'!$B$7="تصدير","Y","N")))</f>
        <v/>
      </c>
      <c r="T504">
        <f>--($J504=IF('الداشبورد'!$B$8="الكل",$J504,IF('الداشبورد'!$B$8="AL","A","C")))</f>
        <v/>
      </c>
      <c r="U504">
        <f>--($I504=IF('الداشبورد'!$B$9="الكل",$I504,IF('الداشبورد'!$B$9="بدون حالة","P",'الداشبورد'!$B$9)))</f>
        <v/>
      </c>
      <c r="V504">
        <f>--($D504=IF('الداشبورد'!$B$10="الكل",$D504,'الداشبورد'!$B$10))</f>
        <v/>
      </c>
      <c r="W504">
        <f>--($G504=IF('الداشبورد'!$B$11="الكل",$G504,'الداشبورد'!$B$11))</f>
        <v/>
      </c>
      <c r="X504">
        <f>Q504*R504*S504*T504*U504*V504*W504*--($C504&lt;&gt;"")</f>
        <v/>
      </c>
    </row>
    <row r="505">
      <c r="A505" s="15" t="n">
        <v>6</v>
      </c>
      <c r="B505" s="15" t="inlineStr">
        <is>
          <t>J182870</t>
        </is>
      </c>
      <c r="C505" s="15" t="inlineStr">
        <is>
          <t>1460/26/02</t>
        </is>
      </c>
      <c r="D505" s="15" t="inlineStr">
        <is>
          <t>الاسكندرية للإنشاءات</t>
        </is>
      </c>
      <c r="E505" s="15" t="inlineStr">
        <is>
          <t>LV</t>
        </is>
      </c>
      <c r="F505" s="15" t="inlineStr">
        <is>
          <t>0.6/1 KV 4X70</t>
        </is>
      </c>
      <c r="G505" s="15" t="inlineStr">
        <is>
          <t>EX05</t>
        </is>
      </c>
      <c r="H505" s="15" t="inlineStr">
        <is>
          <t>Wooden Drums</t>
        </is>
      </c>
      <c r="I505" s="15" t="inlineStr">
        <is>
          <t>OK</t>
        </is>
      </c>
      <c r="J505" s="15" t="inlineStr">
        <is>
          <t>C</t>
        </is>
      </c>
      <c r="K505" s="15" t="inlineStr">
        <is>
          <t>N</t>
        </is>
      </c>
      <c r="L505" s="15" t="n">
        <v>295</v>
      </c>
      <c r="M505" s="16" t="n">
        <v>0.686465</v>
      </c>
      <c r="N505" s="16" t="n">
        <v>0</v>
      </c>
      <c r="O505" s="16" t="n">
        <v>0</v>
      </c>
      <c r="P505" s="16" t="n">
        <v>0.686465</v>
      </c>
      <c r="Q505">
        <f>--($A505=IF('الداشبورد'!$B$5="الكل",$A505,'الداشبورد'!$B$5))</f>
        <v/>
      </c>
      <c r="R505">
        <f>--($E505=IF('الداشبورد'!$B$6="الكل",$E505,'الداشبورد'!$B$6))</f>
        <v/>
      </c>
      <c r="S505">
        <f>--($K505=IF('الداشبورد'!$B$7="الكل",$K505,IF('الداشبورد'!$B$7="تصدير","Y","N")))</f>
        <v/>
      </c>
      <c r="T505">
        <f>--($J505=IF('الداشبورد'!$B$8="الكل",$J505,IF('الداشبورد'!$B$8="AL","A","C")))</f>
        <v/>
      </c>
      <c r="U505">
        <f>--($I505=IF('الداشبورد'!$B$9="الكل",$I505,IF('الداشبورد'!$B$9="بدون حالة","P",'الداشبورد'!$B$9)))</f>
        <v/>
      </c>
      <c r="V505">
        <f>--($D505=IF('الداشبورد'!$B$10="الكل",$D505,'الداشبورد'!$B$10))</f>
        <v/>
      </c>
      <c r="W505">
        <f>--($G505=IF('الداشبورد'!$B$11="الكل",$G505,'الداشبورد'!$B$11))</f>
        <v/>
      </c>
      <c r="X505">
        <f>Q505*R505*S505*T505*U505*V505*W505*--($C505&lt;&gt;"")</f>
        <v/>
      </c>
    </row>
    <row r="506">
      <c r="A506" s="15" t="n">
        <v>6</v>
      </c>
      <c r="B506" s="15" t="inlineStr">
        <is>
          <t>U184403</t>
        </is>
      </c>
      <c r="C506" s="15" t="inlineStr">
        <is>
          <t>1101/26/01</t>
        </is>
      </c>
      <c r="D506" s="15" t="inlineStr">
        <is>
          <t>شركة مصر العليا لتوزيع الكهرباء</t>
        </is>
      </c>
      <c r="E506" s="15" t="inlineStr">
        <is>
          <t>MV</t>
        </is>
      </c>
      <c r="F506" s="15" t="inlineStr">
        <is>
          <t>12/20KV 3X300</t>
        </is>
      </c>
      <c r="G506" s="15" t="inlineStr">
        <is>
          <t>EX07</t>
        </is>
      </c>
      <c r="H506" s="15" t="inlineStr">
        <is>
          <t>Wooden Drums</t>
        </is>
      </c>
      <c r="I506" s="15" t="inlineStr">
        <is>
          <t>OK</t>
        </is>
      </c>
      <c r="J506" s="15" t="inlineStr">
        <is>
          <t>A</t>
        </is>
      </c>
      <c r="K506" s="15" t="inlineStr">
        <is>
          <t>N</t>
        </is>
      </c>
      <c r="L506" s="15" t="n">
        <v>415</v>
      </c>
      <c r="M506" s="16" t="n">
        <v>0.9831350000000001</v>
      </c>
      <c r="N506" s="16" t="n">
        <v>0</v>
      </c>
      <c r="O506" s="16" t="n">
        <v>0</v>
      </c>
      <c r="P506" s="16" t="n">
        <v>0.9831350000000001</v>
      </c>
      <c r="Q506">
        <f>--($A506=IF('الداشبورد'!$B$5="الكل",$A506,'الداشبورد'!$B$5))</f>
        <v/>
      </c>
      <c r="R506">
        <f>--($E506=IF('الداشبورد'!$B$6="الكل",$E506,'الداشبورد'!$B$6))</f>
        <v/>
      </c>
      <c r="S506">
        <f>--($K506=IF('الداشبورد'!$B$7="الكل",$K506,IF('الداشبورد'!$B$7="تصدير","Y","N")))</f>
        <v/>
      </c>
      <c r="T506">
        <f>--($J506=IF('الداشبورد'!$B$8="الكل",$J506,IF('الداشبورد'!$B$8="AL","A","C")))</f>
        <v/>
      </c>
      <c r="U506">
        <f>--($I506=IF('الداشبورد'!$B$9="الكل",$I506,IF('الداشبورد'!$B$9="بدون حالة","P",'الداشبورد'!$B$9)))</f>
        <v/>
      </c>
      <c r="V506">
        <f>--($D506=IF('الداشبورد'!$B$10="الكل",$D506,'الداشبورد'!$B$10))</f>
        <v/>
      </c>
      <c r="W506">
        <f>--($G506=IF('الداشبورد'!$B$11="الكل",$G506,'الداشبورد'!$B$11))</f>
        <v/>
      </c>
      <c r="X506">
        <f>Q506*R506*S506*T506*U506*V506*W506*--($C506&lt;&gt;"")</f>
        <v/>
      </c>
    </row>
    <row r="507">
      <c r="A507" s="15" t="n">
        <v>6</v>
      </c>
      <c r="B507" s="15" t="inlineStr">
        <is>
          <t>M184756</t>
        </is>
      </c>
      <c r="C507" s="15" t="inlineStr">
        <is>
          <t>1675/26/04</t>
        </is>
      </c>
      <c r="D507" s="15" t="inlineStr">
        <is>
          <t>Dimoulas S.A</t>
        </is>
      </c>
      <c r="E507" s="15" t="inlineStr">
        <is>
          <t>MV</t>
        </is>
      </c>
      <c r="F507" s="15" t="inlineStr">
        <is>
          <t>18/30 KV 1X630</t>
        </is>
      </c>
      <c r="G507" s="15" t="inlineStr">
        <is>
          <t>EX05</t>
        </is>
      </c>
      <c r="H507" s="15" t="inlineStr">
        <is>
          <t>Wooden Drums</t>
        </is>
      </c>
      <c r="I507" s="15" t="inlineStr">
        <is>
          <t>OK</t>
        </is>
      </c>
      <c r="J507" s="15" t="inlineStr">
        <is>
          <t>A</t>
        </is>
      </c>
      <c r="K507" s="15" t="inlineStr">
        <is>
          <t>Y</t>
        </is>
      </c>
      <c r="L507" s="15" t="n">
        <v>486</v>
      </c>
      <c r="M507" s="16" t="n">
        <v>0.8261999999999999</v>
      </c>
      <c r="N507" s="16" t="n">
        <v>0</v>
      </c>
      <c r="O507" s="16" t="n">
        <v>0</v>
      </c>
      <c r="P507" s="16" t="n">
        <v>0.8261999999999999</v>
      </c>
      <c r="Q507">
        <f>--($A507=IF('الداشبورد'!$B$5="الكل",$A507,'الداشبورد'!$B$5))</f>
        <v/>
      </c>
      <c r="R507">
        <f>--($E507=IF('الداشبورد'!$B$6="الكل",$E507,'الداشبورد'!$B$6))</f>
        <v/>
      </c>
      <c r="S507">
        <f>--($K507=IF('الداشبورد'!$B$7="الكل",$K507,IF('الداشبورد'!$B$7="تصدير","Y","N")))</f>
        <v/>
      </c>
      <c r="T507">
        <f>--($J507=IF('الداشبورد'!$B$8="الكل",$J507,IF('الداشبورد'!$B$8="AL","A","C")))</f>
        <v/>
      </c>
      <c r="U507">
        <f>--($I507=IF('الداشبورد'!$B$9="الكل",$I507,IF('الداشبورد'!$B$9="بدون حالة","P",'الداشبورد'!$B$9)))</f>
        <v/>
      </c>
      <c r="V507">
        <f>--($D507=IF('الداشبورد'!$B$10="الكل",$D507,'الداشبورد'!$B$10))</f>
        <v/>
      </c>
      <c r="W507">
        <f>--($G507=IF('الداشبورد'!$B$11="الكل",$G507,'الداشبورد'!$B$11))</f>
        <v/>
      </c>
      <c r="X507">
        <f>Q507*R507*S507*T507*U507*V507*W507*--($C507&lt;&gt;"")</f>
        <v/>
      </c>
    </row>
    <row r="508">
      <c r="A508" s="15" t="n">
        <v>6</v>
      </c>
      <c r="B508" s="15" t="inlineStr">
        <is>
          <t>M184755</t>
        </is>
      </c>
      <c r="C508" s="15" t="inlineStr">
        <is>
          <t>1675/26/04</t>
        </is>
      </c>
      <c r="D508" s="15" t="inlineStr">
        <is>
          <t>Dimoulas S.A</t>
        </is>
      </c>
      <c r="E508" s="15" t="inlineStr">
        <is>
          <t>MV</t>
        </is>
      </c>
      <c r="F508" s="15" t="inlineStr">
        <is>
          <t>18/30 KV 1X630</t>
        </is>
      </c>
      <c r="G508" s="15" t="inlineStr">
        <is>
          <t>EX05</t>
        </is>
      </c>
      <c r="H508" s="15" t="inlineStr">
        <is>
          <t>Wooden Drums</t>
        </is>
      </c>
      <c r="I508" s="15" t="inlineStr">
        <is>
          <t>OK</t>
        </is>
      </c>
      <c r="J508" s="15" t="inlineStr">
        <is>
          <t>A</t>
        </is>
      </c>
      <c r="K508" s="15" t="inlineStr">
        <is>
          <t>Y</t>
        </is>
      </c>
      <c r="L508" s="15" t="n">
        <v>542</v>
      </c>
      <c r="M508" s="16" t="n">
        <v>0.9214</v>
      </c>
      <c r="N508" s="16" t="n">
        <v>0</v>
      </c>
      <c r="O508" s="16" t="n">
        <v>0</v>
      </c>
      <c r="P508" s="16" t="n">
        <v>0.9214</v>
      </c>
      <c r="Q508">
        <f>--($A508=IF('الداشبورد'!$B$5="الكل",$A508,'الداشبورد'!$B$5))</f>
        <v/>
      </c>
      <c r="R508">
        <f>--($E508=IF('الداشبورد'!$B$6="الكل",$E508,'الداشبورد'!$B$6))</f>
        <v/>
      </c>
      <c r="S508">
        <f>--($K508=IF('الداشبورد'!$B$7="الكل",$K508,IF('الداشبورد'!$B$7="تصدير","Y","N")))</f>
        <v/>
      </c>
      <c r="T508">
        <f>--($J508=IF('الداشبورد'!$B$8="الكل",$J508,IF('الداشبورد'!$B$8="AL","A","C")))</f>
        <v/>
      </c>
      <c r="U508">
        <f>--($I508=IF('الداشبورد'!$B$9="الكل",$I508,IF('الداشبورد'!$B$9="بدون حالة","P",'الداشبورد'!$B$9)))</f>
        <v/>
      </c>
      <c r="V508">
        <f>--($D508=IF('الداشبورد'!$B$10="الكل",$D508,'الداشبورد'!$B$10))</f>
        <v/>
      </c>
      <c r="W508">
        <f>--($G508=IF('الداشبورد'!$B$11="الكل",$G508,'الداشبورد'!$B$11))</f>
        <v/>
      </c>
      <c r="X508">
        <f>Q508*R508*S508*T508*U508*V508*W508*--($C508&lt;&gt;"")</f>
        <v/>
      </c>
    </row>
    <row r="509">
      <c r="A509" s="15" t="n">
        <v>6</v>
      </c>
      <c r="B509" s="15" t="inlineStr">
        <is>
          <t>I184803</t>
        </is>
      </c>
      <c r="C509" s="15" t="inlineStr">
        <is>
          <t>1777/26/02</t>
        </is>
      </c>
      <c r="D509" s="15" t="inlineStr">
        <is>
          <t>Faber Kabel</t>
        </is>
      </c>
      <c r="E509" s="15" t="inlineStr">
        <is>
          <t>LV</t>
        </is>
      </c>
      <c r="F509" s="15" t="inlineStr">
        <is>
          <t>0.6/1 KV 1X70</t>
        </is>
      </c>
      <c r="G509" s="15" t="inlineStr">
        <is>
          <t>EX09</t>
        </is>
      </c>
      <c r="H509" s="15" t="inlineStr">
        <is>
          <t>Wooden Drums</t>
        </is>
      </c>
      <c r="I509" s="15" t="inlineStr">
        <is>
          <t>OK</t>
        </is>
      </c>
      <c r="J509" s="15" t="inlineStr">
        <is>
          <t>A</t>
        </is>
      </c>
      <c r="K509" s="15" t="inlineStr">
        <is>
          <t>Y</t>
        </is>
      </c>
      <c r="L509" s="15" t="n">
        <v>3150</v>
      </c>
      <c r="M509" s="16" t="n">
        <v>0.58275</v>
      </c>
      <c r="N509" s="16" t="n">
        <v>0</v>
      </c>
      <c r="O509" s="16" t="n">
        <v>0</v>
      </c>
      <c r="P509" s="16" t="n">
        <v>0.58275</v>
      </c>
      <c r="Q509">
        <f>--($A509=IF('الداشبورد'!$B$5="الكل",$A509,'الداشبورد'!$B$5))</f>
        <v/>
      </c>
      <c r="R509">
        <f>--($E509=IF('الداشبورد'!$B$6="الكل",$E509,'الداشبورد'!$B$6))</f>
        <v/>
      </c>
      <c r="S509">
        <f>--($K509=IF('الداشبورد'!$B$7="الكل",$K509,IF('الداشبورد'!$B$7="تصدير","Y","N")))</f>
        <v/>
      </c>
      <c r="T509">
        <f>--($J509=IF('الداشبورد'!$B$8="الكل",$J509,IF('الداشبورد'!$B$8="AL","A","C")))</f>
        <v/>
      </c>
      <c r="U509">
        <f>--($I509=IF('الداشبورد'!$B$9="الكل",$I509,IF('الداشبورد'!$B$9="بدون حالة","P",'الداشبورد'!$B$9)))</f>
        <v/>
      </c>
      <c r="V509">
        <f>--($D509=IF('الداشبورد'!$B$10="الكل",$D509,'الداشبورد'!$B$10))</f>
        <v/>
      </c>
      <c r="W509">
        <f>--($G509=IF('الداشبورد'!$B$11="الكل",$G509,'الداشبورد'!$B$11))</f>
        <v/>
      </c>
      <c r="X509">
        <f>Q509*R509*S509*T509*U509*V509*W509*--($C509&lt;&gt;"")</f>
        <v/>
      </c>
    </row>
    <row r="510">
      <c r="A510" s="15" t="n">
        <v>6</v>
      </c>
      <c r="B510" s="15" t="inlineStr">
        <is>
          <t>P184747</t>
        </is>
      </c>
      <c r="C510" s="15" t="inlineStr">
        <is>
          <t>1432/26/11</t>
        </is>
      </c>
      <c r="D510" s="15" t="inlineStr">
        <is>
          <t>Faber Kabel</t>
        </is>
      </c>
      <c r="E510" s="15" t="inlineStr">
        <is>
          <t>LV</t>
        </is>
      </c>
      <c r="F510" s="15" t="inlineStr">
        <is>
          <t>0.6/1 KV 5X120</t>
        </is>
      </c>
      <c r="G510" s="15" t="inlineStr">
        <is>
          <t>EX03</t>
        </is>
      </c>
      <c r="H510" s="15" t="inlineStr">
        <is>
          <t>Wooden Drums</t>
        </is>
      </c>
      <c r="I510" s="15" t="inlineStr">
        <is>
          <t>OK</t>
        </is>
      </c>
      <c r="J510" s="15" t="inlineStr">
        <is>
          <t>A</t>
        </is>
      </c>
      <c r="K510" s="15" t="inlineStr">
        <is>
          <t>Y</t>
        </is>
      </c>
      <c r="L510" s="15" t="n">
        <v>1034</v>
      </c>
      <c r="M510" s="16" t="n">
        <v>1.677148</v>
      </c>
      <c r="N510" s="16" t="n">
        <v>0</v>
      </c>
      <c r="O510" s="16" t="n">
        <v>0</v>
      </c>
      <c r="P510" s="16" t="n">
        <v>1.677148</v>
      </c>
      <c r="Q510">
        <f>--($A510=IF('الداشبورد'!$B$5="الكل",$A510,'الداشبورد'!$B$5))</f>
        <v/>
      </c>
      <c r="R510">
        <f>--($E510=IF('الداشبورد'!$B$6="الكل",$E510,'الداشبورد'!$B$6))</f>
        <v/>
      </c>
      <c r="S510">
        <f>--($K510=IF('الداشبورد'!$B$7="الكل",$K510,IF('الداشبورد'!$B$7="تصدير","Y","N")))</f>
        <v/>
      </c>
      <c r="T510">
        <f>--($J510=IF('الداشبورد'!$B$8="الكل",$J510,IF('الداشبورد'!$B$8="AL","A","C")))</f>
        <v/>
      </c>
      <c r="U510">
        <f>--($I510=IF('الداشبورد'!$B$9="الكل",$I510,IF('الداشبورد'!$B$9="بدون حالة","P",'الداشبورد'!$B$9)))</f>
        <v/>
      </c>
      <c r="V510">
        <f>--($D510=IF('الداشبورد'!$B$10="الكل",$D510,'الداشبورد'!$B$10))</f>
        <v/>
      </c>
      <c r="W510">
        <f>--($G510=IF('الداشبورد'!$B$11="الكل",$G510,'الداشبورد'!$B$11))</f>
        <v/>
      </c>
      <c r="X510">
        <f>Q510*R510*S510*T510*U510*V510*W510*--($C510&lt;&gt;"")</f>
        <v/>
      </c>
    </row>
    <row r="511">
      <c r="A511" s="15" t="n">
        <v>6</v>
      </c>
      <c r="B511" s="15" t="inlineStr">
        <is>
          <t>E184431</t>
        </is>
      </c>
      <c r="C511" s="15" t="inlineStr">
        <is>
          <t>1554/26/16</t>
        </is>
      </c>
      <c r="D511" s="15" t="inlineStr">
        <is>
          <t>المجموعه الهندسيه</t>
        </is>
      </c>
      <c r="E511" s="15" t="inlineStr">
        <is>
          <t>LV</t>
        </is>
      </c>
      <c r="F511" s="15" t="inlineStr">
        <is>
          <t>0.6/1 KV 1X95</t>
        </is>
      </c>
      <c r="G511" s="15" t="inlineStr">
        <is>
          <t>EX01</t>
        </is>
      </c>
      <c r="H511" s="15" t="inlineStr">
        <is>
          <t>Wooden Drums</t>
        </is>
      </c>
      <c r="I511" s="15" t="inlineStr">
        <is>
          <t>OK</t>
        </is>
      </c>
      <c r="J511" s="15" t="inlineStr">
        <is>
          <t>C</t>
        </is>
      </c>
      <c r="K511" s="15" t="inlineStr">
        <is>
          <t>N</t>
        </is>
      </c>
      <c r="L511" s="15" t="n">
        <v>230</v>
      </c>
      <c r="M511" s="16" t="n">
        <v>0.18745</v>
      </c>
      <c r="N511" s="16" t="n">
        <v>0</v>
      </c>
      <c r="O511" s="16" t="n">
        <v>0</v>
      </c>
      <c r="P511" s="16" t="n">
        <v>0.18745</v>
      </c>
      <c r="Q511">
        <f>--($A511=IF('الداشبورد'!$B$5="الكل",$A511,'الداشبورد'!$B$5))</f>
        <v/>
      </c>
      <c r="R511">
        <f>--($E511=IF('الداشبورد'!$B$6="الكل",$E511,'الداشبورد'!$B$6))</f>
        <v/>
      </c>
      <c r="S511">
        <f>--($K511=IF('الداشبورد'!$B$7="الكل",$K511,IF('الداشبورد'!$B$7="تصدير","Y","N")))</f>
        <v/>
      </c>
      <c r="T511">
        <f>--($J511=IF('الداشبورد'!$B$8="الكل",$J511,IF('الداشبورد'!$B$8="AL","A","C")))</f>
        <v/>
      </c>
      <c r="U511">
        <f>--($I511=IF('الداشبورد'!$B$9="الكل",$I511,IF('الداشبورد'!$B$9="بدون حالة","P",'الداشبورد'!$B$9)))</f>
        <v/>
      </c>
      <c r="V511">
        <f>--($D511=IF('الداشبورد'!$B$10="الكل",$D511,'الداشبورد'!$B$10))</f>
        <v/>
      </c>
      <c r="W511">
        <f>--($G511=IF('الداشبورد'!$B$11="الكل",$G511,'الداشبورد'!$B$11))</f>
        <v/>
      </c>
      <c r="X511">
        <f>Q511*R511*S511*T511*U511*V511*W511*--($C511&lt;&gt;"")</f>
        <v/>
      </c>
    </row>
    <row r="512">
      <c r="A512" s="15" t="n">
        <v>6</v>
      </c>
      <c r="B512" s="15" t="inlineStr">
        <is>
          <t>G184641</t>
        </is>
      </c>
      <c r="C512" s="15" t="inlineStr">
        <is>
          <t>1554/26/17</t>
        </is>
      </c>
      <c r="D512" s="15" t="inlineStr">
        <is>
          <t>المجموعه الهندسيه</t>
        </is>
      </c>
      <c r="E512" s="15" t="inlineStr">
        <is>
          <t>LV</t>
        </is>
      </c>
      <c r="F512" s="15" t="inlineStr">
        <is>
          <t>0.6/1 KV 1X95</t>
        </is>
      </c>
      <c r="G512" s="15" t="inlineStr">
        <is>
          <t>EX01</t>
        </is>
      </c>
      <c r="H512" s="15" t="inlineStr">
        <is>
          <t>Wooden Drums</t>
        </is>
      </c>
      <c r="I512" s="15" t="inlineStr">
        <is>
          <t>OK</t>
        </is>
      </c>
      <c r="J512" s="15" t="inlineStr">
        <is>
          <t>C</t>
        </is>
      </c>
      <c r="K512" s="15" t="inlineStr">
        <is>
          <t>N</t>
        </is>
      </c>
      <c r="L512" s="15" t="n">
        <v>264</v>
      </c>
      <c r="M512" s="16" t="n">
        <v>0.21516</v>
      </c>
      <c r="N512" s="16" t="n">
        <v>0</v>
      </c>
      <c r="O512" s="16" t="n">
        <v>0</v>
      </c>
      <c r="P512" s="16" t="n">
        <v>0.21516</v>
      </c>
      <c r="Q512">
        <f>--($A512=IF('الداشبورد'!$B$5="الكل",$A512,'الداشبورد'!$B$5))</f>
        <v/>
      </c>
      <c r="R512">
        <f>--($E512=IF('الداشبورد'!$B$6="الكل",$E512,'الداشبورد'!$B$6))</f>
        <v/>
      </c>
      <c r="S512">
        <f>--($K512=IF('الداشبورد'!$B$7="الكل",$K512,IF('الداشبورد'!$B$7="تصدير","Y","N")))</f>
        <v/>
      </c>
      <c r="T512">
        <f>--($J512=IF('الداشبورد'!$B$8="الكل",$J512,IF('الداشبورد'!$B$8="AL","A","C")))</f>
        <v/>
      </c>
      <c r="U512">
        <f>--($I512=IF('الداشبورد'!$B$9="الكل",$I512,IF('الداشبورد'!$B$9="بدون حالة","P",'الداشبورد'!$B$9)))</f>
        <v/>
      </c>
      <c r="V512">
        <f>--($D512=IF('الداشبورد'!$B$10="الكل",$D512,'الداشبورد'!$B$10))</f>
        <v/>
      </c>
      <c r="W512">
        <f>--($G512=IF('الداشبورد'!$B$11="الكل",$G512,'الداشبورد'!$B$11))</f>
        <v/>
      </c>
      <c r="X512">
        <f>Q512*R512*S512*T512*U512*V512*W512*--($C512&lt;&gt;"")</f>
        <v/>
      </c>
    </row>
    <row r="513">
      <c r="A513" s="15" t="n">
        <v>6</v>
      </c>
      <c r="B513" s="15" t="inlineStr">
        <is>
          <t>J184333</t>
        </is>
      </c>
      <c r="C513" s="15" t="inlineStr">
        <is>
          <t>1554/26/03</t>
        </is>
      </c>
      <c r="D513" s="15" t="inlineStr">
        <is>
          <t>المجموعه الهندسيه</t>
        </is>
      </c>
      <c r="E513" s="15" t="inlineStr">
        <is>
          <t>LV</t>
        </is>
      </c>
      <c r="F513" s="15" t="inlineStr">
        <is>
          <t>0.6/1 KV 1X240</t>
        </is>
      </c>
      <c r="G513" s="15" t="inlineStr">
        <is>
          <t>EX01</t>
        </is>
      </c>
      <c r="H513" s="15" t="inlineStr">
        <is>
          <t>Wooden Drums</t>
        </is>
      </c>
      <c r="I513" s="15" t="inlineStr">
        <is>
          <t>OK</t>
        </is>
      </c>
      <c r="J513" s="15" t="inlineStr">
        <is>
          <t>C</t>
        </is>
      </c>
      <c r="K513" s="15" t="inlineStr">
        <is>
          <t>N</t>
        </is>
      </c>
      <c r="L513" s="15" t="n">
        <v>103</v>
      </c>
      <c r="M513" s="16" t="n">
        <v>0.215991</v>
      </c>
      <c r="N513" s="16" t="n">
        <v>0</v>
      </c>
      <c r="O513" s="16" t="n">
        <v>0</v>
      </c>
      <c r="P513" s="16" t="n">
        <v>0.215991</v>
      </c>
      <c r="Q513">
        <f>--($A513=IF('الداشبورد'!$B$5="الكل",$A513,'الداشبورد'!$B$5))</f>
        <v/>
      </c>
      <c r="R513">
        <f>--($E513=IF('الداشبورد'!$B$6="الكل",$E513,'الداشبورد'!$B$6))</f>
        <v/>
      </c>
      <c r="S513">
        <f>--($K513=IF('الداشبورد'!$B$7="الكل",$K513,IF('الداشبورد'!$B$7="تصدير","Y","N")))</f>
        <v/>
      </c>
      <c r="T513">
        <f>--($J513=IF('الداشبورد'!$B$8="الكل",$J513,IF('الداشبورد'!$B$8="AL","A","C")))</f>
        <v/>
      </c>
      <c r="U513">
        <f>--($I513=IF('الداشبورد'!$B$9="الكل",$I513,IF('الداشبورد'!$B$9="بدون حالة","P",'الداشبورد'!$B$9)))</f>
        <v/>
      </c>
      <c r="V513">
        <f>--($D513=IF('الداشبورد'!$B$10="الكل",$D513,'الداشبورد'!$B$10))</f>
        <v/>
      </c>
      <c r="W513">
        <f>--($G513=IF('الداشبورد'!$B$11="الكل",$G513,'الداشبورد'!$B$11))</f>
        <v/>
      </c>
      <c r="X513">
        <f>Q513*R513*S513*T513*U513*V513*W513*--($C513&lt;&gt;"")</f>
        <v/>
      </c>
    </row>
    <row r="514">
      <c r="A514" s="15" t="n">
        <v>6</v>
      </c>
      <c r="B514" s="15" t="inlineStr">
        <is>
          <t>J184362</t>
        </is>
      </c>
      <c r="C514" s="15" t="inlineStr">
        <is>
          <t>1554/26/01</t>
        </is>
      </c>
      <c r="D514" s="15" t="inlineStr">
        <is>
          <t>المجموعه الهندسيه</t>
        </is>
      </c>
      <c r="E514" s="15" t="inlineStr">
        <is>
          <t>LV</t>
        </is>
      </c>
      <c r="F514" s="15" t="inlineStr">
        <is>
          <t>0.6/1 KV 1X240</t>
        </is>
      </c>
      <c r="G514" s="15" t="inlineStr">
        <is>
          <t>EX01</t>
        </is>
      </c>
      <c r="H514" s="15" t="inlineStr">
        <is>
          <t>Wooden Drums</t>
        </is>
      </c>
      <c r="I514" s="15" t="inlineStr">
        <is>
          <t>OK</t>
        </is>
      </c>
      <c r="J514" s="15" t="inlineStr">
        <is>
          <t>C</t>
        </is>
      </c>
      <c r="K514" s="15" t="inlineStr">
        <is>
          <t>N</t>
        </is>
      </c>
      <c r="L514" s="15" t="n">
        <v>103</v>
      </c>
      <c r="M514" s="16" t="n">
        <v>0.215991</v>
      </c>
      <c r="N514" s="16" t="n">
        <v>0</v>
      </c>
      <c r="O514" s="16" t="n">
        <v>0</v>
      </c>
      <c r="P514" s="16" t="n">
        <v>0.215991</v>
      </c>
      <c r="Q514">
        <f>--($A514=IF('الداشبورد'!$B$5="الكل",$A514,'الداشبورد'!$B$5))</f>
        <v/>
      </c>
      <c r="R514">
        <f>--($E514=IF('الداشبورد'!$B$6="الكل",$E514,'الداشبورد'!$B$6))</f>
        <v/>
      </c>
      <c r="S514">
        <f>--($K514=IF('الداشبورد'!$B$7="الكل",$K514,IF('الداشبورد'!$B$7="تصدير","Y","N")))</f>
        <v/>
      </c>
      <c r="T514">
        <f>--($J514=IF('الداشبورد'!$B$8="الكل",$J514,IF('الداشبورد'!$B$8="AL","A","C")))</f>
        <v/>
      </c>
      <c r="U514">
        <f>--($I514=IF('الداشبورد'!$B$9="الكل",$I514,IF('الداشبورد'!$B$9="بدون حالة","P",'الداشبورد'!$B$9)))</f>
        <v/>
      </c>
      <c r="V514">
        <f>--($D514=IF('الداشبورد'!$B$10="الكل",$D514,'الداشبورد'!$B$10))</f>
        <v/>
      </c>
      <c r="W514">
        <f>--($G514=IF('الداشبورد'!$B$11="الكل",$G514,'الداشبورد'!$B$11))</f>
        <v/>
      </c>
      <c r="X514">
        <f>Q514*R514*S514*T514*U514*V514*W514*--($C514&lt;&gt;"")</f>
        <v/>
      </c>
    </row>
    <row r="515">
      <c r="A515" s="15" t="n">
        <v>6</v>
      </c>
      <c r="B515" s="15" t="inlineStr">
        <is>
          <t>J184307</t>
        </is>
      </c>
      <c r="C515" s="15" t="inlineStr">
        <is>
          <t>1554/26/02</t>
        </is>
      </c>
      <c r="D515" s="15" t="inlineStr">
        <is>
          <t>المجموعه الهندسيه</t>
        </is>
      </c>
      <c r="E515" s="15" t="inlineStr">
        <is>
          <t>LV</t>
        </is>
      </c>
      <c r="F515" s="15" t="inlineStr">
        <is>
          <t>0.6/1 KV 1X240</t>
        </is>
      </c>
      <c r="G515" s="15" t="inlineStr">
        <is>
          <t>EX01</t>
        </is>
      </c>
      <c r="H515" s="15" t="inlineStr">
        <is>
          <t>Wooden Drums</t>
        </is>
      </c>
      <c r="I515" s="15" t="inlineStr">
        <is>
          <t>OK</t>
        </is>
      </c>
      <c r="J515" s="15" t="inlineStr">
        <is>
          <t>C</t>
        </is>
      </c>
      <c r="K515" s="15" t="inlineStr">
        <is>
          <t>N</t>
        </is>
      </c>
      <c r="L515" s="15" t="n">
        <v>102</v>
      </c>
      <c r="M515" s="16" t="n">
        <v>0.213894</v>
      </c>
      <c r="N515" s="16" t="n">
        <v>0</v>
      </c>
      <c r="O515" s="16" t="n">
        <v>0</v>
      </c>
      <c r="P515" s="16" t="n">
        <v>0.213894</v>
      </c>
      <c r="Q515">
        <f>--($A515=IF('الداشبورد'!$B$5="الكل",$A515,'الداشبورد'!$B$5))</f>
        <v/>
      </c>
      <c r="R515">
        <f>--($E515=IF('الداشبورد'!$B$6="الكل",$E515,'الداشبورد'!$B$6))</f>
        <v/>
      </c>
      <c r="S515">
        <f>--($K515=IF('الداشبورد'!$B$7="الكل",$K515,IF('الداشبورد'!$B$7="تصدير","Y","N")))</f>
        <v/>
      </c>
      <c r="T515">
        <f>--($J515=IF('الداشبورد'!$B$8="الكل",$J515,IF('الداشبورد'!$B$8="AL","A","C")))</f>
        <v/>
      </c>
      <c r="U515">
        <f>--($I515=IF('الداشبورد'!$B$9="الكل",$I515,IF('الداشبورد'!$B$9="بدون حالة","P",'الداشبورد'!$B$9)))</f>
        <v/>
      </c>
      <c r="V515">
        <f>--($D515=IF('الداشبورد'!$B$10="الكل",$D515,'الداشبورد'!$B$10))</f>
        <v/>
      </c>
      <c r="W515">
        <f>--($G515=IF('الداشبورد'!$B$11="الكل",$G515,'الداشبورد'!$B$11))</f>
        <v/>
      </c>
      <c r="X515">
        <f>Q515*R515*S515*T515*U515*V515*W515*--($C515&lt;&gt;"")</f>
        <v/>
      </c>
    </row>
    <row r="516">
      <c r="A516" s="15" t="n">
        <v>6</v>
      </c>
      <c r="B516" s="15" t="inlineStr">
        <is>
          <t>L184737</t>
        </is>
      </c>
      <c r="C516" s="15" t="inlineStr">
        <is>
          <t>1385/26/12</t>
        </is>
      </c>
      <c r="D516" s="15" t="inlineStr">
        <is>
          <t>الشركة العربية للصناعة والتجارة الدولية</t>
        </is>
      </c>
      <c r="E516" s="15" t="inlineStr">
        <is>
          <t>LV</t>
        </is>
      </c>
      <c r="F516" s="15" t="inlineStr">
        <is>
          <t>0.6/1 KV 3X25+16</t>
        </is>
      </c>
      <c r="G516" s="15" t="inlineStr">
        <is>
          <t>EX13</t>
        </is>
      </c>
      <c r="H516" s="15" t="inlineStr">
        <is>
          <t>Wooden Drums</t>
        </is>
      </c>
      <c r="I516" s="15" t="inlineStr">
        <is>
          <t>OK</t>
        </is>
      </c>
      <c r="J516" s="15" t="inlineStr">
        <is>
          <t>A</t>
        </is>
      </c>
      <c r="K516" s="15" t="inlineStr">
        <is>
          <t>N</t>
        </is>
      </c>
      <c r="L516" s="15" t="n">
        <v>2030</v>
      </c>
      <c r="M516" s="16" t="n">
        <v>0.47705</v>
      </c>
      <c r="N516" s="16" t="n">
        <v>0</v>
      </c>
      <c r="O516" s="16" t="n">
        <v>0</v>
      </c>
      <c r="P516" s="16" t="n">
        <v>0.47705</v>
      </c>
      <c r="Q516">
        <f>--($A516=IF('الداشبورد'!$B$5="الكل",$A516,'الداشبورد'!$B$5))</f>
        <v/>
      </c>
      <c r="R516">
        <f>--($E516=IF('الداشبورد'!$B$6="الكل",$E516,'الداشبورد'!$B$6))</f>
        <v/>
      </c>
      <c r="S516">
        <f>--($K516=IF('الداشبورد'!$B$7="الكل",$K516,IF('الداشبورد'!$B$7="تصدير","Y","N")))</f>
        <v/>
      </c>
      <c r="T516">
        <f>--($J516=IF('الداشبورد'!$B$8="الكل",$J516,IF('الداشبورد'!$B$8="AL","A","C")))</f>
        <v/>
      </c>
      <c r="U516">
        <f>--($I516=IF('الداشبورد'!$B$9="الكل",$I516,IF('الداشبورد'!$B$9="بدون حالة","P",'الداشبورد'!$B$9)))</f>
        <v/>
      </c>
      <c r="V516">
        <f>--($D516=IF('الداشبورد'!$B$10="الكل",$D516,'الداشبورد'!$B$10))</f>
        <v/>
      </c>
      <c r="W516">
        <f>--($G516=IF('الداشبورد'!$B$11="الكل",$G516,'الداشبورد'!$B$11))</f>
        <v/>
      </c>
      <c r="X516">
        <f>Q516*R516*S516*T516*U516*V516*W516*--($C516&lt;&gt;"")</f>
        <v/>
      </c>
    </row>
    <row r="517">
      <c r="A517" s="15" t="n">
        <v>6</v>
      </c>
      <c r="B517" s="15" t="inlineStr">
        <is>
          <t>L184677</t>
        </is>
      </c>
      <c r="C517" s="15" t="inlineStr">
        <is>
          <t>1385/26/12</t>
        </is>
      </c>
      <c r="D517" s="15" t="inlineStr">
        <is>
          <t>الشركة العربية للصناعة والتجارة الدولية</t>
        </is>
      </c>
      <c r="E517" s="15" t="inlineStr">
        <is>
          <t>LV</t>
        </is>
      </c>
      <c r="F517" s="15" t="inlineStr">
        <is>
          <t>0.6/1 KV 3X25+16</t>
        </is>
      </c>
      <c r="G517" s="15" t="inlineStr">
        <is>
          <t>EX13</t>
        </is>
      </c>
      <c r="H517" s="15" t="inlineStr">
        <is>
          <t>Wooden Drums</t>
        </is>
      </c>
      <c r="I517" s="15" t="inlineStr">
        <is>
          <t>OK</t>
        </is>
      </c>
      <c r="J517" s="15" t="inlineStr">
        <is>
          <t>A</t>
        </is>
      </c>
      <c r="K517" s="15" t="inlineStr">
        <is>
          <t>N</t>
        </is>
      </c>
      <c r="L517" s="15" t="n">
        <v>2055</v>
      </c>
      <c r="M517" s="16" t="n">
        <v>0.4829249999999999</v>
      </c>
      <c r="N517" s="16" t="n">
        <v>0</v>
      </c>
      <c r="O517" s="16" t="n">
        <v>0</v>
      </c>
      <c r="P517" s="16" t="n">
        <v>0.4829249999999999</v>
      </c>
      <c r="Q517">
        <f>--($A517=IF('الداشبورد'!$B$5="الكل",$A517,'الداشبورد'!$B$5))</f>
        <v/>
      </c>
      <c r="R517">
        <f>--($E517=IF('الداشبورد'!$B$6="الكل",$E517,'الداشبورد'!$B$6))</f>
        <v/>
      </c>
      <c r="S517">
        <f>--($K517=IF('الداشبورد'!$B$7="الكل",$K517,IF('الداشبورد'!$B$7="تصدير","Y","N")))</f>
        <v/>
      </c>
      <c r="T517">
        <f>--($J517=IF('الداشبورد'!$B$8="الكل",$J517,IF('الداشبورد'!$B$8="AL","A","C")))</f>
        <v/>
      </c>
      <c r="U517">
        <f>--($I517=IF('الداشبورد'!$B$9="الكل",$I517,IF('الداشبورد'!$B$9="بدون حالة","P",'الداشبورد'!$B$9)))</f>
        <v/>
      </c>
      <c r="V517">
        <f>--($D517=IF('الداشبورد'!$B$10="الكل",$D517,'الداشبورد'!$B$10))</f>
        <v/>
      </c>
      <c r="W517">
        <f>--($G517=IF('الداشبورد'!$B$11="الكل",$G517,'الداشبورد'!$B$11))</f>
        <v/>
      </c>
      <c r="X517">
        <f>Q517*R517*S517*T517*U517*V517*W517*--($C517&lt;&gt;"")</f>
        <v/>
      </c>
    </row>
    <row r="518">
      <c r="A518" s="15" t="n">
        <v>6</v>
      </c>
      <c r="B518" s="15" t="inlineStr">
        <is>
          <t>L184734</t>
        </is>
      </c>
      <c r="C518" s="15" t="inlineStr">
        <is>
          <t>1385/26/12</t>
        </is>
      </c>
      <c r="D518" s="15" t="inlineStr">
        <is>
          <t>الشركة العربية للصناعة والتجارة الدولية</t>
        </is>
      </c>
      <c r="E518" s="15" t="inlineStr">
        <is>
          <t>LV</t>
        </is>
      </c>
      <c r="F518" s="15" t="inlineStr">
        <is>
          <t>0.6/1 KV 3X25+16</t>
        </is>
      </c>
      <c r="G518" s="15" t="inlineStr">
        <is>
          <t>EX13</t>
        </is>
      </c>
      <c r="H518" s="15" t="inlineStr">
        <is>
          <t>Wooden Drums</t>
        </is>
      </c>
      <c r="I518" s="15" t="inlineStr">
        <is>
          <t>OK</t>
        </is>
      </c>
      <c r="J518" s="15" t="inlineStr">
        <is>
          <t>A</t>
        </is>
      </c>
      <c r="K518" s="15" t="inlineStr">
        <is>
          <t>N</t>
        </is>
      </c>
      <c r="L518" s="15" t="n">
        <v>2030</v>
      </c>
      <c r="M518" s="16" t="n">
        <v>0.47705</v>
      </c>
      <c r="N518" s="16" t="n">
        <v>0</v>
      </c>
      <c r="O518" s="16" t="n">
        <v>0</v>
      </c>
      <c r="P518" s="16" t="n">
        <v>0.47705</v>
      </c>
      <c r="Q518">
        <f>--($A518=IF('الداشبورد'!$B$5="الكل",$A518,'الداشبورد'!$B$5))</f>
        <v/>
      </c>
      <c r="R518">
        <f>--($E518=IF('الداشبورد'!$B$6="الكل",$E518,'الداشبورد'!$B$6))</f>
        <v/>
      </c>
      <c r="S518">
        <f>--($K518=IF('الداشبورد'!$B$7="الكل",$K518,IF('الداشبورد'!$B$7="تصدير","Y","N")))</f>
        <v/>
      </c>
      <c r="T518">
        <f>--($J518=IF('الداشبورد'!$B$8="الكل",$J518,IF('الداشبورد'!$B$8="AL","A","C")))</f>
        <v/>
      </c>
      <c r="U518">
        <f>--($I518=IF('الداشبورد'!$B$9="الكل",$I518,IF('الداشبورد'!$B$9="بدون حالة","P",'الداشبورد'!$B$9)))</f>
        <v/>
      </c>
      <c r="V518">
        <f>--($D518=IF('الداشبورد'!$B$10="الكل",$D518,'الداشبورد'!$B$10))</f>
        <v/>
      </c>
      <c r="W518">
        <f>--($G518=IF('الداشبورد'!$B$11="الكل",$G518,'الداشبورد'!$B$11))</f>
        <v/>
      </c>
      <c r="X518">
        <f>Q518*R518*S518*T518*U518*V518*W518*--($C518&lt;&gt;"")</f>
        <v/>
      </c>
    </row>
    <row r="519">
      <c r="A519" s="15" t="n">
        <v>6</v>
      </c>
      <c r="B519" s="15" t="inlineStr">
        <is>
          <t>K184735</t>
        </is>
      </c>
      <c r="C519" s="15" t="inlineStr">
        <is>
          <t>1385/26/12</t>
        </is>
      </c>
      <c r="D519" s="15" t="inlineStr">
        <is>
          <t>الشركة العربية للصناعة والتجارة الدولية</t>
        </is>
      </c>
      <c r="E519" s="15" t="inlineStr">
        <is>
          <t>LV</t>
        </is>
      </c>
      <c r="F519" s="15" t="inlineStr">
        <is>
          <t>0.6/1 KV 3X25+16</t>
        </is>
      </c>
      <c r="G519" s="15" t="inlineStr">
        <is>
          <t>EX13</t>
        </is>
      </c>
      <c r="H519" s="15" t="inlineStr">
        <is>
          <t>Wooden Drums</t>
        </is>
      </c>
      <c r="I519" s="15" t="inlineStr">
        <is>
          <t>OK</t>
        </is>
      </c>
      <c r="J519" s="15" t="inlineStr">
        <is>
          <t>A</t>
        </is>
      </c>
      <c r="K519" s="15" t="inlineStr">
        <is>
          <t>N</t>
        </is>
      </c>
      <c r="L519" s="15" t="n">
        <v>2113</v>
      </c>
      <c r="M519" s="16" t="n">
        <v>0.496555</v>
      </c>
      <c r="N519" s="16" t="n">
        <v>0</v>
      </c>
      <c r="O519" s="16" t="n">
        <v>0</v>
      </c>
      <c r="P519" s="16" t="n">
        <v>0.496555</v>
      </c>
      <c r="Q519">
        <f>--($A519=IF('الداشبورد'!$B$5="الكل",$A519,'الداشبورد'!$B$5))</f>
        <v/>
      </c>
      <c r="R519">
        <f>--($E519=IF('الداشبورد'!$B$6="الكل",$E519,'الداشبورد'!$B$6))</f>
        <v/>
      </c>
      <c r="S519">
        <f>--($K519=IF('الداشبورد'!$B$7="الكل",$K519,IF('الداشبورد'!$B$7="تصدير","Y","N")))</f>
        <v/>
      </c>
      <c r="T519">
        <f>--($J519=IF('الداشبورد'!$B$8="الكل",$J519,IF('الداشبورد'!$B$8="AL","A","C")))</f>
        <v/>
      </c>
      <c r="U519">
        <f>--($I519=IF('الداشبورد'!$B$9="الكل",$I519,IF('الداشبورد'!$B$9="بدون حالة","P",'الداشبورد'!$B$9)))</f>
        <v/>
      </c>
      <c r="V519">
        <f>--($D519=IF('الداشبورد'!$B$10="الكل",$D519,'الداشبورد'!$B$10))</f>
        <v/>
      </c>
      <c r="W519">
        <f>--($G519=IF('الداشبورد'!$B$11="الكل",$G519,'الداشبورد'!$B$11))</f>
        <v/>
      </c>
      <c r="X519">
        <f>Q519*R519*S519*T519*U519*V519*W519*--($C519&lt;&gt;"")</f>
        <v/>
      </c>
    </row>
    <row r="520">
      <c r="A520" s="15" t="n">
        <v>6</v>
      </c>
      <c r="B520" s="15" t="inlineStr">
        <is>
          <t>L184736</t>
        </is>
      </c>
      <c r="C520" s="15" t="inlineStr">
        <is>
          <t>1385/26/12</t>
        </is>
      </c>
      <c r="D520" s="15" t="inlineStr">
        <is>
          <t>الشركة العربية للصناعة والتجارة الدولية</t>
        </is>
      </c>
      <c r="E520" s="15" t="inlineStr">
        <is>
          <t>LV</t>
        </is>
      </c>
      <c r="F520" s="15" t="inlineStr">
        <is>
          <t>0.6/1 KV 3X25+16</t>
        </is>
      </c>
      <c r="G520" s="15" t="inlineStr">
        <is>
          <t>EX13</t>
        </is>
      </c>
      <c r="H520" s="15" t="inlineStr">
        <is>
          <t>Wooden Drums</t>
        </is>
      </c>
      <c r="I520" s="15" t="inlineStr">
        <is>
          <t>OK</t>
        </is>
      </c>
      <c r="J520" s="15" t="inlineStr">
        <is>
          <t>A</t>
        </is>
      </c>
      <c r="K520" s="15" t="inlineStr">
        <is>
          <t>N</t>
        </is>
      </c>
      <c r="L520" s="15" t="n">
        <v>2010</v>
      </c>
      <c r="M520" s="16" t="n">
        <v>0.47235</v>
      </c>
      <c r="N520" s="16" t="n">
        <v>0</v>
      </c>
      <c r="O520" s="16" t="n">
        <v>0</v>
      </c>
      <c r="P520" s="16" t="n">
        <v>0.47235</v>
      </c>
      <c r="Q520">
        <f>--($A520=IF('الداشبورد'!$B$5="الكل",$A520,'الداشبورد'!$B$5))</f>
        <v/>
      </c>
      <c r="R520">
        <f>--($E520=IF('الداشبورد'!$B$6="الكل",$E520,'الداشبورد'!$B$6))</f>
        <v/>
      </c>
      <c r="S520">
        <f>--($K520=IF('الداشبورد'!$B$7="الكل",$K520,IF('الداشبورد'!$B$7="تصدير","Y","N")))</f>
        <v/>
      </c>
      <c r="T520">
        <f>--($J520=IF('الداشبورد'!$B$8="الكل",$J520,IF('الداشبورد'!$B$8="AL","A","C")))</f>
        <v/>
      </c>
      <c r="U520">
        <f>--($I520=IF('الداشبورد'!$B$9="الكل",$I520,IF('الداشبورد'!$B$9="بدون حالة","P",'الداشبورد'!$B$9)))</f>
        <v/>
      </c>
      <c r="V520">
        <f>--($D520=IF('الداشبورد'!$B$10="الكل",$D520,'الداشبورد'!$B$10))</f>
        <v/>
      </c>
      <c r="W520">
        <f>--($G520=IF('الداشبورد'!$B$11="الكل",$G520,'الداشبورد'!$B$11))</f>
        <v/>
      </c>
      <c r="X520">
        <f>Q520*R520*S520*T520*U520*V520*W520*--($C520&lt;&gt;"")</f>
        <v/>
      </c>
    </row>
    <row r="521">
      <c r="A521" s="15" t="n">
        <v>6</v>
      </c>
      <c r="B521" s="15" t="inlineStr">
        <is>
          <t>L184739</t>
        </is>
      </c>
      <c r="C521" s="15" t="inlineStr">
        <is>
          <t>1385/26/12</t>
        </is>
      </c>
      <c r="D521" s="15" t="inlineStr">
        <is>
          <t>الشركة العربية للصناعة والتجارة الدولية</t>
        </is>
      </c>
      <c r="E521" s="15" t="inlineStr">
        <is>
          <t>LV</t>
        </is>
      </c>
      <c r="F521" s="15" t="inlineStr">
        <is>
          <t>0.6/1 KV 3X25+16</t>
        </is>
      </c>
      <c r="G521" s="15" t="inlineStr">
        <is>
          <t>EX13</t>
        </is>
      </c>
      <c r="H521" s="15" t="inlineStr">
        <is>
          <t>Wooden Drums</t>
        </is>
      </c>
      <c r="I521" s="15" t="inlineStr">
        <is>
          <t>OK</t>
        </is>
      </c>
      <c r="J521" s="15" t="inlineStr">
        <is>
          <t>A</t>
        </is>
      </c>
      <c r="K521" s="15" t="inlineStr">
        <is>
          <t>N</t>
        </is>
      </c>
      <c r="L521" s="15" t="n">
        <v>2020</v>
      </c>
      <c r="M521" s="16" t="n">
        <v>0.4747</v>
      </c>
      <c r="N521" s="16" t="n">
        <v>0</v>
      </c>
      <c r="O521" s="16" t="n">
        <v>0</v>
      </c>
      <c r="P521" s="16" t="n">
        <v>0.4747</v>
      </c>
      <c r="Q521">
        <f>--($A521=IF('الداشبورد'!$B$5="الكل",$A521,'الداشبورد'!$B$5))</f>
        <v/>
      </c>
      <c r="R521">
        <f>--($E521=IF('الداشبورد'!$B$6="الكل",$E521,'الداشبورد'!$B$6))</f>
        <v/>
      </c>
      <c r="S521">
        <f>--($K521=IF('الداشبورد'!$B$7="الكل",$K521,IF('الداشبورد'!$B$7="تصدير","Y","N")))</f>
        <v/>
      </c>
      <c r="T521">
        <f>--($J521=IF('الداشبورد'!$B$8="الكل",$J521,IF('الداشبورد'!$B$8="AL","A","C")))</f>
        <v/>
      </c>
      <c r="U521">
        <f>--($I521=IF('الداشبورد'!$B$9="الكل",$I521,IF('الداشبورد'!$B$9="بدون حالة","P",'الداشبورد'!$B$9)))</f>
        <v/>
      </c>
      <c r="V521">
        <f>--($D521=IF('الداشبورد'!$B$10="الكل",$D521,'الداشبورد'!$B$10))</f>
        <v/>
      </c>
      <c r="W521">
        <f>--($G521=IF('الداشبورد'!$B$11="الكل",$G521,'الداشبورد'!$B$11))</f>
        <v/>
      </c>
      <c r="X521">
        <f>Q521*R521*S521*T521*U521*V521*W521*--($C521&lt;&gt;"")</f>
        <v/>
      </c>
    </row>
    <row r="522">
      <c r="A522" s="15" t="n">
        <v>6</v>
      </c>
      <c r="B522" s="15" t="inlineStr">
        <is>
          <t>L184738</t>
        </is>
      </c>
      <c r="C522" s="15" t="inlineStr">
        <is>
          <t>1385/26/12</t>
        </is>
      </c>
      <c r="D522" s="15" t="inlineStr">
        <is>
          <t>الشركة العربية للصناعة والتجارة الدولية</t>
        </is>
      </c>
      <c r="E522" s="15" t="inlineStr">
        <is>
          <t>LV</t>
        </is>
      </c>
      <c r="F522" s="15" t="inlineStr">
        <is>
          <t>0.6/1 KV 3X25+16</t>
        </is>
      </c>
      <c r="G522" s="15" t="inlineStr">
        <is>
          <t>EX13</t>
        </is>
      </c>
      <c r="H522" s="15" t="inlineStr">
        <is>
          <t>Wooden Drums</t>
        </is>
      </c>
      <c r="I522" s="15" t="inlineStr">
        <is>
          <t>OK</t>
        </is>
      </c>
      <c r="J522" s="15" t="inlineStr">
        <is>
          <t>A</t>
        </is>
      </c>
      <c r="K522" s="15" t="inlineStr">
        <is>
          <t>N</t>
        </is>
      </c>
      <c r="L522" s="15" t="n">
        <v>664</v>
      </c>
      <c r="M522" s="16" t="n">
        <v>0.15604</v>
      </c>
      <c r="N522" s="16" t="n">
        <v>0</v>
      </c>
      <c r="O522" s="16" t="n">
        <v>0</v>
      </c>
      <c r="P522" s="16" t="n">
        <v>0.15604</v>
      </c>
      <c r="Q522">
        <f>--($A522=IF('الداشبورد'!$B$5="الكل",$A522,'الداشبورد'!$B$5))</f>
        <v/>
      </c>
      <c r="R522">
        <f>--($E522=IF('الداشبورد'!$B$6="الكل",$E522,'الداشبورد'!$B$6))</f>
        <v/>
      </c>
      <c r="S522">
        <f>--($K522=IF('الداشبورد'!$B$7="الكل",$K522,IF('الداشبورد'!$B$7="تصدير","Y","N")))</f>
        <v/>
      </c>
      <c r="T522">
        <f>--($J522=IF('الداشبورد'!$B$8="الكل",$J522,IF('الداشبورد'!$B$8="AL","A","C")))</f>
        <v/>
      </c>
      <c r="U522">
        <f>--($I522=IF('الداشبورد'!$B$9="الكل",$I522,IF('الداشبورد'!$B$9="بدون حالة","P",'الداشبورد'!$B$9)))</f>
        <v/>
      </c>
      <c r="V522">
        <f>--($D522=IF('الداشبورد'!$B$10="الكل",$D522,'الداشبورد'!$B$10))</f>
        <v/>
      </c>
      <c r="W522">
        <f>--($G522=IF('الداشبورد'!$B$11="الكل",$G522,'الداشبورد'!$B$11))</f>
        <v/>
      </c>
      <c r="X522">
        <f>Q522*R522*S522*T522*U522*V522*W522*--($C522&lt;&gt;"")</f>
        <v/>
      </c>
    </row>
    <row r="523">
      <c r="A523" s="15" t="n">
        <v>6</v>
      </c>
      <c r="B523" s="15" t="inlineStr">
        <is>
          <t>M184788</t>
        </is>
      </c>
      <c r="C523" s="15" t="inlineStr">
        <is>
          <t>1385/26/12</t>
        </is>
      </c>
      <c r="D523" s="15" t="inlineStr">
        <is>
          <t>الشركة العربية للصناعة والتجارة الدولية</t>
        </is>
      </c>
      <c r="E523" s="15" t="inlineStr">
        <is>
          <t>LV</t>
        </is>
      </c>
      <c r="F523" s="15" t="inlineStr">
        <is>
          <t>0.6/1 KV 3X25+16</t>
        </is>
      </c>
      <c r="G523" s="15" t="inlineStr">
        <is>
          <t>EX13</t>
        </is>
      </c>
      <c r="H523" s="15" t="inlineStr">
        <is>
          <t>Wooden Drums</t>
        </is>
      </c>
      <c r="I523" s="15" t="inlineStr">
        <is>
          <t>OK</t>
        </is>
      </c>
      <c r="J523" s="15" t="inlineStr">
        <is>
          <t>A</t>
        </is>
      </c>
      <c r="K523" s="15" t="inlineStr">
        <is>
          <t>N</t>
        </is>
      </c>
      <c r="L523" s="15" t="n">
        <v>2005</v>
      </c>
      <c r="M523" s="16" t="n">
        <v>0.471175</v>
      </c>
      <c r="N523" s="16" t="n">
        <v>0</v>
      </c>
      <c r="O523" s="16" t="n">
        <v>0</v>
      </c>
      <c r="P523" s="16" t="n">
        <v>0.471175</v>
      </c>
      <c r="Q523">
        <f>--($A523=IF('الداشبورد'!$B$5="الكل",$A523,'الداشبورد'!$B$5))</f>
        <v/>
      </c>
      <c r="R523">
        <f>--($E523=IF('الداشبورد'!$B$6="الكل",$E523,'الداشبورد'!$B$6))</f>
        <v/>
      </c>
      <c r="S523">
        <f>--($K523=IF('الداشبورد'!$B$7="الكل",$K523,IF('الداشبورد'!$B$7="تصدير","Y","N")))</f>
        <v/>
      </c>
      <c r="T523">
        <f>--($J523=IF('الداشبورد'!$B$8="الكل",$J523,IF('الداشبورد'!$B$8="AL","A","C")))</f>
        <v/>
      </c>
      <c r="U523">
        <f>--($I523=IF('الداشبورد'!$B$9="الكل",$I523,IF('الداشبورد'!$B$9="بدون حالة","P",'الداشبورد'!$B$9)))</f>
        <v/>
      </c>
      <c r="V523">
        <f>--($D523=IF('الداشبورد'!$B$10="الكل",$D523,'الداشبورد'!$B$10))</f>
        <v/>
      </c>
      <c r="W523">
        <f>--($G523=IF('الداشبورد'!$B$11="الكل",$G523,'الداشبورد'!$B$11))</f>
        <v/>
      </c>
      <c r="X523">
        <f>Q523*R523*S523*T523*U523*V523*W523*--($C523&lt;&gt;"")</f>
        <v/>
      </c>
    </row>
    <row r="524">
      <c r="A524" s="15" t="n">
        <v>6</v>
      </c>
      <c r="B524" s="15" t="inlineStr">
        <is>
          <t>K184789</t>
        </is>
      </c>
      <c r="C524" s="15" t="inlineStr">
        <is>
          <t>1385/26/12</t>
        </is>
      </c>
      <c r="D524" s="15" t="inlineStr">
        <is>
          <t>الشركة العربية للصناعة والتجارة الدولية</t>
        </is>
      </c>
      <c r="E524" s="15" t="inlineStr">
        <is>
          <t>LV</t>
        </is>
      </c>
      <c r="F524" s="15" t="inlineStr">
        <is>
          <t>0.6/1 KV 3X25+16</t>
        </is>
      </c>
      <c r="G524" s="15" t="inlineStr">
        <is>
          <t>EX13</t>
        </is>
      </c>
      <c r="H524" s="15" t="inlineStr">
        <is>
          <t>Wooden Drums</t>
        </is>
      </c>
      <c r="I524" s="15" t="inlineStr">
        <is>
          <t>OK</t>
        </is>
      </c>
      <c r="J524" s="15" t="inlineStr">
        <is>
          <t>A</t>
        </is>
      </c>
      <c r="K524" s="15" t="inlineStr">
        <is>
          <t>N</t>
        </is>
      </c>
      <c r="L524" s="15" t="n">
        <v>1413</v>
      </c>
      <c r="M524" s="16" t="n">
        <v>0.332055</v>
      </c>
      <c r="N524" s="16" t="n">
        <v>0</v>
      </c>
      <c r="O524" s="16" t="n">
        <v>0</v>
      </c>
      <c r="P524" s="16" t="n">
        <v>0.332055</v>
      </c>
      <c r="Q524">
        <f>--($A524=IF('الداشبورد'!$B$5="الكل",$A524,'الداشبورد'!$B$5))</f>
        <v/>
      </c>
      <c r="R524">
        <f>--($E524=IF('الداشبورد'!$B$6="الكل",$E524,'الداشبورد'!$B$6))</f>
        <v/>
      </c>
      <c r="S524">
        <f>--($K524=IF('الداشبورد'!$B$7="الكل",$K524,IF('الداشبورد'!$B$7="تصدير","Y","N")))</f>
        <v/>
      </c>
      <c r="T524">
        <f>--($J524=IF('الداشبورد'!$B$8="الكل",$J524,IF('الداشبورد'!$B$8="AL","A","C")))</f>
        <v/>
      </c>
      <c r="U524">
        <f>--($I524=IF('الداشبورد'!$B$9="الكل",$I524,IF('الداشبورد'!$B$9="بدون حالة","P",'الداشبورد'!$B$9)))</f>
        <v/>
      </c>
      <c r="V524">
        <f>--($D524=IF('الداشبورد'!$B$10="الكل",$D524,'الداشبورد'!$B$10))</f>
        <v/>
      </c>
      <c r="W524">
        <f>--($G524=IF('الداشبورد'!$B$11="الكل",$G524,'الداشبورد'!$B$11))</f>
        <v/>
      </c>
      <c r="X524">
        <f>Q524*R524*S524*T524*U524*V524*W524*--($C524&lt;&gt;"")</f>
        <v/>
      </c>
    </row>
    <row r="525">
      <c r="A525" s="15" t="n">
        <v>6</v>
      </c>
      <c r="B525" s="15" t="inlineStr">
        <is>
          <t>L184824</t>
        </is>
      </c>
      <c r="C525" s="15" t="inlineStr">
        <is>
          <t>1385/26/12</t>
        </is>
      </c>
      <c r="D525" s="15" t="inlineStr">
        <is>
          <t>الشركة العربية للصناعة والتجارة الدولية</t>
        </is>
      </c>
      <c r="E525" s="15" t="inlineStr">
        <is>
          <t>LV</t>
        </is>
      </c>
      <c r="F525" s="15" t="inlineStr">
        <is>
          <t>0.6/1 KV 3X25+16</t>
        </is>
      </c>
      <c r="G525" s="15" t="inlineStr">
        <is>
          <t>EX13</t>
        </is>
      </c>
      <c r="H525" s="15" t="inlineStr">
        <is>
          <t>Wooden Drums</t>
        </is>
      </c>
      <c r="I525" s="15" t="inlineStr">
        <is>
          <t>OK</t>
        </is>
      </c>
      <c r="J525" s="15" t="inlineStr">
        <is>
          <t>A</t>
        </is>
      </c>
      <c r="K525" s="15" t="inlineStr">
        <is>
          <t>N</t>
        </is>
      </c>
      <c r="L525" s="15" t="n">
        <v>2030</v>
      </c>
      <c r="M525" s="16" t="n">
        <v>0.47705</v>
      </c>
      <c r="N525" s="16" t="n">
        <v>0</v>
      </c>
      <c r="O525" s="16" t="n">
        <v>0</v>
      </c>
      <c r="P525" s="16" t="n">
        <v>0.47705</v>
      </c>
      <c r="Q525">
        <f>--($A525=IF('الداشبورد'!$B$5="الكل",$A525,'الداشبورد'!$B$5))</f>
        <v/>
      </c>
      <c r="R525">
        <f>--($E525=IF('الداشبورد'!$B$6="الكل",$E525,'الداشبورد'!$B$6))</f>
        <v/>
      </c>
      <c r="S525">
        <f>--($K525=IF('الداشبورد'!$B$7="الكل",$K525,IF('الداشبورد'!$B$7="تصدير","Y","N")))</f>
        <v/>
      </c>
      <c r="T525">
        <f>--($J525=IF('الداشبورد'!$B$8="الكل",$J525,IF('الداشبورد'!$B$8="AL","A","C")))</f>
        <v/>
      </c>
      <c r="U525">
        <f>--($I525=IF('الداشبورد'!$B$9="الكل",$I525,IF('الداشبورد'!$B$9="بدون حالة","P",'الداشبورد'!$B$9)))</f>
        <v/>
      </c>
      <c r="V525">
        <f>--($D525=IF('الداشبورد'!$B$10="الكل",$D525,'الداشبورد'!$B$10))</f>
        <v/>
      </c>
      <c r="W525">
        <f>--($G525=IF('الداشبورد'!$B$11="الكل",$G525,'الداشبورد'!$B$11))</f>
        <v/>
      </c>
      <c r="X525">
        <f>Q525*R525*S525*T525*U525*V525*W525*--($C525&lt;&gt;"")</f>
        <v/>
      </c>
    </row>
    <row r="526">
      <c r="A526" s="15" t="n">
        <v>6</v>
      </c>
      <c r="B526" s="15" t="inlineStr">
        <is>
          <t>L184831</t>
        </is>
      </c>
      <c r="C526" s="15" t="inlineStr">
        <is>
          <t>1385/26/12</t>
        </is>
      </c>
      <c r="D526" s="15" t="inlineStr">
        <is>
          <t>الشركة العربية للصناعة والتجارة الدولية</t>
        </is>
      </c>
      <c r="E526" s="15" t="inlineStr">
        <is>
          <t>LV</t>
        </is>
      </c>
      <c r="F526" s="15" t="inlineStr">
        <is>
          <t>0.6/1 KV 3X25+16</t>
        </is>
      </c>
      <c r="G526" s="15" t="inlineStr">
        <is>
          <t>EX13</t>
        </is>
      </c>
      <c r="H526" s="15" t="inlineStr">
        <is>
          <t>Wooden Drums</t>
        </is>
      </c>
      <c r="I526" s="15" t="inlineStr">
        <is>
          <t>OK</t>
        </is>
      </c>
      <c r="J526" s="15" t="inlineStr">
        <is>
          <t>A</t>
        </is>
      </c>
      <c r="K526" s="15" t="inlineStr">
        <is>
          <t>N</t>
        </is>
      </c>
      <c r="L526" s="15" t="n">
        <v>2050</v>
      </c>
      <c r="M526" s="16" t="n">
        <v>0.48175</v>
      </c>
      <c r="N526" s="16" t="n">
        <v>0</v>
      </c>
      <c r="O526" s="16" t="n">
        <v>0</v>
      </c>
      <c r="P526" s="16" t="n">
        <v>0.48175</v>
      </c>
      <c r="Q526">
        <f>--($A526=IF('الداشبورد'!$B$5="الكل",$A526,'الداشبورد'!$B$5))</f>
        <v/>
      </c>
      <c r="R526">
        <f>--($E526=IF('الداشبورد'!$B$6="الكل",$E526,'الداشبورد'!$B$6))</f>
        <v/>
      </c>
      <c r="S526">
        <f>--($K526=IF('الداشبورد'!$B$7="الكل",$K526,IF('الداشبورد'!$B$7="تصدير","Y","N")))</f>
        <v/>
      </c>
      <c r="T526">
        <f>--($J526=IF('الداشبورد'!$B$8="الكل",$J526,IF('الداشبورد'!$B$8="AL","A","C")))</f>
        <v/>
      </c>
      <c r="U526">
        <f>--($I526=IF('الداشبورد'!$B$9="الكل",$I526,IF('الداشبورد'!$B$9="بدون حالة","P",'الداشبورد'!$B$9)))</f>
        <v/>
      </c>
      <c r="V526">
        <f>--($D526=IF('الداشبورد'!$B$10="الكل",$D526,'الداشبورد'!$B$10))</f>
        <v/>
      </c>
      <c r="W526">
        <f>--($G526=IF('الداشبورد'!$B$11="الكل",$G526,'الداشبورد'!$B$11))</f>
        <v/>
      </c>
      <c r="X526">
        <f>Q526*R526*S526*T526*U526*V526*W526*--($C526&lt;&gt;"")</f>
        <v/>
      </c>
    </row>
    <row r="527">
      <c r="A527" s="15" t="n">
        <v>6</v>
      </c>
      <c r="B527" s="15" t="inlineStr">
        <is>
          <t>J184818</t>
        </is>
      </c>
      <c r="C527" s="15" t="inlineStr">
        <is>
          <t>1385/26/12</t>
        </is>
      </c>
      <c r="D527" s="15" t="inlineStr">
        <is>
          <t>الشركة العربية للصناعة والتجارة الدولية</t>
        </is>
      </c>
      <c r="E527" s="15" t="inlineStr">
        <is>
          <t>LV</t>
        </is>
      </c>
      <c r="F527" s="15" t="inlineStr">
        <is>
          <t>0.6/1 KV 3X25+16</t>
        </is>
      </c>
      <c r="G527" s="15" t="inlineStr">
        <is>
          <t>EX13</t>
        </is>
      </c>
      <c r="H527" s="15" t="inlineStr">
        <is>
          <t>Wooden Drums</t>
        </is>
      </c>
      <c r="I527" s="15" t="inlineStr">
        <is>
          <t>OK</t>
        </is>
      </c>
      <c r="J527" s="15" t="inlineStr">
        <is>
          <t>A</t>
        </is>
      </c>
      <c r="K527" s="15" t="inlineStr">
        <is>
          <t>N</t>
        </is>
      </c>
      <c r="L527" s="15" t="n">
        <v>363</v>
      </c>
      <c r="M527" s="16" t="n">
        <v>0.08530499999999999</v>
      </c>
      <c r="N527" s="16" t="n">
        <v>0</v>
      </c>
      <c r="O527" s="16" t="n">
        <v>0</v>
      </c>
      <c r="P527" s="16" t="n">
        <v>0.08530499999999999</v>
      </c>
      <c r="Q527">
        <f>--($A527=IF('الداشبورد'!$B$5="الكل",$A527,'الداشبورد'!$B$5))</f>
        <v/>
      </c>
      <c r="R527">
        <f>--($E527=IF('الداشبورد'!$B$6="الكل",$E527,'الداشبورد'!$B$6))</f>
        <v/>
      </c>
      <c r="S527">
        <f>--($K527=IF('الداشبورد'!$B$7="الكل",$K527,IF('الداشبورد'!$B$7="تصدير","Y","N")))</f>
        <v/>
      </c>
      <c r="T527">
        <f>--($J527=IF('الداشبورد'!$B$8="الكل",$J527,IF('الداشبورد'!$B$8="AL","A","C")))</f>
        <v/>
      </c>
      <c r="U527">
        <f>--($I527=IF('الداشبورد'!$B$9="الكل",$I527,IF('الداشبورد'!$B$9="بدون حالة","P",'الداشبورد'!$B$9)))</f>
        <v/>
      </c>
      <c r="V527">
        <f>--($D527=IF('الداشبورد'!$B$10="الكل",$D527,'الداشبورد'!$B$10))</f>
        <v/>
      </c>
      <c r="W527">
        <f>--($G527=IF('الداشبورد'!$B$11="الكل",$G527,'الداشبورد'!$B$11))</f>
        <v/>
      </c>
      <c r="X527">
        <f>Q527*R527*S527*T527*U527*V527*W527*--($C527&lt;&gt;"")</f>
        <v/>
      </c>
    </row>
    <row r="528">
      <c r="A528" s="15" t="n">
        <v>6</v>
      </c>
      <c r="B528" s="15" t="inlineStr">
        <is>
          <t>H184773</t>
        </is>
      </c>
      <c r="C528" s="15" t="inlineStr">
        <is>
          <t>1663/26/01</t>
        </is>
      </c>
      <c r="D528" s="15" t="inlineStr">
        <is>
          <t>مؤسسة جبريل هانى جبريل احمد</t>
        </is>
      </c>
      <c r="E528" s="15" t="inlineStr">
        <is>
          <t>CC</t>
        </is>
      </c>
      <c r="F528" s="15" t="inlineStr">
        <is>
          <t>0.6/1 KV 3X1.5</t>
        </is>
      </c>
      <c r="G528" s="15" t="inlineStr">
        <is>
          <t>EX14</t>
        </is>
      </c>
      <c r="H528" s="15" t="inlineStr">
        <is>
          <t>Wooden Drums</t>
        </is>
      </c>
      <c r="I528" s="15" t="inlineStr">
        <is>
          <t>OK</t>
        </is>
      </c>
      <c r="J528" s="15" t="inlineStr">
        <is>
          <t>C</t>
        </is>
      </c>
      <c r="K528" s="15" t="inlineStr">
        <is>
          <t>N</t>
        </is>
      </c>
      <c r="L528" s="15" t="n">
        <v>5020</v>
      </c>
      <c r="M528" s="16" t="n">
        <v>0.2008</v>
      </c>
      <c r="N528" s="16" t="n">
        <v>0</v>
      </c>
      <c r="O528" s="16" t="n">
        <v>0</v>
      </c>
      <c r="P528" s="16" t="n">
        <v>0.2008</v>
      </c>
      <c r="Q528">
        <f>--($A528=IF('الداشبورد'!$B$5="الكل",$A528,'الداشبورد'!$B$5))</f>
        <v/>
      </c>
      <c r="R528">
        <f>--($E528=IF('الداشبورد'!$B$6="الكل",$E528,'الداشبورد'!$B$6))</f>
        <v/>
      </c>
      <c r="S528">
        <f>--($K528=IF('الداشبورد'!$B$7="الكل",$K528,IF('الداشبورد'!$B$7="تصدير","Y","N")))</f>
        <v/>
      </c>
      <c r="T528">
        <f>--($J528=IF('الداشبورد'!$B$8="الكل",$J528,IF('الداشبورد'!$B$8="AL","A","C")))</f>
        <v/>
      </c>
      <c r="U528">
        <f>--($I528=IF('الداشبورد'!$B$9="الكل",$I528,IF('الداشبورد'!$B$9="بدون حالة","P",'الداشبورد'!$B$9)))</f>
        <v/>
      </c>
      <c r="V528">
        <f>--($D528=IF('الداشبورد'!$B$10="الكل",$D528,'الداشبورد'!$B$10))</f>
        <v/>
      </c>
      <c r="W528">
        <f>--($G528=IF('الداشبورد'!$B$11="الكل",$G528,'الداشبورد'!$B$11))</f>
        <v/>
      </c>
      <c r="X528">
        <f>Q528*R528*S528*T528*U528*V528*W528*--($C528&lt;&gt;"")</f>
        <v/>
      </c>
    </row>
    <row r="529">
      <c r="A529" s="15" t="n">
        <v>6</v>
      </c>
      <c r="B529" s="15" t="inlineStr">
        <is>
          <t>J184771</t>
        </is>
      </c>
      <c r="C529" s="15" t="inlineStr">
        <is>
          <t>1663/26/01</t>
        </is>
      </c>
      <c r="D529" s="15" t="inlineStr">
        <is>
          <t>مؤسسة جبريل هانى جبريل احمد</t>
        </is>
      </c>
      <c r="E529" s="15" t="inlineStr">
        <is>
          <t>CC</t>
        </is>
      </c>
      <c r="F529" s="15" t="inlineStr">
        <is>
          <t>0.6/1 KV 3X1.5</t>
        </is>
      </c>
      <c r="G529" s="15" t="inlineStr">
        <is>
          <t>EX14</t>
        </is>
      </c>
      <c r="H529" s="15" t="inlineStr">
        <is>
          <t>Wooden Drums</t>
        </is>
      </c>
      <c r="I529" s="15" t="inlineStr">
        <is>
          <t>OK</t>
        </is>
      </c>
      <c r="J529" s="15" t="inlineStr">
        <is>
          <t>C</t>
        </is>
      </c>
      <c r="K529" s="15" t="inlineStr">
        <is>
          <t>N</t>
        </is>
      </c>
      <c r="L529" s="15" t="n">
        <v>5103</v>
      </c>
      <c r="M529" s="16" t="n">
        <v>0.20412</v>
      </c>
      <c r="N529" s="16" t="n">
        <v>0</v>
      </c>
      <c r="O529" s="16" t="n">
        <v>0</v>
      </c>
      <c r="P529" s="16" t="n">
        <v>0.20412</v>
      </c>
      <c r="Q529">
        <f>--($A529=IF('الداشبورد'!$B$5="الكل",$A529,'الداشبورد'!$B$5))</f>
        <v/>
      </c>
      <c r="R529">
        <f>--($E529=IF('الداشبورد'!$B$6="الكل",$E529,'الداشبورد'!$B$6))</f>
        <v/>
      </c>
      <c r="S529">
        <f>--($K529=IF('الداشبورد'!$B$7="الكل",$K529,IF('الداشبورد'!$B$7="تصدير","Y","N")))</f>
        <v/>
      </c>
      <c r="T529">
        <f>--($J529=IF('الداشبورد'!$B$8="الكل",$J529,IF('الداشبورد'!$B$8="AL","A","C")))</f>
        <v/>
      </c>
      <c r="U529">
        <f>--($I529=IF('الداشبورد'!$B$9="الكل",$I529,IF('الداشبورد'!$B$9="بدون حالة","P",'الداشبورد'!$B$9)))</f>
        <v/>
      </c>
      <c r="V529">
        <f>--($D529=IF('الداشبورد'!$B$10="الكل",$D529,'الداشبورد'!$B$10))</f>
        <v/>
      </c>
      <c r="W529">
        <f>--($G529=IF('الداشبورد'!$B$11="الكل",$G529,'الداشبورد'!$B$11))</f>
        <v/>
      </c>
      <c r="X529">
        <f>Q529*R529*S529*T529*U529*V529*W529*--($C529&lt;&gt;"")</f>
        <v/>
      </c>
    </row>
    <row r="530">
      <c r="A530" s="15" t="n">
        <v>6</v>
      </c>
      <c r="B530" s="15" t="inlineStr">
        <is>
          <t>H184774</t>
        </is>
      </c>
      <c r="C530" s="15" t="inlineStr">
        <is>
          <t>1663/26/01</t>
        </is>
      </c>
      <c r="D530" s="15" t="inlineStr">
        <is>
          <t>مؤسسة جبريل هانى جبريل احمد</t>
        </is>
      </c>
      <c r="E530" s="15" t="inlineStr">
        <is>
          <t>CC</t>
        </is>
      </c>
      <c r="F530" s="15" t="inlineStr">
        <is>
          <t>0.6/1 KV 3X1.5</t>
        </is>
      </c>
      <c r="G530" s="15" t="inlineStr">
        <is>
          <t>EX14</t>
        </is>
      </c>
      <c r="H530" s="15" t="inlineStr">
        <is>
          <t>Wooden Drums</t>
        </is>
      </c>
      <c r="I530" s="15" t="inlineStr">
        <is>
          <t>OK</t>
        </is>
      </c>
      <c r="J530" s="15" t="inlineStr">
        <is>
          <t>C</t>
        </is>
      </c>
      <c r="K530" s="15" t="inlineStr">
        <is>
          <t>N</t>
        </is>
      </c>
      <c r="L530" s="15" t="n">
        <v>4940</v>
      </c>
      <c r="M530" s="16" t="n">
        <v>0.1976</v>
      </c>
      <c r="N530" s="16" t="n">
        <v>0</v>
      </c>
      <c r="O530" s="16" t="n">
        <v>0</v>
      </c>
      <c r="P530" s="16" t="n">
        <v>0.1976</v>
      </c>
      <c r="Q530">
        <f>--($A530=IF('الداشبورد'!$B$5="الكل",$A530,'الداشبورد'!$B$5))</f>
        <v/>
      </c>
      <c r="R530">
        <f>--($E530=IF('الداشبورد'!$B$6="الكل",$E530,'الداشبورد'!$B$6))</f>
        <v/>
      </c>
      <c r="S530">
        <f>--($K530=IF('الداشبورد'!$B$7="الكل",$K530,IF('الداشبورد'!$B$7="تصدير","Y","N")))</f>
        <v/>
      </c>
      <c r="T530">
        <f>--($J530=IF('الداشبورد'!$B$8="الكل",$J530,IF('الداشبورد'!$B$8="AL","A","C")))</f>
        <v/>
      </c>
      <c r="U530">
        <f>--($I530=IF('الداشبورد'!$B$9="الكل",$I530,IF('الداشبورد'!$B$9="بدون حالة","P",'الداشبورد'!$B$9)))</f>
        <v/>
      </c>
      <c r="V530">
        <f>--($D530=IF('الداشبورد'!$B$10="الكل",$D530,'الداشبورد'!$B$10))</f>
        <v/>
      </c>
      <c r="W530">
        <f>--($G530=IF('الداشبورد'!$B$11="الكل",$G530,'الداشبورد'!$B$11))</f>
        <v/>
      </c>
      <c r="X530">
        <f>Q530*R530*S530*T530*U530*V530*W530*--($C530&lt;&gt;"")</f>
        <v/>
      </c>
    </row>
    <row r="531">
      <c r="A531" s="15" t="n">
        <v>6</v>
      </c>
      <c r="B531" s="15" t="inlineStr">
        <is>
          <t>P184745</t>
        </is>
      </c>
      <c r="C531" s="15" t="inlineStr">
        <is>
          <t>1410/26/05</t>
        </is>
      </c>
      <c r="D531" s="15" t="inlineStr">
        <is>
          <t>Sadacavi</t>
        </is>
      </c>
      <c r="E531" s="15" t="inlineStr">
        <is>
          <t>MV</t>
        </is>
      </c>
      <c r="F531" s="15" t="inlineStr">
        <is>
          <t>12/20 KV 1X240</t>
        </is>
      </c>
      <c r="G531" s="15" t="inlineStr">
        <is>
          <t>EX06</t>
        </is>
      </c>
      <c r="H531" s="15" t="inlineStr">
        <is>
          <t>Wooden Drums</t>
        </is>
      </c>
      <c r="I531" s="15" t="inlineStr">
        <is>
          <t>Hold</t>
        </is>
      </c>
      <c r="J531" s="15" t="inlineStr">
        <is>
          <t>A</t>
        </is>
      </c>
      <c r="K531" s="15" t="inlineStr">
        <is>
          <t>Y</t>
        </is>
      </c>
      <c r="L531" s="15" t="n">
        <v>1575</v>
      </c>
      <c r="M531" s="16" t="n">
        <v>0.98595</v>
      </c>
      <c r="N531" s="16" t="n">
        <v>0</v>
      </c>
      <c r="O531" s="16" t="n">
        <v>0</v>
      </c>
      <c r="P531" s="16" t="n">
        <v>0.98595</v>
      </c>
      <c r="Q531">
        <f>--($A531=IF('الداشبورد'!$B$5="الكل",$A531,'الداشبورد'!$B$5))</f>
        <v/>
      </c>
      <c r="R531">
        <f>--($E531=IF('الداشبورد'!$B$6="الكل",$E531,'الداشبورد'!$B$6))</f>
        <v/>
      </c>
      <c r="S531">
        <f>--($K531=IF('الداشبورد'!$B$7="الكل",$K531,IF('الداشبورد'!$B$7="تصدير","Y","N")))</f>
        <v/>
      </c>
      <c r="T531">
        <f>--($J531=IF('الداشبورد'!$B$8="الكل",$J531,IF('الداشبورد'!$B$8="AL","A","C")))</f>
        <v/>
      </c>
      <c r="U531">
        <f>--($I531=IF('الداشبورد'!$B$9="الكل",$I531,IF('الداشبورد'!$B$9="بدون حالة","P",'الداشبورد'!$B$9)))</f>
        <v/>
      </c>
      <c r="V531">
        <f>--($D531=IF('الداشبورد'!$B$10="الكل",$D531,'الداشبورد'!$B$10))</f>
        <v/>
      </c>
      <c r="W531">
        <f>--($G531=IF('الداشبورد'!$B$11="الكل",$G531,'الداشبورد'!$B$11))</f>
        <v/>
      </c>
      <c r="X531">
        <f>Q531*R531*S531*T531*U531*V531*W531*--($C531&lt;&gt;"")</f>
        <v/>
      </c>
    </row>
    <row r="532">
      <c r="A532" s="15" t="n">
        <v>6</v>
      </c>
      <c r="B532" s="15" t="inlineStr">
        <is>
          <t>P184744</t>
        </is>
      </c>
      <c r="C532" s="15" t="inlineStr">
        <is>
          <t>1410/26/05</t>
        </is>
      </c>
      <c r="D532" s="15" t="inlineStr">
        <is>
          <t>Sadacavi</t>
        </is>
      </c>
      <c r="E532" s="15" t="inlineStr">
        <is>
          <t>MV</t>
        </is>
      </c>
      <c r="F532" s="15" t="inlineStr">
        <is>
          <t>12/20 KV 1X240</t>
        </is>
      </c>
      <c r="G532" s="15" t="inlineStr">
        <is>
          <t>EX06</t>
        </is>
      </c>
      <c r="H532" s="15" t="inlineStr">
        <is>
          <t>Wooden Drums</t>
        </is>
      </c>
      <c r="I532" s="15" t="inlineStr">
        <is>
          <t>OK</t>
        </is>
      </c>
      <c r="J532" s="15" t="inlineStr">
        <is>
          <t>A</t>
        </is>
      </c>
      <c r="K532" s="15" t="inlineStr">
        <is>
          <t>Y</t>
        </is>
      </c>
      <c r="L532" s="15" t="n">
        <v>1570</v>
      </c>
      <c r="M532" s="16" t="n">
        <v>0.98282</v>
      </c>
      <c r="N532" s="16" t="n">
        <v>0</v>
      </c>
      <c r="O532" s="16" t="n">
        <v>0</v>
      </c>
      <c r="P532" s="16" t="n">
        <v>0.98282</v>
      </c>
      <c r="Q532">
        <f>--($A532=IF('الداشبورد'!$B$5="الكل",$A532,'الداشبورد'!$B$5))</f>
        <v/>
      </c>
      <c r="R532">
        <f>--($E532=IF('الداشبورد'!$B$6="الكل",$E532,'الداشبورد'!$B$6))</f>
        <v/>
      </c>
      <c r="S532">
        <f>--($K532=IF('الداشبورد'!$B$7="الكل",$K532,IF('الداشبورد'!$B$7="تصدير","Y","N")))</f>
        <v/>
      </c>
      <c r="T532">
        <f>--($J532=IF('الداشبورد'!$B$8="الكل",$J532,IF('الداشبورد'!$B$8="AL","A","C")))</f>
        <v/>
      </c>
      <c r="U532">
        <f>--($I532=IF('الداشبورد'!$B$9="الكل",$I532,IF('الداشبورد'!$B$9="بدون حالة","P",'الداشبورد'!$B$9)))</f>
        <v/>
      </c>
      <c r="V532">
        <f>--($D532=IF('الداشبورد'!$B$10="الكل",$D532,'الداشبورد'!$B$10))</f>
        <v/>
      </c>
      <c r="W532">
        <f>--($G532=IF('الداشبورد'!$B$11="الكل",$G532,'الداشبورد'!$B$11))</f>
        <v/>
      </c>
      <c r="X532">
        <f>Q532*R532*S532*T532*U532*V532*W532*--($C532&lt;&gt;"")</f>
        <v/>
      </c>
    </row>
    <row r="533">
      <c r="A533" s="15" t="n">
        <v>6</v>
      </c>
      <c r="B533" s="15" t="inlineStr">
        <is>
          <t>P184723</t>
        </is>
      </c>
      <c r="C533" s="15" t="inlineStr">
        <is>
          <t>1410/26/05</t>
        </is>
      </c>
      <c r="D533" s="15" t="inlineStr">
        <is>
          <t>Sadacavi</t>
        </is>
      </c>
      <c r="E533" s="15" t="inlineStr">
        <is>
          <t>MV</t>
        </is>
      </c>
      <c r="F533" s="15" t="inlineStr">
        <is>
          <t>12/20 KV 1X240</t>
        </is>
      </c>
      <c r="G533" s="15" t="inlineStr">
        <is>
          <t>EX06</t>
        </is>
      </c>
      <c r="H533" s="15" t="inlineStr">
        <is>
          <t>Wooden Drums</t>
        </is>
      </c>
      <c r="I533" s="15" t="inlineStr">
        <is>
          <t>OK</t>
        </is>
      </c>
      <c r="J533" s="15" t="inlineStr">
        <is>
          <t>A</t>
        </is>
      </c>
      <c r="K533" s="15" t="inlineStr">
        <is>
          <t>Y</t>
        </is>
      </c>
      <c r="L533" s="15" t="n">
        <v>1550</v>
      </c>
      <c r="M533" s="16" t="n">
        <v>0.9702999999999999</v>
      </c>
      <c r="N533" s="16" t="n">
        <v>0</v>
      </c>
      <c r="O533" s="16" t="n">
        <v>0</v>
      </c>
      <c r="P533" s="16" t="n">
        <v>0.9702999999999999</v>
      </c>
      <c r="Q533">
        <f>--($A533=IF('الداشبورد'!$B$5="الكل",$A533,'الداشبورد'!$B$5))</f>
        <v/>
      </c>
      <c r="R533">
        <f>--($E533=IF('الداشبورد'!$B$6="الكل",$E533,'الداشبورد'!$B$6))</f>
        <v/>
      </c>
      <c r="S533">
        <f>--($K533=IF('الداشبورد'!$B$7="الكل",$K533,IF('الداشبورد'!$B$7="تصدير","Y","N")))</f>
        <v/>
      </c>
      <c r="T533">
        <f>--($J533=IF('الداشبورد'!$B$8="الكل",$J533,IF('الداشبورد'!$B$8="AL","A","C")))</f>
        <v/>
      </c>
      <c r="U533">
        <f>--($I533=IF('الداشبورد'!$B$9="الكل",$I533,IF('الداشبورد'!$B$9="بدون حالة","P",'الداشبورد'!$B$9)))</f>
        <v/>
      </c>
      <c r="V533">
        <f>--($D533=IF('الداشبورد'!$B$10="الكل",$D533,'الداشبورد'!$B$10))</f>
        <v/>
      </c>
      <c r="W533">
        <f>--($G533=IF('الداشبورد'!$B$11="الكل",$G533,'الداشبورد'!$B$11))</f>
        <v/>
      </c>
      <c r="X533">
        <f>Q533*R533*S533*T533*U533*V533*W533*--($C533&lt;&gt;"")</f>
        <v/>
      </c>
    </row>
    <row r="534">
      <c r="A534" s="15" t="n">
        <v>6</v>
      </c>
      <c r="B534" s="15" t="inlineStr">
        <is>
          <t>P184819</t>
        </is>
      </c>
      <c r="C534" s="15" t="inlineStr">
        <is>
          <t>1410/26/04</t>
        </is>
      </c>
      <c r="D534" s="15" t="inlineStr">
        <is>
          <t>Sadacavi</t>
        </is>
      </c>
      <c r="E534" s="15" t="inlineStr">
        <is>
          <t>MV</t>
        </is>
      </c>
      <c r="F534" s="15" t="inlineStr">
        <is>
          <t>12/20 KV 1X95</t>
        </is>
      </c>
      <c r="G534" s="15" t="inlineStr">
        <is>
          <t>EX06</t>
        </is>
      </c>
      <c r="H534" s="15" t="inlineStr">
        <is>
          <t>Wooden Drums</t>
        </is>
      </c>
      <c r="I534" s="15" t="inlineStr">
        <is>
          <t>OK</t>
        </is>
      </c>
      <c r="J534" s="15" t="inlineStr">
        <is>
          <t>A</t>
        </is>
      </c>
      <c r="K534" s="15" t="inlineStr">
        <is>
          <t>Y</t>
        </is>
      </c>
      <c r="L534" s="15" t="n">
        <v>2038</v>
      </c>
      <c r="M534" s="16" t="n">
        <v>0.49931</v>
      </c>
      <c r="N534" s="16" t="n">
        <v>0</v>
      </c>
      <c r="O534" s="16" t="n">
        <v>0</v>
      </c>
      <c r="P534" s="16" t="n">
        <v>0.49931</v>
      </c>
      <c r="Q534">
        <f>--($A534=IF('الداشبورد'!$B$5="الكل",$A534,'الداشبورد'!$B$5))</f>
        <v/>
      </c>
      <c r="R534">
        <f>--($E534=IF('الداشبورد'!$B$6="الكل",$E534,'الداشبورد'!$B$6))</f>
        <v/>
      </c>
      <c r="S534">
        <f>--($K534=IF('الداشبورد'!$B$7="الكل",$K534,IF('الداشبورد'!$B$7="تصدير","Y","N")))</f>
        <v/>
      </c>
      <c r="T534">
        <f>--($J534=IF('الداشبورد'!$B$8="الكل",$J534,IF('الداشبورد'!$B$8="AL","A","C")))</f>
        <v/>
      </c>
      <c r="U534">
        <f>--($I534=IF('الداشبورد'!$B$9="الكل",$I534,IF('الداشبورد'!$B$9="بدون حالة","P",'الداشبورد'!$B$9)))</f>
        <v/>
      </c>
      <c r="V534">
        <f>--($D534=IF('الداشبورد'!$B$10="الكل",$D534,'الداشبورد'!$B$10))</f>
        <v/>
      </c>
      <c r="W534">
        <f>--($G534=IF('الداشبورد'!$B$11="الكل",$G534,'الداشبورد'!$B$11))</f>
        <v/>
      </c>
      <c r="X534">
        <f>Q534*R534*S534*T534*U534*V534*W534*--($C534&lt;&gt;"")</f>
        <v/>
      </c>
    </row>
    <row r="535">
      <c r="A535" s="15" t="n">
        <v>6</v>
      </c>
      <c r="B535" s="15" t="inlineStr">
        <is>
          <t>P184807</t>
        </is>
      </c>
      <c r="C535" s="15" t="inlineStr">
        <is>
          <t>1410/26/04</t>
        </is>
      </c>
      <c r="D535" s="15" t="inlineStr">
        <is>
          <t>Sadacavi</t>
        </is>
      </c>
      <c r="E535" s="15" t="inlineStr">
        <is>
          <t>MV</t>
        </is>
      </c>
      <c r="F535" s="15" t="inlineStr">
        <is>
          <t>12/20 KV 1X95</t>
        </is>
      </c>
      <c r="G535" s="15" t="inlineStr">
        <is>
          <t>EX06</t>
        </is>
      </c>
      <c r="H535" s="15" t="inlineStr">
        <is>
          <t>Wooden Drums</t>
        </is>
      </c>
      <c r="I535" s="15" t="inlineStr">
        <is>
          <t>OK</t>
        </is>
      </c>
      <c r="J535" s="15" t="inlineStr">
        <is>
          <t>A</t>
        </is>
      </c>
      <c r="K535" s="15" t="inlineStr">
        <is>
          <t>Y</t>
        </is>
      </c>
      <c r="L535" s="15" t="n">
        <v>2064</v>
      </c>
      <c r="M535" s="16" t="n">
        <v>0.50568</v>
      </c>
      <c r="N535" s="16" t="n">
        <v>0</v>
      </c>
      <c r="O535" s="16" t="n">
        <v>0</v>
      </c>
      <c r="P535" s="16" t="n">
        <v>0.50568</v>
      </c>
      <c r="Q535">
        <f>--($A535=IF('الداشبورد'!$B$5="الكل",$A535,'الداشبورد'!$B$5))</f>
        <v/>
      </c>
      <c r="R535">
        <f>--($E535=IF('الداشبورد'!$B$6="الكل",$E535,'الداشبورد'!$B$6))</f>
        <v/>
      </c>
      <c r="S535">
        <f>--($K535=IF('الداشبورد'!$B$7="الكل",$K535,IF('الداشبورد'!$B$7="تصدير","Y","N")))</f>
        <v/>
      </c>
      <c r="T535">
        <f>--($J535=IF('الداشبورد'!$B$8="الكل",$J535,IF('الداشبورد'!$B$8="AL","A","C")))</f>
        <v/>
      </c>
      <c r="U535">
        <f>--($I535=IF('الداشبورد'!$B$9="الكل",$I535,IF('الداشبورد'!$B$9="بدون حالة","P",'الداشبورد'!$B$9)))</f>
        <v/>
      </c>
      <c r="V535">
        <f>--($D535=IF('الداشبورد'!$B$10="الكل",$D535,'الداشبورد'!$B$10))</f>
        <v/>
      </c>
      <c r="W535">
        <f>--($G535=IF('الداشبورد'!$B$11="الكل",$G535,'الداشبورد'!$B$11))</f>
        <v/>
      </c>
      <c r="X535">
        <f>Q535*R535*S535*T535*U535*V535*W535*--($C535&lt;&gt;"")</f>
        <v/>
      </c>
    </row>
    <row r="536">
      <c r="A536" s="15" t="n">
        <v>6</v>
      </c>
      <c r="B536" s="15" t="inlineStr">
        <is>
          <t>P184712</t>
        </is>
      </c>
      <c r="C536" s="15" t="inlineStr">
        <is>
          <t>1521/26/01</t>
        </is>
      </c>
      <c r="D536" s="15" t="inlineStr">
        <is>
          <t>Eland Cables</t>
        </is>
      </c>
      <c r="E536" s="15" t="inlineStr">
        <is>
          <t>MV</t>
        </is>
      </c>
      <c r="F536" s="15" t="inlineStr">
        <is>
          <t>12/20 KV 1X630</t>
        </is>
      </c>
      <c r="G536" s="15" t="inlineStr">
        <is>
          <t>EX05</t>
        </is>
      </c>
      <c r="H536" s="15" t="inlineStr">
        <is>
          <t>Wooden Drums</t>
        </is>
      </c>
      <c r="I536" s="15" t="inlineStr">
        <is>
          <t>OK</t>
        </is>
      </c>
      <c r="J536" s="15" t="inlineStr">
        <is>
          <t>A</t>
        </is>
      </c>
      <c r="K536" s="15" t="inlineStr">
        <is>
          <t>Y</t>
        </is>
      </c>
      <c r="L536" s="15" t="n">
        <v>770</v>
      </c>
      <c r="M536" s="16" t="n">
        <v>1.309</v>
      </c>
      <c r="N536" s="16" t="n">
        <v>0.24178</v>
      </c>
      <c r="O536" s="16" t="n">
        <v>0</v>
      </c>
      <c r="P536" s="16" t="n">
        <v>1.55078</v>
      </c>
      <c r="Q536">
        <f>--($A536=IF('الداشبورد'!$B$5="الكل",$A536,'الداشبورد'!$B$5))</f>
        <v/>
      </c>
      <c r="R536">
        <f>--($E536=IF('الداشبورد'!$B$6="الكل",$E536,'الداشبورد'!$B$6))</f>
        <v/>
      </c>
      <c r="S536">
        <f>--($K536=IF('الداشبورد'!$B$7="الكل",$K536,IF('الداشبورد'!$B$7="تصدير","Y","N")))</f>
        <v/>
      </c>
      <c r="T536">
        <f>--($J536=IF('الداشبورد'!$B$8="الكل",$J536,IF('الداشبورد'!$B$8="AL","A","C")))</f>
        <v/>
      </c>
      <c r="U536">
        <f>--($I536=IF('الداشبورد'!$B$9="الكل",$I536,IF('الداشبورد'!$B$9="بدون حالة","P",'الداشبورد'!$B$9)))</f>
        <v/>
      </c>
      <c r="V536">
        <f>--($D536=IF('الداشبورد'!$B$10="الكل",$D536,'الداشبورد'!$B$10))</f>
        <v/>
      </c>
      <c r="W536">
        <f>--($G536=IF('الداشبورد'!$B$11="الكل",$G536,'الداشبورد'!$B$11))</f>
        <v/>
      </c>
      <c r="X536">
        <f>Q536*R536*S536*T536*U536*V536*W536*--($C536&lt;&gt;"")</f>
        <v/>
      </c>
    </row>
    <row r="537">
      <c r="A537" s="15" t="n">
        <v>6</v>
      </c>
      <c r="B537" s="15" t="inlineStr">
        <is>
          <t>P184711</t>
        </is>
      </c>
      <c r="C537" s="15" t="inlineStr">
        <is>
          <t>1521/26/01</t>
        </is>
      </c>
      <c r="D537" s="15" t="inlineStr">
        <is>
          <t>Eland Cables</t>
        </is>
      </c>
      <c r="E537" s="15" t="inlineStr">
        <is>
          <t>MV</t>
        </is>
      </c>
      <c r="F537" s="15" t="inlineStr">
        <is>
          <t>12/20 KV 1X630</t>
        </is>
      </c>
      <c r="G537" s="15" t="inlineStr">
        <is>
          <t>EX05</t>
        </is>
      </c>
      <c r="H537" s="15" t="inlineStr">
        <is>
          <t>Wooden Drums</t>
        </is>
      </c>
      <c r="I537" s="15" t="inlineStr">
        <is>
          <t>OK</t>
        </is>
      </c>
      <c r="J537" s="15" t="inlineStr">
        <is>
          <t>A</t>
        </is>
      </c>
      <c r="K537" s="15" t="inlineStr">
        <is>
          <t>Y</t>
        </is>
      </c>
      <c r="L537" s="15" t="n">
        <v>770</v>
      </c>
      <c r="M537" s="16" t="n">
        <v>1.309</v>
      </c>
      <c r="N537" s="16" t="n">
        <v>0.24178</v>
      </c>
      <c r="O537" s="16" t="n">
        <v>0</v>
      </c>
      <c r="P537" s="16" t="n">
        <v>1.55078</v>
      </c>
      <c r="Q537">
        <f>--($A537=IF('الداشبورد'!$B$5="الكل",$A537,'الداشبورد'!$B$5))</f>
        <v/>
      </c>
      <c r="R537">
        <f>--($E537=IF('الداشبورد'!$B$6="الكل",$E537,'الداشبورد'!$B$6))</f>
        <v/>
      </c>
      <c r="S537">
        <f>--($K537=IF('الداشبورد'!$B$7="الكل",$K537,IF('الداشبورد'!$B$7="تصدير","Y","N")))</f>
        <v/>
      </c>
      <c r="T537">
        <f>--($J537=IF('الداشبورد'!$B$8="الكل",$J537,IF('الداشبورد'!$B$8="AL","A","C")))</f>
        <v/>
      </c>
      <c r="U537">
        <f>--($I537=IF('الداشبورد'!$B$9="الكل",$I537,IF('الداشبورد'!$B$9="بدون حالة","P",'الداشبورد'!$B$9)))</f>
        <v/>
      </c>
      <c r="V537">
        <f>--($D537=IF('الداشبورد'!$B$10="الكل",$D537,'الداشبورد'!$B$10))</f>
        <v/>
      </c>
      <c r="W537">
        <f>--($G537=IF('الداشبورد'!$B$11="الكل",$G537,'الداشبورد'!$B$11))</f>
        <v/>
      </c>
      <c r="X537">
        <f>Q537*R537*S537*T537*U537*V537*W537*--($C537&lt;&gt;"")</f>
        <v/>
      </c>
    </row>
    <row r="538">
      <c r="A538" s="15" t="n">
        <v>6</v>
      </c>
      <c r="B538" s="15" t="inlineStr">
        <is>
          <t>P184159</t>
        </is>
      </c>
      <c r="C538" s="15" t="inlineStr">
        <is>
          <t>1521/26/01</t>
        </is>
      </c>
      <c r="D538" s="15" t="inlineStr">
        <is>
          <t>Eland Cables</t>
        </is>
      </c>
      <c r="E538" s="15" t="inlineStr">
        <is>
          <t>MV</t>
        </is>
      </c>
      <c r="F538" s="15" t="inlineStr">
        <is>
          <t>12/20 KV 1X630</t>
        </is>
      </c>
      <c r="G538" s="15" t="inlineStr">
        <is>
          <t>EX05</t>
        </is>
      </c>
      <c r="H538" s="15" t="inlineStr">
        <is>
          <t>Wooden Drums</t>
        </is>
      </c>
      <c r="I538" s="15" t="inlineStr">
        <is>
          <t>OK</t>
        </is>
      </c>
      <c r="J538" s="15" t="inlineStr">
        <is>
          <t>A</t>
        </is>
      </c>
      <c r="K538" s="15" t="inlineStr">
        <is>
          <t>Y</t>
        </is>
      </c>
      <c r="L538" s="15" t="n">
        <v>795</v>
      </c>
      <c r="M538" s="16" t="n">
        <v>1.3515</v>
      </c>
      <c r="N538" s="16" t="n">
        <v>0.24963</v>
      </c>
      <c r="O538" s="16" t="n">
        <v>0</v>
      </c>
      <c r="P538" s="16" t="n">
        <v>1.60113</v>
      </c>
      <c r="Q538">
        <f>--($A538=IF('الداشبورد'!$B$5="الكل",$A538,'الداشبورد'!$B$5))</f>
        <v/>
      </c>
      <c r="R538">
        <f>--($E538=IF('الداشبورد'!$B$6="الكل",$E538,'الداشبورد'!$B$6))</f>
        <v/>
      </c>
      <c r="S538">
        <f>--($K538=IF('الداشبورد'!$B$7="الكل",$K538,IF('الداشبورد'!$B$7="تصدير","Y","N")))</f>
        <v/>
      </c>
      <c r="T538">
        <f>--($J538=IF('الداشبورد'!$B$8="الكل",$J538,IF('الداشبورد'!$B$8="AL","A","C")))</f>
        <v/>
      </c>
      <c r="U538">
        <f>--($I538=IF('الداشبورد'!$B$9="الكل",$I538,IF('الداشبورد'!$B$9="بدون حالة","P",'الداشبورد'!$B$9)))</f>
        <v/>
      </c>
      <c r="V538">
        <f>--($D538=IF('الداشبورد'!$B$10="الكل",$D538,'الداشبورد'!$B$10))</f>
        <v/>
      </c>
      <c r="W538">
        <f>--($G538=IF('الداشبورد'!$B$11="الكل",$G538,'الداشبورد'!$B$11))</f>
        <v/>
      </c>
      <c r="X538">
        <f>Q538*R538*S538*T538*U538*V538*W538*--($C538&lt;&gt;"")</f>
        <v/>
      </c>
    </row>
    <row r="539">
      <c r="A539" s="15" t="n">
        <v>6</v>
      </c>
      <c r="B539" s="15" t="inlineStr">
        <is>
          <t>T184758</t>
        </is>
      </c>
      <c r="C539" s="15" t="inlineStr">
        <is>
          <t>1101/26/01</t>
        </is>
      </c>
      <c r="D539" s="15" t="inlineStr">
        <is>
          <t>شركة مصر العليا لتوزيع الكهرباء</t>
        </is>
      </c>
      <c r="E539" s="15" t="inlineStr">
        <is>
          <t>MV</t>
        </is>
      </c>
      <c r="F539" s="15" t="inlineStr">
        <is>
          <t>12/20KV 3X300</t>
        </is>
      </c>
      <c r="G539" s="15" t="inlineStr">
        <is>
          <t>EX04</t>
        </is>
      </c>
      <c r="H539" s="15" t="inlineStr">
        <is>
          <t>Wooden Drums</t>
        </is>
      </c>
      <c r="I539" s="15" t="inlineStr">
        <is>
          <t>OK</t>
        </is>
      </c>
      <c r="J539" s="15" t="inlineStr">
        <is>
          <t>A</t>
        </is>
      </c>
      <c r="K539" s="15" t="inlineStr">
        <is>
          <t>N</t>
        </is>
      </c>
      <c r="L539" s="15" t="n">
        <v>401</v>
      </c>
      <c r="M539" s="16" t="n">
        <v>0.9499690000000001</v>
      </c>
      <c r="N539" s="16" t="n">
        <v>0</v>
      </c>
      <c r="O539" s="16" t="n">
        <v>0</v>
      </c>
      <c r="P539" s="16" t="n">
        <v>0.9499690000000001</v>
      </c>
      <c r="Q539">
        <f>--($A539=IF('الداشبورد'!$B$5="الكل",$A539,'الداشبورد'!$B$5))</f>
        <v/>
      </c>
      <c r="R539">
        <f>--($E539=IF('الداشبورد'!$B$6="الكل",$E539,'الداشبورد'!$B$6))</f>
        <v/>
      </c>
      <c r="S539">
        <f>--($K539=IF('الداشبورد'!$B$7="الكل",$K539,IF('الداشبورد'!$B$7="تصدير","Y","N")))</f>
        <v/>
      </c>
      <c r="T539">
        <f>--($J539=IF('الداشبورد'!$B$8="الكل",$J539,IF('الداشبورد'!$B$8="AL","A","C")))</f>
        <v/>
      </c>
      <c r="U539">
        <f>--($I539=IF('الداشبورد'!$B$9="الكل",$I539,IF('الداشبورد'!$B$9="بدون حالة","P",'الداشبورد'!$B$9)))</f>
        <v/>
      </c>
      <c r="V539">
        <f>--($D539=IF('الداشبورد'!$B$10="الكل",$D539,'الداشبورد'!$B$10))</f>
        <v/>
      </c>
      <c r="W539">
        <f>--($G539=IF('الداشبورد'!$B$11="الكل",$G539,'الداشبورد'!$B$11))</f>
        <v/>
      </c>
      <c r="X539">
        <f>Q539*R539*S539*T539*U539*V539*W539*--($C539&lt;&gt;"")</f>
        <v/>
      </c>
    </row>
    <row r="540">
      <c r="A540" s="15" t="n">
        <v>6</v>
      </c>
      <c r="B540" s="15" t="inlineStr">
        <is>
          <t>V184767</t>
        </is>
      </c>
      <c r="C540" s="15" t="inlineStr">
        <is>
          <t>1101/26/01</t>
        </is>
      </c>
      <c r="D540" s="15" t="inlineStr">
        <is>
          <t>شركة مصر العليا لتوزيع الكهرباء</t>
        </is>
      </c>
      <c r="E540" s="15" t="inlineStr">
        <is>
          <t>MV</t>
        </is>
      </c>
      <c r="F540" s="15" t="inlineStr">
        <is>
          <t>12/20KV 3X300</t>
        </is>
      </c>
      <c r="G540" s="15" t="inlineStr">
        <is>
          <t>EX04</t>
        </is>
      </c>
      <c r="H540" s="15" t="inlineStr">
        <is>
          <t>Wooden Drums</t>
        </is>
      </c>
      <c r="I540" s="15" t="inlineStr">
        <is>
          <t>OK</t>
        </is>
      </c>
      <c r="J540" s="15" t="inlineStr">
        <is>
          <t>A</t>
        </is>
      </c>
      <c r="K540" s="15" t="inlineStr">
        <is>
          <t>N</t>
        </is>
      </c>
      <c r="L540" s="15" t="n">
        <v>403</v>
      </c>
      <c r="M540" s="16" t="n">
        <v>0.9547070000000001</v>
      </c>
      <c r="N540" s="16" t="n">
        <v>0</v>
      </c>
      <c r="O540" s="16" t="n">
        <v>0</v>
      </c>
      <c r="P540" s="16" t="n">
        <v>0.9547070000000001</v>
      </c>
      <c r="Q540">
        <f>--($A540=IF('الداشبورد'!$B$5="الكل",$A540,'الداشبورد'!$B$5))</f>
        <v/>
      </c>
      <c r="R540">
        <f>--($E540=IF('الداشبورد'!$B$6="الكل",$E540,'الداشبورد'!$B$6))</f>
        <v/>
      </c>
      <c r="S540">
        <f>--($K540=IF('الداشبورد'!$B$7="الكل",$K540,IF('الداشبورد'!$B$7="تصدير","Y","N")))</f>
        <v/>
      </c>
      <c r="T540">
        <f>--($J540=IF('الداشبورد'!$B$8="الكل",$J540,IF('الداشبورد'!$B$8="AL","A","C")))</f>
        <v/>
      </c>
      <c r="U540">
        <f>--($I540=IF('الداشبورد'!$B$9="الكل",$I540,IF('الداشبورد'!$B$9="بدون حالة","P",'الداشبورد'!$B$9)))</f>
        <v/>
      </c>
      <c r="V540">
        <f>--($D540=IF('الداشبورد'!$B$10="الكل",$D540,'الداشبورد'!$B$10))</f>
        <v/>
      </c>
      <c r="W540">
        <f>--($G540=IF('الداشبورد'!$B$11="الكل",$G540,'الداشبورد'!$B$11))</f>
        <v/>
      </c>
      <c r="X540">
        <f>Q540*R540*S540*T540*U540*V540*W540*--($C540&lt;&gt;"")</f>
        <v/>
      </c>
    </row>
    <row r="541">
      <c r="A541" s="15" t="n">
        <v>6</v>
      </c>
      <c r="B541" s="15" t="inlineStr">
        <is>
          <t>V184760</t>
        </is>
      </c>
      <c r="C541" s="15" t="inlineStr">
        <is>
          <t>1101/26/01</t>
        </is>
      </c>
      <c r="D541" s="15" t="inlineStr">
        <is>
          <t>شركة مصر العليا لتوزيع الكهرباء</t>
        </is>
      </c>
      <c r="E541" s="15" t="inlineStr">
        <is>
          <t>MV</t>
        </is>
      </c>
      <c r="F541" s="15" t="inlineStr">
        <is>
          <t>12/20KV 3X300</t>
        </is>
      </c>
      <c r="G541" s="15" t="inlineStr">
        <is>
          <t>EX04</t>
        </is>
      </c>
      <c r="H541" s="15" t="inlineStr">
        <is>
          <t>Wooden Drums</t>
        </is>
      </c>
      <c r="I541" s="15" t="inlineStr">
        <is>
          <t>OK</t>
        </is>
      </c>
      <c r="J541" s="15" t="inlineStr">
        <is>
          <t>A</t>
        </is>
      </c>
      <c r="K541" s="15" t="inlineStr">
        <is>
          <t>N</t>
        </is>
      </c>
      <c r="L541" s="15" t="n">
        <v>390</v>
      </c>
      <c r="M541" s="16" t="n">
        <v>0.9239100000000001</v>
      </c>
      <c r="N541" s="16" t="n">
        <v>0</v>
      </c>
      <c r="O541" s="16" t="n">
        <v>0</v>
      </c>
      <c r="P541" s="16" t="n">
        <v>0.9239100000000001</v>
      </c>
      <c r="Q541">
        <f>--($A541=IF('الداشبورد'!$B$5="الكل",$A541,'الداشبورد'!$B$5))</f>
        <v/>
      </c>
      <c r="R541">
        <f>--($E541=IF('الداشبورد'!$B$6="الكل",$E541,'الداشبورد'!$B$6))</f>
        <v/>
      </c>
      <c r="S541">
        <f>--($K541=IF('الداشبورد'!$B$7="الكل",$K541,IF('الداشبورد'!$B$7="تصدير","Y","N")))</f>
        <v/>
      </c>
      <c r="T541">
        <f>--($J541=IF('الداشبورد'!$B$8="الكل",$J541,IF('الداشبورد'!$B$8="AL","A","C")))</f>
        <v/>
      </c>
      <c r="U541">
        <f>--($I541=IF('الداشبورد'!$B$9="الكل",$I541,IF('الداشبورد'!$B$9="بدون حالة","P",'الداشبورد'!$B$9)))</f>
        <v/>
      </c>
      <c r="V541">
        <f>--($D541=IF('الداشبورد'!$B$10="الكل",$D541,'الداشبورد'!$B$10))</f>
        <v/>
      </c>
      <c r="W541">
        <f>--($G541=IF('الداشبورد'!$B$11="الكل",$G541,'الداشبورد'!$B$11))</f>
        <v/>
      </c>
      <c r="X541">
        <f>Q541*R541*S541*T541*U541*V541*W541*--($C541&lt;&gt;"")</f>
        <v/>
      </c>
    </row>
    <row r="542">
      <c r="A542" s="15" t="n">
        <v>6</v>
      </c>
      <c r="B542" s="15" t="inlineStr">
        <is>
          <t>T184759</t>
        </is>
      </c>
      <c r="C542" s="15" t="inlineStr">
        <is>
          <t>1101/26/01</t>
        </is>
      </c>
      <c r="D542" s="15" t="inlineStr">
        <is>
          <t>شركة مصر العليا لتوزيع الكهرباء</t>
        </is>
      </c>
      <c r="E542" s="15" t="inlineStr">
        <is>
          <t>MV</t>
        </is>
      </c>
      <c r="F542" s="15" t="inlineStr">
        <is>
          <t>12/20KV 3X300</t>
        </is>
      </c>
      <c r="G542" s="15" t="inlineStr">
        <is>
          <t>EX04</t>
        </is>
      </c>
      <c r="H542" s="15" t="inlineStr">
        <is>
          <t>Wooden Drums</t>
        </is>
      </c>
      <c r="I542" s="15" t="inlineStr">
        <is>
          <t>OK</t>
        </is>
      </c>
      <c r="J542" s="15" t="inlineStr">
        <is>
          <t>A</t>
        </is>
      </c>
      <c r="K542" s="15" t="inlineStr">
        <is>
          <t>N</t>
        </is>
      </c>
      <c r="L542" s="15" t="n">
        <v>403</v>
      </c>
      <c r="M542" s="16" t="n">
        <v>0.9547070000000001</v>
      </c>
      <c r="N542" s="16" t="n">
        <v>0</v>
      </c>
      <c r="O542" s="16" t="n">
        <v>0</v>
      </c>
      <c r="P542" s="16" t="n">
        <v>0.9547070000000001</v>
      </c>
      <c r="Q542">
        <f>--($A542=IF('الداشبورد'!$B$5="الكل",$A542,'الداشبورد'!$B$5))</f>
        <v/>
      </c>
      <c r="R542">
        <f>--($E542=IF('الداشبورد'!$B$6="الكل",$E542,'الداشبورد'!$B$6))</f>
        <v/>
      </c>
      <c r="S542">
        <f>--($K542=IF('الداشبورد'!$B$7="الكل",$K542,IF('الداشبورد'!$B$7="تصدير","Y","N")))</f>
        <v/>
      </c>
      <c r="T542">
        <f>--($J542=IF('الداشبورد'!$B$8="الكل",$J542,IF('الداشبورد'!$B$8="AL","A","C")))</f>
        <v/>
      </c>
      <c r="U542">
        <f>--($I542=IF('الداشبورد'!$B$9="الكل",$I542,IF('الداشبورد'!$B$9="بدون حالة","P",'الداشبورد'!$B$9)))</f>
        <v/>
      </c>
      <c r="V542">
        <f>--($D542=IF('الداشبورد'!$B$10="الكل",$D542,'الداشبورد'!$B$10))</f>
        <v/>
      </c>
      <c r="W542">
        <f>--($G542=IF('الداشبورد'!$B$11="الكل",$G542,'الداشبورد'!$B$11))</f>
        <v/>
      </c>
      <c r="X542">
        <f>Q542*R542*S542*T542*U542*V542*W542*--($C542&lt;&gt;"")</f>
        <v/>
      </c>
    </row>
    <row r="543">
      <c r="A543" s="15" t="n">
        <v>6</v>
      </c>
      <c r="B543" s="15" t="inlineStr">
        <is>
          <t>T184830</t>
        </is>
      </c>
      <c r="C543" s="15" t="inlineStr">
        <is>
          <t>1101/26/01</t>
        </is>
      </c>
      <c r="D543" s="15" t="inlineStr">
        <is>
          <t>شركة مصر العليا لتوزيع الكهرباء</t>
        </is>
      </c>
      <c r="E543" s="15" t="inlineStr">
        <is>
          <t>MV</t>
        </is>
      </c>
      <c r="F543" s="15" t="inlineStr">
        <is>
          <t>12/20KV 3X300</t>
        </is>
      </c>
      <c r="G543" s="15" t="inlineStr">
        <is>
          <t>EX04</t>
        </is>
      </c>
      <c r="H543" s="15" t="inlineStr">
        <is>
          <t>Wooden Drums</t>
        </is>
      </c>
      <c r="I543" s="15" t="inlineStr">
        <is>
          <t>OK</t>
        </is>
      </c>
      <c r="J543" s="15" t="inlineStr">
        <is>
          <t>A</t>
        </is>
      </c>
      <c r="K543" s="15" t="inlineStr">
        <is>
          <t>N</t>
        </is>
      </c>
      <c r="L543" s="15" t="n">
        <v>401</v>
      </c>
      <c r="M543" s="16" t="n">
        <v>0.9499690000000001</v>
      </c>
      <c r="N543" s="16" t="n">
        <v>0</v>
      </c>
      <c r="O543" s="16" t="n">
        <v>0</v>
      </c>
      <c r="P543" s="16" t="n">
        <v>0.9499690000000001</v>
      </c>
      <c r="Q543">
        <f>--($A543=IF('الداشبورد'!$B$5="الكل",$A543,'الداشبورد'!$B$5))</f>
        <v/>
      </c>
      <c r="R543">
        <f>--($E543=IF('الداشبورد'!$B$6="الكل",$E543,'الداشبورد'!$B$6))</f>
        <v/>
      </c>
      <c r="S543">
        <f>--($K543=IF('الداشبورد'!$B$7="الكل",$K543,IF('الداشبورد'!$B$7="تصدير","Y","N")))</f>
        <v/>
      </c>
      <c r="T543">
        <f>--($J543=IF('الداشبورد'!$B$8="الكل",$J543,IF('الداشبورد'!$B$8="AL","A","C")))</f>
        <v/>
      </c>
      <c r="U543">
        <f>--($I543=IF('الداشبورد'!$B$9="الكل",$I543,IF('الداشبورد'!$B$9="بدون حالة","P",'الداشبورد'!$B$9)))</f>
        <v/>
      </c>
      <c r="V543">
        <f>--($D543=IF('الداشبورد'!$B$10="الكل",$D543,'الداشبورد'!$B$10))</f>
        <v/>
      </c>
      <c r="W543">
        <f>--($G543=IF('الداشبورد'!$B$11="الكل",$G543,'الداشبورد'!$B$11))</f>
        <v/>
      </c>
      <c r="X543">
        <f>Q543*R543*S543*T543*U543*V543*W543*--($C543&lt;&gt;"")</f>
        <v/>
      </c>
    </row>
    <row r="544">
      <c r="A544" s="15" t="n">
        <v>6</v>
      </c>
      <c r="B544" s="15" t="inlineStr">
        <is>
          <t>V184829</t>
        </is>
      </c>
      <c r="C544" s="15" t="inlineStr">
        <is>
          <t>1101/26/01</t>
        </is>
      </c>
      <c r="D544" s="15" t="inlineStr">
        <is>
          <t>شركة مصر العليا لتوزيع الكهرباء</t>
        </is>
      </c>
      <c r="E544" s="15" t="inlineStr">
        <is>
          <t>MV</t>
        </is>
      </c>
      <c r="F544" s="15" t="inlineStr">
        <is>
          <t>12/20KV 3X300</t>
        </is>
      </c>
      <c r="G544" s="15" t="inlineStr">
        <is>
          <t>EX04</t>
        </is>
      </c>
      <c r="H544" s="15" t="inlineStr">
        <is>
          <t>Wooden Drums</t>
        </is>
      </c>
      <c r="I544" s="15" t="inlineStr">
        <is>
          <t>OK</t>
        </is>
      </c>
      <c r="J544" s="15" t="inlineStr">
        <is>
          <t>A</t>
        </is>
      </c>
      <c r="K544" s="15" t="inlineStr">
        <is>
          <t>N</t>
        </is>
      </c>
      <c r="L544" s="15" t="n">
        <v>382</v>
      </c>
      <c r="M544" s="16" t="n">
        <v>0.904958</v>
      </c>
      <c r="N544" s="16" t="n">
        <v>0</v>
      </c>
      <c r="O544" s="16" t="n">
        <v>0</v>
      </c>
      <c r="P544" s="16" t="n">
        <v>0.904958</v>
      </c>
      <c r="Q544">
        <f>--($A544=IF('الداشبورد'!$B$5="الكل",$A544,'الداشبورد'!$B$5))</f>
        <v/>
      </c>
      <c r="R544">
        <f>--($E544=IF('الداشبورد'!$B$6="الكل",$E544,'الداشبورد'!$B$6))</f>
        <v/>
      </c>
      <c r="S544">
        <f>--($K544=IF('الداشبورد'!$B$7="الكل",$K544,IF('الداشبورد'!$B$7="تصدير","Y","N")))</f>
        <v/>
      </c>
      <c r="T544">
        <f>--($J544=IF('الداشبورد'!$B$8="الكل",$J544,IF('الداشبورد'!$B$8="AL","A","C")))</f>
        <v/>
      </c>
      <c r="U544">
        <f>--($I544=IF('الداشبورد'!$B$9="الكل",$I544,IF('الداشبورد'!$B$9="بدون حالة","P",'الداشبورد'!$B$9)))</f>
        <v/>
      </c>
      <c r="V544">
        <f>--($D544=IF('الداشبورد'!$B$10="الكل",$D544,'الداشبورد'!$B$10))</f>
        <v/>
      </c>
      <c r="W544">
        <f>--($G544=IF('الداشبورد'!$B$11="الكل",$G544,'الداشبورد'!$B$11))</f>
        <v/>
      </c>
      <c r="X544">
        <f>Q544*R544*S544*T544*U544*V544*W544*--($C544&lt;&gt;"")</f>
        <v/>
      </c>
    </row>
    <row r="545">
      <c r="A545" s="15" t="n">
        <v>6</v>
      </c>
      <c r="B545" s="15" t="inlineStr">
        <is>
          <t>S184839</t>
        </is>
      </c>
      <c r="C545" s="15" t="inlineStr">
        <is>
          <t>1101/26/01</t>
        </is>
      </c>
      <c r="D545" s="15" t="inlineStr">
        <is>
          <t>شركة مصر العليا لتوزيع الكهرباء</t>
        </is>
      </c>
      <c r="E545" s="15" t="inlineStr">
        <is>
          <t>MV</t>
        </is>
      </c>
      <c r="F545" s="15" t="inlineStr">
        <is>
          <t>12/20KV 3X300</t>
        </is>
      </c>
      <c r="G545" s="15" t="inlineStr">
        <is>
          <t>EX04</t>
        </is>
      </c>
      <c r="H545" s="15" t="inlineStr">
        <is>
          <t>Wooden Drums</t>
        </is>
      </c>
      <c r="I545" s="15" t="inlineStr">
        <is>
          <t>OK</t>
        </is>
      </c>
      <c r="J545" s="15" t="inlineStr">
        <is>
          <t>A</t>
        </is>
      </c>
      <c r="K545" s="15" t="inlineStr">
        <is>
          <t>N</t>
        </is>
      </c>
      <c r="L545" s="15" t="n">
        <v>405</v>
      </c>
      <c r="M545" s="16" t="n">
        <v>0.9594450000000001</v>
      </c>
      <c r="N545" s="16" t="n">
        <v>0</v>
      </c>
      <c r="O545" s="16" t="n">
        <v>0</v>
      </c>
      <c r="P545" s="16" t="n">
        <v>0.9594450000000001</v>
      </c>
      <c r="Q545">
        <f>--($A545=IF('الداشبورد'!$B$5="الكل",$A545,'الداشبورد'!$B$5))</f>
        <v/>
      </c>
      <c r="R545">
        <f>--($E545=IF('الداشبورد'!$B$6="الكل",$E545,'الداشبورد'!$B$6))</f>
        <v/>
      </c>
      <c r="S545">
        <f>--($K545=IF('الداشبورد'!$B$7="الكل",$K545,IF('الداشبورد'!$B$7="تصدير","Y","N")))</f>
        <v/>
      </c>
      <c r="T545">
        <f>--($J545=IF('الداشبورد'!$B$8="الكل",$J545,IF('الداشبورد'!$B$8="AL","A","C")))</f>
        <v/>
      </c>
      <c r="U545">
        <f>--($I545=IF('الداشبورد'!$B$9="الكل",$I545,IF('الداشبورد'!$B$9="بدون حالة","P",'الداشبورد'!$B$9)))</f>
        <v/>
      </c>
      <c r="V545">
        <f>--($D545=IF('الداشبورد'!$B$10="الكل",$D545,'الداشبورد'!$B$10))</f>
        <v/>
      </c>
      <c r="W545">
        <f>--($G545=IF('الداشبورد'!$B$11="الكل",$G545,'الداشبورد'!$B$11))</f>
        <v/>
      </c>
      <c r="X545">
        <f>Q545*R545*S545*T545*U545*V545*W545*--($C545&lt;&gt;"")</f>
        <v/>
      </c>
    </row>
    <row r="546">
      <c r="A546" s="15" t="n">
        <v>6</v>
      </c>
      <c r="B546" s="15" t="inlineStr">
        <is>
          <t>T184842</t>
        </is>
      </c>
      <c r="C546" s="15" t="inlineStr">
        <is>
          <t>1101/26/01</t>
        </is>
      </c>
      <c r="D546" s="15" t="inlineStr">
        <is>
          <t>شركة مصر العليا لتوزيع الكهرباء</t>
        </is>
      </c>
      <c r="E546" s="15" t="inlineStr">
        <is>
          <t>MV</t>
        </is>
      </c>
      <c r="F546" s="15" t="inlineStr">
        <is>
          <t>12/20KV 3X300</t>
        </is>
      </c>
      <c r="G546" s="15" t="inlineStr">
        <is>
          <t>EX04</t>
        </is>
      </c>
      <c r="H546" s="15" t="inlineStr">
        <is>
          <t>Wooden Drums</t>
        </is>
      </c>
      <c r="I546" s="15" t="inlineStr">
        <is>
          <t>OK</t>
        </is>
      </c>
      <c r="J546" s="15" t="inlineStr">
        <is>
          <t>A</t>
        </is>
      </c>
      <c r="K546" s="15" t="inlineStr">
        <is>
          <t>N</t>
        </is>
      </c>
      <c r="L546" s="15" t="n">
        <v>410</v>
      </c>
      <c r="M546" s="16" t="n">
        <v>0.9712900000000001</v>
      </c>
      <c r="N546" s="16" t="n">
        <v>0</v>
      </c>
      <c r="O546" s="16" t="n">
        <v>0</v>
      </c>
      <c r="P546" s="16" t="n">
        <v>0.9712900000000001</v>
      </c>
      <c r="Q546">
        <f>--($A546=IF('الداشبورد'!$B$5="الكل",$A546,'الداشبورد'!$B$5))</f>
        <v/>
      </c>
      <c r="R546">
        <f>--($E546=IF('الداشبورد'!$B$6="الكل",$E546,'الداشبورد'!$B$6))</f>
        <v/>
      </c>
      <c r="S546">
        <f>--($K546=IF('الداشبورد'!$B$7="الكل",$K546,IF('الداشبورد'!$B$7="تصدير","Y","N")))</f>
        <v/>
      </c>
      <c r="T546">
        <f>--($J546=IF('الداشبورد'!$B$8="الكل",$J546,IF('الداشبورد'!$B$8="AL","A","C")))</f>
        <v/>
      </c>
      <c r="U546">
        <f>--($I546=IF('الداشبورد'!$B$9="الكل",$I546,IF('الداشبورد'!$B$9="بدون حالة","P",'الداشبورد'!$B$9)))</f>
        <v/>
      </c>
      <c r="V546">
        <f>--($D546=IF('الداشبورد'!$B$10="الكل",$D546,'الداشبورد'!$B$10))</f>
        <v/>
      </c>
      <c r="W546">
        <f>--($G546=IF('الداشبورد'!$B$11="الكل",$G546,'الداشبورد'!$B$11))</f>
        <v/>
      </c>
      <c r="X546">
        <f>Q546*R546*S546*T546*U546*V546*W546*--($C546&lt;&gt;"")</f>
        <v/>
      </c>
    </row>
    <row r="547">
      <c r="A547" s="15" t="n">
        <v>6</v>
      </c>
      <c r="B547" s="15" t="inlineStr">
        <is>
          <t>T184841</t>
        </is>
      </c>
      <c r="C547" s="15" t="inlineStr">
        <is>
          <t>1101/26/01</t>
        </is>
      </c>
      <c r="D547" s="15" t="inlineStr">
        <is>
          <t>شركة مصر العليا لتوزيع الكهرباء</t>
        </is>
      </c>
      <c r="E547" s="15" t="inlineStr">
        <is>
          <t>MV</t>
        </is>
      </c>
      <c r="F547" s="15" t="inlineStr">
        <is>
          <t>12/20KV 3X300</t>
        </is>
      </c>
      <c r="G547" s="15" t="inlineStr">
        <is>
          <t>EX04</t>
        </is>
      </c>
      <c r="H547" s="15" t="inlineStr">
        <is>
          <t>Wooden Drums</t>
        </is>
      </c>
      <c r="I547" s="15" t="inlineStr">
        <is>
          <t>OK</t>
        </is>
      </c>
      <c r="J547" s="15" t="inlineStr">
        <is>
          <t>A</t>
        </is>
      </c>
      <c r="K547" s="15" t="inlineStr">
        <is>
          <t>N</t>
        </is>
      </c>
      <c r="L547" s="15" t="n">
        <v>454</v>
      </c>
      <c r="M547" s="16" t="n">
        <v>1.075526</v>
      </c>
      <c r="N547" s="16" t="n">
        <v>0</v>
      </c>
      <c r="O547" s="16" t="n">
        <v>0</v>
      </c>
      <c r="P547" s="16" t="n">
        <v>1.075526</v>
      </c>
      <c r="Q547">
        <f>--($A547=IF('الداشبورد'!$B$5="الكل",$A547,'الداشبورد'!$B$5))</f>
        <v/>
      </c>
      <c r="R547">
        <f>--($E547=IF('الداشبورد'!$B$6="الكل",$E547,'الداشبورد'!$B$6))</f>
        <v/>
      </c>
      <c r="S547">
        <f>--($K547=IF('الداشبورد'!$B$7="الكل",$K547,IF('الداشبورد'!$B$7="تصدير","Y","N")))</f>
        <v/>
      </c>
      <c r="T547">
        <f>--($J547=IF('الداشبورد'!$B$8="الكل",$J547,IF('الداشبورد'!$B$8="AL","A","C")))</f>
        <v/>
      </c>
      <c r="U547">
        <f>--($I547=IF('الداشبورد'!$B$9="الكل",$I547,IF('الداشبورد'!$B$9="بدون حالة","P",'الداشبورد'!$B$9)))</f>
        <v/>
      </c>
      <c r="V547">
        <f>--($D547=IF('الداشبورد'!$B$10="الكل",$D547,'الداشبورد'!$B$10))</f>
        <v/>
      </c>
      <c r="W547">
        <f>--($G547=IF('الداشبورد'!$B$11="الكل",$G547,'الداشبورد'!$B$11))</f>
        <v/>
      </c>
      <c r="X547">
        <f>Q547*R547*S547*T547*U547*V547*W547*--($C547&lt;&gt;"")</f>
        <v/>
      </c>
    </row>
    <row r="548">
      <c r="A548" s="15" t="n">
        <v>6</v>
      </c>
      <c r="B548" s="15" t="inlineStr">
        <is>
          <t>S184840</t>
        </is>
      </c>
      <c r="C548" s="15" t="inlineStr">
        <is>
          <t>1101/26/01</t>
        </is>
      </c>
      <c r="D548" s="15" t="inlineStr">
        <is>
          <t>شركة مصر العليا لتوزيع الكهرباء</t>
        </is>
      </c>
      <c r="E548" s="15" t="inlineStr">
        <is>
          <t>MV</t>
        </is>
      </c>
      <c r="F548" s="15" t="inlineStr">
        <is>
          <t>12/20KV 3X300</t>
        </is>
      </c>
      <c r="G548" s="15" t="inlineStr">
        <is>
          <t>EX04</t>
        </is>
      </c>
      <c r="H548" s="15" t="inlineStr">
        <is>
          <t>Wooden Drums</t>
        </is>
      </c>
      <c r="I548" s="15" t="inlineStr">
        <is>
          <t>OK</t>
        </is>
      </c>
      <c r="J548" s="15" t="inlineStr">
        <is>
          <t>A</t>
        </is>
      </c>
      <c r="K548" s="15" t="inlineStr">
        <is>
          <t>N</t>
        </is>
      </c>
      <c r="L548" s="15" t="n">
        <v>410</v>
      </c>
      <c r="M548" s="16" t="n">
        <v>0.9712900000000001</v>
      </c>
      <c r="N548" s="16" t="n">
        <v>0</v>
      </c>
      <c r="O548" s="16" t="n">
        <v>0</v>
      </c>
      <c r="P548" s="16" t="n">
        <v>0.9712900000000001</v>
      </c>
      <c r="Q548">
        <f>--($A548=IF('الداشبورد'!$B$5="الكل",$A548,'الداشبورد'!$B$5))</f>
        <v/>
      </c>
      <c r="R548">
        <f>--($E548=IF('الداشبورد'!$B$6="الكل",$E548,'الداشبورد'!$B$6))</f>
        <v/>
      </c>
      <c r="S548">
        <f>--($K548=IF('الداشبورد'!$B$7="الكل",$K548,IF('الداشبورد'!$B$7="تصدير","Y","N")))</f>
        <v/>
      </c>
      <c r="T548">
        <f>--($J548=IF('الداشبورد'!$B$8="الكل",$J548,IF('الداشبورد'!$B$8="AL","A","C")))</f>
        <v/>
      </c>
      <c r="U548">
        <f>--($I548=IF('الداشبورد'!$B$9="الكل",$I548,IF('الداشبورد'!$B$9="بدون حالة","P",'الداشبورد'!$B$9)))</f>
        <v/>
      </c>
      <c r="V548">
        <f>--($D548=IF('الداشبورد'!$B$10="الكل",$D548,'الداشبورد'!$B$10))</f>
        <v/>
      </c>
      <c r="W548">
        <f>--($G548=IF('الداشبورد'!$B$11="الكل",$G548,'الداشبورد'!$B$11))</f>
        <v/>
      </c>
      <c r="X548">
        <f>Q548*R548*S548*T548*U548*V548*W548*--($C548&lt;&gt;"")</f>
        <v/>
      </c>
    </row>
    <row r="549">
      <c r="A549" s="15" t="n">
        <v>6</v>
      </c>
      <c r="B549" s="15" t="inlineStr">
        <is>
          <t>V184629</t>
        </is>
      </c>
      <c r="C549" s="15" t="inlineStr">
        <is>
          <t>1101/26/01</t>
        </is>
      </c>
      <c r="D549" s="15" t="inlineStr">
        <is>
          <t>شركة مصر العليا لتوزيع الكهرباء</t>
        </is>
      </c>
      <c r="E549" s="15" t="inlineStr">
        <is>
          <t>MV</t>
        </is>
      </c>
      <c r="F549" s="15" t="inlineStr">
        <is>
          <t>12/20KV 3X300</t>
        </is>
      </c>
      <c r="G549" s="15" t="inlineStr">
        <is>
          <t>EX04</t>
        </is>
      </c>
      <c r="H549" s="15" t="inlineStr">
        <is>
          <t>Wooden Drums</t>
        </is>
      </c>
      <c r="I549" s="15" t="inlineStr">
        <is>
          <t>OK</t>
        </is>
      </c>
      <c r="J549" s="15" t="inlineStr">
        <is>
          <t>A</t>
        </is>
      </c>
      <c r="K549" s="15" t="inlineStr">
        <is>
          <t>N</t>
        </is>
      </c>
      <c r="L549" s="15" t="n">
        <v>415</v>
      </c>
      <c r="M549" s="16" t="n">
        <v>0.9831350000000001</v>
      </c>
      <c r="N549" s="16" t="n">
        <v>0</v>
      </c>
      <c r="O549" s="16" t="n">
        <v>0</v>
      </c>
      <c r="P549" s="16" t="n">
        <v>0.9831350000000001</v>
      </c>
      <c r="Q549">
        <f>--($A549=IF('الداشبورد'!$B$5="الكل",$A549,'الداشبورد'!$B$5))</f>
        <v/>
      </c>
      <c r="R549">
        <f>--($E549=IF('الداشبورد'!$B$6="الكل",$E549,'الداشبورد'!$B$6))</f>
        <v/>
      </c>
      <c r="S549">
        <f>--($K549=IF('الداشبورد'!$B$7="الكل",$K549,IF('الداشبورد'!$B$7="تصدير","Y","N")))</f>
        <v/>
      </c>
      <c r="T549">
        <f>--($J549=IF('الداشبورد'!$B$8="الكل",$J549,IF('الداشبورد'!$B$8="AL","A","C")))</f>
        <v/>
      </c>
      <c r="U549">
        <f>--($I549=IF('الداشبورد'!$B$9="الكل",$I549,IF('الداشبورد'!$B$9="بدون حالة","P",'الداشبورد'!$B$9)))</f>
        <v/>
      </c>
      <c r="V549">
        <f>--($D549=IF('الداشبورد'!$B$10="الكل",$D549,'الداشبورد'!$B$10))</f>
        <v/>
      </c>
      <c r="W549">
        <f>--($G549=IF('الداشبورد'!$B$11="الكل",$G549,'الداشبورد'!$B$11))</f>
        <v/>
      </c>
      <c r="X549">
        <f>Q549*R549*S549*T549*U549*V549*W549*--($C549&lt;&gt;"")</f>
        <v/>
      </c>
    </row>
    <row r="550">
      <c r="A550" s="15" t="n">
        <v>6</v>
      </c>
      <c r="B550" s="15" t="inlineStr">
        <is>
          <t>V184843</t>
        </is>
      </c>
      <c r="C550" s="15" t="inlineStr">
        <is>
          <t>1101/26/01</t>
        </is>
      </c>
      <c r="D550" s="15" t="inlineStr">
        <is>
          <t>شركة مصر العليا لتوزيع الكهرباء</t>
        </is>
      </c>
      <c r="E550" s="15" t="inlineStr">
        <is>
          <t>MV</t>
        </is>
      </c>
      <c r="F550" s="15" t="inlineStr">
        <is>
          <t>12/20KV 3X300</t>
        </is>
      </c>
      <c r="G550" s="15" t="inlineStr">
        <is>
          <t>EX04</t>
        </is>
      </c>
      <c r="H550" s="15" t="inlineStr">
        <is>
          <t>Wooden Drums</t>
        </is>
      </c>
      <c r="I550" s="15" t="inlineStr">
        <is>
          <t>OK</t>
        </is>
      </c>
      <c r="J550" s="15" t="inlineStr">
        <is>
          <t>A</t>
        </is>
      </c>
      <c r="K550" s="15" t="inlineStr">
        <is>
          <t>N</t>
        </is>
      </c>
      <c r="L550" s="15" t="n">
        <v>425</v>
      </c>
      <c r="M550" s="16" t="n">
        <v>1.006825</v>
      </c>
      <c r="N550" s="16" t="n">
        <v>0</v>
      </c>
      <c r="O550" s="16" t="n">
        <v>0</v>
      </c>
      <c r="P550" s="16" t="n">
        <v>1.006825</v>
      </c>
      <c r="Q550">
        <f>--($A550=IF('الداشبورد'!$B$5="الكل",$A550,'الداشبورد'!$B$5))</f>
        <v/>
      </c>
      <c r="R550">
        <f>--($E550=IF('الداشبورد'!$B$6="الكل",$E550,'الداشبورد'!$B$6))</f>
        <v/>
      </c>
      <c r="S550">
        <f>--($K550=IF('الداشبورد'!$B$7="الكل",$K550,IF('الداشبورد'!$B$7="تصدير","Y","N")))</f>
        <v/>
      </c>
      <c r="T550">
        <f>--($J550=IF('الداشبورد'!$B$8="الكل",$J550,IF('الداشبورد'!$B$8="AL","A","C")))</f>
        <v/>
      </c>
      <c r="U550">
        <f>--($I550=IF('الداشبورد'!$B$9="الكل",$I550,IF('الداشبورد'!$B$9="بدون حالة","P",'الداشبورد'!$B$9)))</f>
        <v/>
      </c>
      <c r="V550">
        <f>--($D550=IF('الداشبورد'!$B$10="الكل",$D550,'الداشبورد'!$B$10))</f>
        <v/>
      </c>
      <c r="W550">
        <f>--($G550=IF('الداشبورد'!$B$11="الكل",$G550,'الداشبورد'!$B$11))</f>
        <v/>
      </c>
      <c r="X550">
        <f>Q550*R550*S550*T550*U550*V550*W550*--($C550&lt;&gt;"")</f>
        <v/>
      </c>
    </row>
    <row r="551">
      <c r="A551" s="15" t="n">
        <v>6</v>
      </c>
      <c r="B551" s="15" t="inlineStr">
        <is>
          <t>J184798</t>
        </is>
      </c>
      <c r="C551" s="15" t="inlineStr">
        <is>
          <t>1316/26/05</t>
        </is>
      </c>
      <c r="D551" s="15" t="inlineStr">
        <is>
          <t>شركة الجيل الجديد لإستيراد المواد الكهربائية والصن</t>
        </is>
      </c>
      <c r="E551" s="15" t="inlineStr">
        <is>
          <t>LV</t>
        </is>
      </c>
      <c r="F551" s="15" t="inlineStr">
        <is>
          <t>0.6/1 KV 1*400</t>
        </is>
      </c>
      <c r="G551" s="15" t="inlineStr">
        <is>
          <t>EX01</t>
        </is>
      </c>
      <c r="H551" s="15" t="inlineStr">
        <is>
          <t>Wooden Drums</t>
        </is>
      </c>
      <c r="I551" s="15" t="inlineStr">
        <is>
          <t>OK</t>
        </is>
      </c>
      <c r="J551" s="15" t="inlineStr">
        <is>
          <t>A</t>
        </is>
      </c>
      <c r="K551" s="15" t="inlineStr">
        <is>
          <t>Y</t>
        </is>
      </c>
      <c r="L551" s="15" t="n">
        <v>1020</v>
      </c>
      <c r="M551" s="16" t="n">
        <v>1.0098</v>
      </c>
      <c r="N551" s="16" t="n">
        <v>0</v>
      </c>
      <c r="O551" s="16" t="n">
        <v>0</v>
      </c>
      <c r="P551" s="16" t="n">
        <v>1.0098</v>
      </c>
      <c r="Q551">
        <f>--($A551=IF('الداشبورد'!$B$5="الكل",$A551,'الداشبورد'!$B$5))</f>
        <v/>
      </c>
      <c r="R551">
        <f>--($E551=IF('الداشبورد'!$B$6="الكل",$E551,'الداشبورد'!$B$6))</f>
        <v/>
      </c>
      <c r="S551">
        <f>--($K551=IF('الداشبورد'!$B$7="الكل",$K551,IF('الداشبورد'!$B$7="تصدير","Y","N")))</f>
        <v/>
      </c>
      <c r="T551">
        <f>--($J551=IF('الداشبورد'!$B$8="الكل",$J551,IF('الداشبورد'!$B$8="AL","A","C")))</f>
        <v/>
      </c>
      <c r="U551">
        <f>--($I551=IF('الداشبورد'!$B$9="الكل",$I551,IF('الداشبورد'!$B$9="بدون حالة","P",'الداشبورد'!$B$9)))</f>
        <v/>
      </c>
      <c r="V551">
        <f>--($D551=IF('الداشبورد'!$B$10="الكل",$D551,'الداشبورد'!$B$10))</f>
        <v/>
      </c>
      <c r="W551">
        <f>--($G551=IF('الداشبورد'!$B$11="الكل",$G551,'الداشبورد'!$B$11))</f>
        <v/>
      </c>
      <c r="X551">
        <f>Q551*R551*S551*T551*U551*V551*W551*--($C551&lt;&gt;"")</f>
        <v/>
      </c>
    </row>
    <row r="552">
      <c r="A552" s="15" t="n">
        <v>6</v>
      </c>
      <c r="B552" s="15" t="inlineStr">
        <is>
          <t>J184799</t>
        </is>
      </c>
      <c r="C552" s="15" t="inlineStr">
        <is>
          <t>1316/26/05</t>
        </is>
      </c>
      <c r="D552" s="15" t="inlineStr">
        <is>
          <t>شركة الجيل الجديد لإستيراد المواد الكهربائية والصن</t>
        </is>
      </c>
      <c r="E552" s="15" t="inlineStr">
        <is>
          <t>LV</t>
        </is>
      </c>
      <c r="F552" s="15" t="inlineStr">
        <is>
          <t>0.6/1 KV 1*400</t>
        </is>
      </c>
      <c r="G552" s="15" t="inlineStr">
        <is>
          <t>EX01</t>
        </is>
      </c>
      <c r="H552" s="15" t="inlineStr">
        <is>
          <t>Wooden Drums</t>
        </is>
      </c>
      <c r="I552" s="15" t="inlineStr">
        <is>
          <t>OK</t>
        </is>
      </c>
      <c r="J552" s="15" t="inlineStr">
        <is>
          <t>A</t>
        </is>
      </c>
      <c r="K552" s="15" t="inlineStr">
        <is>
          <t>Y</t>
        </is>
      </c>
      <c r="L552" s="15" t="n">
        <v>1034</v>
      </c>
      <c r="M552" s="16" t="n">
        <v>1.02366</v>
      </c>
      <c r="N552" s="16" t="n">
        <v>0</v>
      </c>
      <c r="O552" s="16" t="n">
        <v>0</v>
      </c>
      <c r="P552" s="16" t="n">
        <v>1.02366</v>
      </c>
      <c r="Q552">
        <f>--($A552=IF('الداشبورد'!$B$5="الكل",$A552,'الداشبورد'!$B$5))</f>
        <v/>
      </c>
      <c r="R552">
        <f>--($E552=IF('الداشبورد'!$B$6="الكل",$E552,'الداشبورد'!$B$6))</f>
        <v/>
      </c>
      <c r="S552">
        <f>--($K552=IF('الداشبورد'!$B$7="الكل",$K552,IF('الداشبورد'!$B$7="تصدير","Y","N")))</f>
        <v/>
      </c>
      <c r="T552">
        <f>--($J552=IF('الداشبورد'!$B$8="الكل",$J552,IF('الداشبورد'!$B$8="AL","A","C")))</f>
        <v/>
      </c>
      <c r="U552">
        <f>--($I552=IF('الداشبورد'!$B$9="الكل",$I552,IF('الداشبورد'!$B$9="بدون حالة","P",'الداشبورد'!$B$9)))</f>
        <v/>
      </c>
      <c r="V552">
        <f>--($D552=IF('الداشبورد'!$B$10="الكل",$D552,'الداشبورد'!$B$10))</f>
        <v/>
      </c>
      <c r="W552">
        <f>--($G552=IF('الداشبورد'!$B$11="الكل",$G552,'الداشبورد'!$B$11))</f>
        <v/>
      </c>
      <c r="X552">
        <f>Q552*R552*S552*T552*U552*V552*W552*--($C552&lt;&gt;"")</f>
        <v/>
      </c>
    </row>
    <row r="553">
      <c r="A553" s="15" t="n">
        <v>6</v>
      </c>
      <c r="B553" s="15" t="inlineStr">
        <is>
          <t>J184797</t>
        </is>
      </c>
      <c r="C553" s="15" t="inlineStr">
        <is>
          <t>1316/26/05</t>
        </is>
      </c>
      <c r="D553" s="15" t="inlineStr">
        <is>
          <t>شركة الجيل الجديد لإستيراد المواد الكهربائية والصن</t>
        </is>
      </c>
      <c r="E553" s="15" t="inlineStr">
        <is>
          <t>LV</t>
        </is>
      </c>
      <c r="F553" s="15" t="inlineStr">
        <is>
          <t>0.6/1 KV 1*400</t>
        </is>
      </c>
      <c r="G553" s="15" t="inlineStr">
        <is>
          <t>EX01</t>
        </is>
      </c>
      <c r="H553" s="15" t="inlineStr">
        <is>
          <t>Wooden Drums</t>
        </is>
      </c>
      <c r="I553" s="15" t="inlineStr">
        <is>
          <t>OK</t>
        </is>
      </c>
      <c r="J553" s="15" t="inlineStr">
        <is>
          <t>A</t>
        </is>
      </c>
      <c r="K553" s="15" t="inlineStr">
        <is>
          <t>Y</t>
        </is>
      </c>
      <c r="L553" s="15" t="n">
        <v>1020</v>
      </c>
      <c r="M553" s="16" t="n">
        <v>1.0098</v>
      </c>
      <c r="N553" s="16" t="n">
        <v>0</v>
      </c>
      <c r="O553" s="16" t="n">
        <v>0</v>
      </c>
      <c r="P553" s="16" t="n">
        <v>1.0098</v>
      </c>
      <c r="Q553">
        <f>--($A553=IF('الداشبورد'!$B$5="الكل",$A553,'الداشبورد'!$B$5))</f>
        <v/>
      </c>
      <c r="R553">
        <f>--($E553=IF('الداشبورد'!$B$6="الكل",$E553,'الداشبورد'!$B$6))</f>
        <v/>
      </c>
      <c r="S553">
        <f>--($K553=IF('الداشبورد'!$B$7="الكل",$K553,IF('الداشبورد'!$B$7="تصدير","Y","N")))</f>
        <v/>
      </c>
      <c r="T553">
        <f>--($J553=IF('الداشبورد'!$B$8="الكل",$J553,IF('الداشبورد'!$B$8="AL","A","C")))</f>
        <v/>
      </c>
      <c r="U553">
        <f>--($I553=IF('الداشبورد'!$B$9="الكل",$I553,IF('الداشبورد'!$B$9="بدون حالة","P",'الداشبورد'!$B$9)))</f>
        <v/>
      </c>
      <c r="V553">
        <f>--($D553=IF('الداشبورد'!$B$10="الكل",$D553,'الداشبورد'!$B$10))</f>
        <v/>
      </c>
      <c r="W553">
        <f>--($G553=IF('الداشبورد'!$B$11="الكل",$G553,'الداشبورد'!$B$11))</f>
        <v/>
      </c>
      <c r="X553">
        <f>Q553*R553*S553*T553*U553*V553*W553*--($C553&lt;&gt;"")</f>
        <v/>
      </c>
    </row>
    <row r="554">
      <c r="A554" s="15" t="n">
        <v>6</v>
      </c>
      <c r="B554" s="15" t="inlineStr">
        <is>
          <t>J184796</t>
        </is>
      </c>
      <c r="C554" s="15" t="inlineStr">
        <is>
          <t>1316/26/05</t>
        </is>
      </c>
      <c r="D554" s="15" t="inlineStr">
        <is>
          <t>شركة الجيل الجديد لإستيراد المواد الكهربائية والصن</t>
        </is>
      </c>
      <c r="E554" s="15" t="inlineStr">
        <is>
          <t>LV</t>
        </is>
      </c>
      <c r="F554" s="15" t="inlineStr">
        <is>
          <t>0.6/1 KV 1*400</t>
        </is>
      </c>
      <c r="G554" s="15" t="inlineStr">
        <is>
          <t>EX01</t>
        </is>
      </c>
      <c r="H554" s="15" t="inlineStr">
        <is>
          <t>Wooden Drums</t>
        </is>
      </c>
      <c r="I554" s="15" t="inlineStr">
        <is>
          <t>OK</t>
        </is>
      </c>
      <c r="J554" s="15" t="inlineStr">
        <is>
          <t>A</t>
        </is>
      </c>
      <c r="K554" s="15" t="inlineStr">
        <is>
          <t>Y</t>
        </is>
      </c>
      <c r="L554" s="15" t="n">
        <v>1010</v>
      </c>
      <c r="M554" s="16" t="n">
        <v>0.9999</v>
      </c>
      <c r="N554" s="16" t="n">
        <v>0</v>
      </c>
      <c r="O554" s="16" t="n">
        <v>0</v>
      </c>
      <c r="P554" s="16" t="n">
        <v>0.9999</v>
      </c>
      <c r="Q554">
        <f>--($A554=IF('الداشبورد'!$B$5="الكل",$A554,'الداشبورد'!$B$5))</f>
        <v/>
      </c>
      <c r="R554">
        <f>--($E554=IF('الداشبورد'!$B$6="الكل",$E554,'الداشبورد'!$B$6))</f>
        <v/>
      </c>
      <c r="S554">
        <f>--($K554=IF('الداشبورد'!$B$7="الكل",$K554,IF('الداشبورد'!$B$7="تصدير","Y","N")))</f>
        <v/>
      </c>
      <c r="T554">
        <f>--($J554=IF('الداشبورد'!$B$8="الكل",$J554,IF('الداشبورد'!$B$8="AL","A","C")))</f>
        <v/>
      </c>
      <c r="U554">
        <f>--($I554=IF('الداشبورد'!$B$9="الكل",$I554,IF('الداشبورد'!$B$9="بدون حالة","P",'الداشبورد'!$B$9)))</f>
        <v/>
      </c>
      <c r="V554">
        <f>--($D554=IF('الداشبورد'!$B$10="الكل",$D554,'الداشبورد'!$B$10))</f>
        <v/>
      </c>
      <c r="W554">
        <f>--($G554=IF('الداشبورد'!$B$11="الكل",$G554,'الداشبورد'!$B$11))</f>
        <v/>
      </c>
      <c r="X554">
        <f>Q554*R554*S554*T554*U554*V554*W554*--($C554&lt;&gt;"")</f>
        <v/>
      </c>
    </row>
    <row r="555">
      <c r="A555" s="15" t="n">
        <v>6</v>
      </c>
      <c r="B555" s="15" t="inlineStr">
        <is>
          <t>J184801</t>
        </is>
      </c>
      <c r="C555" s="15" t="inlineStr">
        <is>
          <t>1316/26/05</t>
        </is>
      </c>
      <c r="D555" s="15" t="inlineStr">
        <is>
          <t>شركة الجيل الجديد لإستيراد المواد الكهربائية والصن</t>
        </is>
      </c>
      <c r="E555" s="15" t="inlineStr">
        <is>
          <t>LV</t>
        </is>
      </c>
      <c r="F555" s="15" t="inlineStr">
        <is>
          <t>0.6/1 KV 1*400</t>
        </is>
      </c>
      <c r="G555" s="15" t="inlineStr">
        <is>
          <t>EX01</t>
        </is>
      </c>
      <c r="H555" s="15" t="inlineStr">
        <is>
          <t>Wooden Drums</t>
        </is>
      </c>
      <c r="I555" s="15" t="inlineStr">
        <is>
          <t>OK</t>
        </is>
      </c>
      <c r="J555" s="15" t="inlineStr">
        <is>
          <t>A</t>
        </is>
      </c>
      <c r="K555" s="15" t="inlineStr">
        <is>
          <t>Y</t>
        </is>
      </c>
      <c r="L555" s="15" t="n">
        <v>1010</v>
      </c>
      <c r="M555" s="16" t="n">
        <v>0.9999</v>
      </c>
      <c r="N555" s="16" t="n">
        <v>0</v>
      </c>
      <c r="O555" s="16" t="n">
        <v>0</v>
      </c>
      <c r="P555" s="16" t="n">
        <v>0.9999</v>
      </c>
      <c r="Q555">
        <f>--($A555=IF('الداشبورد'!$B$5="الكل",$A555,'الداشبورد'!$B$5))</f>
        <v/>
      </c>
      <c r="R555">
        <f>--($E555=IF('الداشبورد'!$B$6="الكل",$E555,'الداشبورد'!$B$6))</f>
        <v/>
      </c>
      <c r="S555">
        <f>--($K555=IF('الداشبورد'!$B$7="الكل",$K555,IF('الداشبورد'!$B$7="تصدير","Y","N")))</f>
        <v/>
      </c>
      <c r="T555">
        <f>--($J555=IF('الداشبورد'!$B$8="الكل",$J555,IF('الداشبورد'!$B$8="AL","A","C")))</f>
        <v/>
      </c>
      <c r="U555">
        <f>--($I555=IF('الداشبورد'!$B$9="الكل",$I555,IF('الداشبورد'!$B$9="بدون حالة","P",'الداشبورد'!$B$9)))</f>
        <v/>
      </c>
      <c r="V555">
        <f>--($D555=IF('الداشبورد'!$B$10="الكل",$D555,'الداشبورد'!$B$10))</f>
        <v/>
      </c>
      <c r="W555">
        <f>--($G555=IF('الداشبورد'!$B$11="الكل",$G555,'الداشبورد'!$B$11))</f>
        <v/>
      </c>
      <c r="X555">
        <f>Q555*R555*S555*T555*U555*V555*W555*--($C555&lt;&gt;"")</f>
        <v/>
      </c>
    </row>
    <row r="556">
      <c r="A556" s="15" t="n">
        <v>6</v>
      </c>
      <c r="B556" s="15" t="inlineStr">
        <is>
          <t>J184800</t>
        </is>
      </c>
      <c r="C556" s="15" t="inlineStr">
        <is>
          <t>1316/26/05</t>
        </is>
      </c>
      <c r="D556" s="15" t="inlineStr">
        <is>
          <t>شركة الجيل الجديد لإستيراد المواد الكهربائية والصن</t>
        </is>
      </c>
      <c r="E556" s="15" t="inlineStr">
        <is>
          <t>LV</t>
        </is>
      </c>
      <c r="F556" s="15" t="inlineStr">
        <is>
          <t>0.6/1 KV 1*400</t>
        </is>
      </c>
      <c r="G556" s="15" t="inlineStr">
        <is>
          <t>EX01</t>
        </is>
      </c>
      <c r="H556" s="15" t="inlineStr">
        <is>
          <t>Wooden Drums</t>
        </is>
      </c>
      <c r="I556" s="15" t="inlineStr">
        <is>
          <t>OK</t>
        </is>
      </c>
      <c r="J556" s="15" t="inlineStr">
        <is>
          <t>A</t>
        </is>
      </c>
      <c r="K556" s="15" t="inlineStr">
        <is>
          <t>Y</t>
        </is>
      </c>
      <c r="L556" s="15" t="n">
        <v>1027</v>
      </c>
      <c r="M556" s="16" t="n">
        <v>1.01673</v>
      </c>
      <c r="N556" s="16" t="n">
        <v>0</v>
      </c>
      <c r="O556" s="16" t="n">
        <v>0</v>
      </c>
      <c r="P556" s="16" t="n">
        <v>1.01673</v>
      </c>
      <c r="Q556">
        <f>--($A556=IF('الداشبورد'!$B$5="الكل",$A556,'الداشبورد'!$B$5))</f>
        <v/>
      </c>
      <c r="R556">
        <f>--($E556=IF('الداشبورد'!$B$6="الكل",$E556,'الداشبورد'!$B$6))</f>
        <v/>
      </c>
      <c r="S556">
        <f>--($K556=IF('الداشبورد'!$B$7="الكل",$K556,IF('الداشبورد'!$B$7="تصدير","Y","N")))</f>
        <v/>
      </c>
      <c r="T556">
        <f>--($J556=IF('الداشبورد'!$B$8="الكل",$J556,IF('الداشبورد'!$B$8="AL","A","C")))</f>
        <v/>
      </c>
      <c r="U556">
        <f>--($I556=IF('الداشبورد'!$B$9="الكل",$I556,IF('الداشبورد'!$B$9="بدون حالة","P",'الداشبورد'!$B$9)))</f>
        <v/>
      </c>
      <c r="V556">
        <f>--($D556=IF('الداشبورد'!$B$10="الكل",$D556,'الداشبورد'!$B$10))</f>
        <v/>
      </c>
      <c r="W556">
        <f>--($G556=IF('الداشبورد'!$B$11="الكل",$G556,'الداشبورد'!$B$11))</f>
        <v/>
      </c>
      <c r="X556">
        <f>Q556*R556*S556*T556*U556*V556*W556*--($C556&lt;&gt;"")</f>
        <v/>
      </c>
    </row>
    <row r="557">
      <c r="A557" s="15" t="n">
        <v>6</v>
      </c>
      <c r="B557" s="15" t="inlineStr">
        <is>
          <t>J184835</t>
        </is>
      </c>
      <c r="C557" s="15" t="inlineStr">
        <is>
          <t>1316/26/05</t>
        </is>
      </c>
      <c r="D557" s="15" t="inlineStr">
        <is>
          <t>شركة الجيل الجديد لإستيراد المواد الكهربائية والصن</t>
        </is>
      </c>
      <c r="E557" s="15" t="inlineStr">
        <is>
          <t>LV</t>
        </is>
      </c>
      <c r="F557" s="15" t="inlineStr">
        <is>
          <t>0.6/1 KV 1*400</t>
        </is>
      </c>
      <c r="G557" s="15" t="inlineStr">
        <is>
          <t>EX01</t>
        </is>
      </c>
      <c r="H557" s="15" t="inlineStr">
        <is>
          <t>Wooden Drums</t>
        </is>
      </c>
      <c r="I557" s="15" t="inlineStr">
        <is>
          <t>P</t>
        </is>
      </c>
      <c r="J557" s="15" t="inlineStr">
        <is>
          <t>A</t>
        </is>
      </c>
      <c r="K557" s="15" t="inlineStr">
        <is>
          <t>Y</t>
        </is>
      </c>
      <c r="L557" s="15" t="n">
        <v>1025</v>
      </c>
      <c r="M557" s="16" t="n">
        <v>1.01475</v>
      </c>
      <c r="N557" s="16" t="n">
        <v>0</v>
      </c>
      <c r="O557" s="16" t="n">
        <v>0</v>
      </c>
      <c r="P557" s="16" t="n">
        <v>1.01475</v>
      </c>
      <c r="Q557">
        <f>--($A557=IF('الداشبورد'!$B$5="الكل",$A557,'الداشبورد'!$B$5))</f>
        <v/>
      </c>
      <c r="R557">
        <f>--($E557=IF('الداشبورد'!$B$6="الكل",$E557,'الداشبورد'!$B$6))</f>
        <v/>
      </c>
      <c r="S557">
        <f>--($K557=IF('الداشبورد'!$B$7="الكل",$K557,IF('الداشبورد'!$B$7="تصدير","Y","N")))</f>
        <v/>
      </c>
      <c r="T557">
        <f>--($J557=IF('الداشبورد'!$B$8="الكل",$J557,IF('الداشبورد'!$B$8="AL","A","C")))</f>
        <v/>
      </c>
      <c r="U557">
        <f>--($I557=IF('الداشبورد'!$B$9="الكل",$I557,IF('الداشبورد'!$B$9="بدون حالة","P",'الداشبورد'!$B$9)))</f>
        <v/>
      </c>
      <c r="V557">
        <f>--($D557=IF('الداشبورد'!$B$10="الكل",$D557,'الداشبورد'!$B$10))</f>
        <v/>
      </c>
      <c r="W557">
        <f>--($G557=IF('الداشبورد'!$B$11="الكل",$G557,'الداشبورد'!$B$11))</f>
        <v/>
      </c>
      <c r="X557">
        <f>Q557*R557*S557*T557*U557*V557*W557*--($C557&lt;&gt;"")</f>
        <v/>
      </c>
    </row>
    <row r="558">
      <c r="A558" s="15" t="n">
        <v>6</v>
      </c>
      <c r="B558" s="15" t="inlineStr">
        <is>
          <t>G184697</t>
        </is>
      </c>
      <c r="C558" s="15" t="inlineStr">
        <is>
          <t>645/26/02</t>
        </is>
      </c>
      <c r="D558" s="15" t="inlineStr">
        <is>
          <t>Vigo trgovina d.o.o.</t>
        </is>
      </c>
      <c r="E558" s="15" t="inlineStr">
        <is>
          <t>LV</t>
        </is>
      </c>
      <c r="F558" s="15" t="inlineStr">
        <is>
          <t>0.6/1 KV 4X50</t>
        </is>
      </c>
      <c r="G558" s="15" t="inlineStr">
        <is>
          <t>EX03</t>
        </is>
      </c>
      <c r="H558" s="15" t="inlineStr">
        <is>
          <t>Wooden Drums</t>
        </is>
      </c>
      <c r="I558" s="15" t="inlineStr">
        <is>
          <t>OK</t>
        </is>
      </c>
      <c r="J558" s="15" t="inlineStr">
        <is>
          <t>A</t>
        </is>
      </c>
      <c r="K558" s="15" t="inlineStr">
        <is>
          <t>Y</t>
        </is>
      </c>
      <c r="L558" s="15" t="n">
        <v>508</v>
      </c>
      <c r="M558" s="16" t="n">
        <v>0.240792</v>
      </c>
      <c r="N558" s="16" t="n">
        <v>0</v>
      </c>
      <c r="O558" s="16" t="n">
        <v>0</v>
      </c>
      <c r="P558" s="16" t="n">
        <v>0.240792</v>
      </c>
      <c r="Q558">
        <f>--($A558=IF('الداشبورد'!$B$5="الكل",$A558,'الداشبورد'!$B$5))</f>
        <v/>
      </c>
      <c r="R558">
        <f>--($E558=IF('الداشبورد'!$B$6="الكل",$E558,'الداشبورد'!$B$6))</f>
        <v/>
      </c>
      <c r="S558">
        <f>--($K558=IF('الداشبورد'!$B$7="الكل",$K558,IF('الداشبورد'!$B$7="تصدير","Y","N")))</f>
        <v/>
      </c>
      <c r="T558">
        <f>--($J558=IF('الداشبورد'!$B$8="الكل",$J558,IF('الداشبورد'!$B$8="AL","A","C")))</f>
        <v/>
      </c>
      <c r="U558">
        <f>--($I558=IF('الداشبورد'!$B$9="الكل",$I558,IF('الداشبورد'!$B$9="بدون حالة","P",'الداشبورد'!$B$9)))</f>
        <v/>
      </c>
      <c r="V558">
        <f>--($D558=IF('الداشبورد'!$B$10="الكل",$D558,'الداشبورد'!$B$10))</f>
        <v/>
      </c>
      <c r="W558">
        <f>--($G558=IF('الداشبورد'!$B$11="الكل",$G558,'الداشبورد'!$B$11))</f>
        <v/>
      </c>
      <c r="X558">
        <f>Q558*R558*S558*T558*U558*V558*W558*--($C558&lt;&gt;"")</f>
        <v/>
      </c>
    </row>
    <row r="559">
      <c r="A559" s="15" t="n">
        <v>5</v>
      </c>
      <c r="B559" s="15" t="inlineStr">
        <is>
          <t>G184815</t>
        </is>
      </c>
      <c r="C559" s="15" t="inlineStr">
        <is>
          <t>645/26/02</t>
        </is>
      </c>
      <c r="D559" s="15" t="inlineStr">
        <is>
          <t>Vigo trgovina d.o.o.</t>
        </is>
      </c>
      <c r="E559" s="15" t="inlineStr">
        <is>
          <t>LV</t>
        </is>
      </c>
      <c r="F559" s="15" t="inlineStr">
        <is>
          <t>0.6/1 KV 4X50</t>
        </is>
      </c>
      <c r="G559" s="15" t="inlineStr">
        <is>
          <t>EX03</t>
        </is>
      </c>
      <c r="H559" s="15" t="inlineStr">
        <is>
          <t>Wooden Drums</t>
        </is>
      </c>
      <c r="I559" s="15" t="inlineStr">
        <is>
          <t>OK</t>
        </is>
      </c>
      <c r="J559" s="15" t="inlineStr">
        <is>
          <t>A</t>
        </is>
      </c>
      <c r="K559" s="15" t="inlineStr">
        <is>
          <t>Y</t>
        </is>
      </c>
      <c r="L559" s="15" t="n">
        <v>510</v>
      </c>
      <c r="M559" s="16" t="n">
        <v>0.24174</v>
      </c>
      <c r="N559" s="16" t="n">
        <v>0</v>
      </c>
      <c r="O559" s="16" t="n">
        <v>0</v>
      </c>
      <c r="P559" s="16" t="n">
        <v>0.24174</v>
      </c>
      <c r="Q559">
        <f>--($A559=IF('الداشبورد'!$B$5="الكل",$A559,'الداشبورد'!$B$5))</f>
        <v/>
      </c>
      <c r="R559">
        <f>--($E559=IF('الداشبورد'!$B$6="الكل",$E559,'الداشبورد'!$B$6))</f>
        <v/>
      </c>
      <c r="S559">
        <f>--($K559=IF('الداشبورد'!$B$7="الكل",$K559,IF('الداشبورد'!$B$7="تصدير","Y","N")))</f>
        <v/>
      </c>
      <c r="T559">
        <f>--($J559=IF('الداشبورد'!$B$8="الكل",$J559,IF('الداشبورد'!$B$8="AL","A","C")))</f>
        <v/>
      </c>
      <c r="U559">
        <f>--($I559=IF('الداشبورد'!$B$9="الكل",$I559,IF('الداشبورد'!$B$9="بدون حالة","P",'الداشبورد'!$B$9)))</f>
        <v/>
      </c>
      <c r="V559">
        <f>--($D559=IF('الداشبورد'!$B$10="الكل",$D559,'الداشبورد'!$B$10))</f>
        <v/>
      </c>
      <c r="W559">
        <f>--($G559=IF('الداشبورد'!$B$11="الكل",$G559,'الداشبورد'!$B$11))</f>
        <v/>
      </c>
      <c r="X559">
        <f>Q559*R559*S559*T559*U559*V559*W559*--($C559&lt;&gt;"")</f>
        <v/>
      </c>
    </row>
    <row r="560">
      <c r="A560" s="15" t="n">
        <v>5</v>
      </c>
      <c r="B560" s="15" t="inlineStr">
        <is>
          <t>G184698</t>
        </is>
      </c>
      <c r="C560" s="15" t="inlineStr">
        <is>
          <t>645/26/02</t>
        </is>
      </c>
      <c r="D560" s="15" t="inlineStr">
        <is>
          <t>Vigo trgovina d.o.o.</t>
        </is>
      </c>
      <c r="E560" s="15" t="inlineStr">
        <is>
          <t>LV</t>
        </is>
      </c>
      <c r="F560" s="15" t="inlineStr">
        <is>
          <t>0.6/1 KV 4X50</t>
        </is>
      </c>
      <c r="G560" s="15" t="inlineStr">
        <is>
          <t>EX03</t>
        </is>
      </c>
      <c r="H560" s="15" t="inlineStr">
        <is>
          <t>Wooden Drums</t>
        </is>
      </c>
      <c r="I560" s="15" t="inlineStr">
        <is>
          <t>OK</t>
        </is>
      </c>
      <c r="J560" s="15" t="inlineStr">
        <is>
          <t>A</t>
        </is>
      </c>
      <c r="K560" s="15" t="inlineStr">
        <is>
          <t>Y</t>
        </is>
      </c>
      <c r="L560" s="15" t="n">
        <v>510</v>
      </c>
      <c r="M560" s="16" t="n">
        <v>0.24174</v>
      </c>
      <c r="N560" s="16" t="n">
        <v>0</v>
      </c>
      <c r="O560" s="16" t="n">
        <v>0</v>
      </c>
      <c r="P560" s="16" t="n">
        <v>0.24174</v>
      </c>
      <c r="Q560">
        <f>--($A560=IF('الداشبورد'!$B$5="الكل",$A560,'الداشبورد'!$B$5))</f>
        <v/>
      </c>
      <c r="R560">
        <f>--($E560=IF('الداشبورد'!$B$6="الكل",$E560,'الداشبورد'!$B$6))</f>
        <v/>
      </c>
      <c r="S560">
        <f>--($K560=IF('الداشبورد'!$B$7="الكل",$K560,IF('الداشبورد'!$B$7="تصدير","Y","N")))</f>
        <v/>
      </c>
      <c r="T560">
        <f>--($J560=IF('الداشبورد'!$B$8="الكل",$J560,IF('الداشبورد'!$B$8="AL","A","C")))</f>
        <v/>
      </c>
      <c r="U560">
        <f>--($I560=IF('الداشبورد'!$B$9="الكل",$I560,IF('الداشبورد'!$B$9="بدون حالة","P",'الداشبورد'!$B$9)))</f>
        <v/>
      </c>
      <c r="V560">
        <f>--($D560=IF('الداشبورد'!$B$10="الكل",$D560,'الداشبورد'!$B$10))</f>
        <v/>
      </c>
      <c r="W560">
        <f>--($G560=IF('الداشبورد'!$B$11="الكل",$G560,'الداشبورد'!$B$11))</f>
        <v/>
      </c>
      <c r="X560">
        <f>Q560*R560*S560*T560*U560*V560*W560*--($C560&lt;&gt;"")</f>
        <v/>
      </c>
    </row>
    <row r="561">
      <c r="A561" s="15" t="n">
        <v>6</v>
      </c>
      <c r="B561" s="15" t="inlineStr">
        <is>
          <t>M184849</t>
        </is>
      </c>
      <c r="C561" s="15" t="inlineStr">
        <is>
          <t>1430/26/05</t>
        </is>
      </c>
      <c r="D561" s="15" t="inlineStr">
        <is>
          <t>Faber Kabel</t>
        </is>
      </c>
      <c r="E561" s="15" t="inlineStr">
        <is>
          <t>LV</t>
        </is>
      </c>
      <c r="F561" s="15" t="inlineStr">
        <is>
          <t>600/1000 4X185</t>
        </is>
      </c>
      <c r="G561" s="15" t="inlineStr">
        <is>
          <t>EX03</t>
        </is>
      </c>
      <c r="H561" s="15" t="inlineStr">
        <is>
          <t>Wooden Drums</t>
        </is>
      </c>
      <c r="I561" s="15" t="inlineStr">
        <is>
          <t>OK</t>
        </is>
      </c>
      <c r="J561" s="15" t="inlineStr">
        <is>
          <t>A</t>
        </is>
      </c>
      <c r="K561" s="15" t="inlineStr">
        <is>
          <t>Y</t>
        </is>
      </c>
      <c r="L561" s="15" t="n">
        <v>505</v>
      </c>
      <c r="M561" s="16" t="n">
        <v>0.940815</v>
      </c>
      <c r="N561" s="16" t="n">
        <v>0</v>
      </c>
      <c r="O561" s="16" t="n">
        <v>0</v>
      </c>
      <c r="P561" s="16" t="n">
        <v>0.940815</v>
      </c>
      <c r="Q561">
        <f>--($A561=IF('الداشبورد'!$B$5="الكل",$A561,'الداشبورد'!$B$5))</f>
        <v/>
      </c>
      <c r="R561">
        <f>--($E561=IF('الداشبورد'!$B$6="الكل",$E561,'الداشبورد'!$B$6))</f>
        <v/>
      </c>
      <c r="S561">
        <f>--($K561=IF('الداشبورد'!$B$7="الكل",$K561,IF('الداشبورد'!$B$7="تصدير","Y","N")))</f>
        <v/>
      </c>
      <c r="T561">
        <f>--($J561=IF('الداشبورد'!$B$8="الكل",$J561,IF('الداشبورد'!$B$8="AL","A","C")))</f>
        <v/>
      </c>
      <c r="U561">
        <f>--($I561=IF('الداشبورد'!$B$9="الكل",$I561,IF('الداشبورد'!$B$9="بدون حالة","P",'الداشبورد'!$B$9)))</f>
        <v/>
      </c>
      <c r="V561">
        <f>--($D561=IF('الداشبورد'!$B$10="الكل",$D561,'الداشبورد'!$B$10))</f>
        <v/>
      </c>
      <c r="W561">
        <f>--($G561=IF('الداشبورد'!$B$11="الكل",$G561,'الداشبورد'!$B$11))</f>
        <v/>
      </c>
      <c r="X561">
        <f>Q561*R561*S561*T561*U561*V561*W561*--($C561&lt;&gt;"")</f>
        <v/>
      </c>
    </row>
    <row r="562">
      <c r="A562" s="15" t="n">
        <v>6</v>
      </c>
      <c r="B562" s="15" t="inlineStr">
        <is>
          <t>M184850</t>
        </is>
      </c>
      <c r="C562" s="15" t="inlineStr">
        <is>
          <t>1430/26/05</t>
        </is>
      </c>
      <c r="D562" s="15" t="inlineStr">
        <is>
          <t>Faber Kabel</t>
        </is>
      </c>
      <c r="E562" s="15" t="inlineStr">
        <is>
          <t>LV</t>
        </is>
      </c>
      <c r="F562" s="15" t="inlineStr">
        <is>
          <t>600/1000 4X185</t>
        </is>
      </c>
      <c r="G562" s="15" t="inlineStr">
        <is>
          <t>EX03</t>
        </is>
      </c>
      <c r="H562" s="15" t="inlineStr">
        <is>
          <t>Wooden Drums</t>
        </is>
      </c>
      <c r="I562" s="15" t="inlineStr">
        <is>
          <t>OK</t>
        </is>
      </c>
      <c r="J562" s="15" t="inlineStr">
        <is>
          <t>A</t>
        </is>
      </c>
      <c r="K562" s="15" t="inlineStr">
        <is>
          <t>Y</t>
        </is>
      </c>
      <c r="L562" s="15" t="n">
        <v>505</v>
      </c>
      <c r="M562" s="16" t="n">
        <v>0.940815</v>
      </c>
      <c r="N562" s="16" t="n">
        <v>0</v>
      </c>
      <c r="O562" s="16" t="n">
        <v>0</v>
      </c>
      <c r="P562" s="16" t="n">
        <v>0.940815</v>
      </c>
      <c r="Q562">
        <f>--($A562=IF('الداشبورد'!$B$5="الكل",$A562,'الداشبورد'!$B$5))</f>
        <v/>
      </c>
      <c r="R562">
        <f>--($E562=IF('الداشبورد'!$B$6="الكل",$E562,'الداشبورد'!$B$6))</f>
        <v/>
      </c>
      <c r="S562">
        <f>--($K562=IF('الداشبورد'!$B$7="الكل",$K562,IF('الداشبورد'!$B$7="تصدير","Y","N")))</f>
        <v/>
      </c>
      <c r="T562">
        <f>--($J562=IF('الداشبورد'!$B$8="الكل",$J562,IF('الداشبورد'!$B$8="AL","A","C")))</f>
        <v/>
      </c>
      <c r="U562">
        <f>--($I562=IF('الداشبورد'!$B$9="الكل",$I562,IF('الداشبورد'!$B$9="بدون حالة","P",'الداشبورد'!$B$9)))</f>
        <v/>
      </c>
      <c r="V562">
        <f>--($D562=IF('الداشبورد'!$B$10="الكل",$D562,'الداشبورد'!$B$10))</f>
        <v/>
      </c>
      <c r="W562">
        <f>--($G562=IF('الداشبورد'!$B$11="الكل",$G562,'الداشبورد'!$B$11))</f>
        <v/>
      </c>
      <c r="X562">
        <f>Q562*R562*S562*T562*U562*V562*W562*--($C562&lt;&gt;"")</f>
        <v/>
      </c>
    </row>
    <row r="563">
      <c r="A563" s="15" t="n">
        <v>6</v>
      </c>
      <c r="B563" s="15" t="inlineStr">
        <is>
          <t>M183996</t>
        </is>
      </c>
      <c r="C563" s="15" t="inlineStr">
        <is>
          <t>1430/26/05</t>
        </is>
      </c>
      <c r="D563" s="15" t="inlineStr">
        <is>
          <t>Faber Kabel</t>
        </is>
      </c>
      <c r="E563" s="15" t="inlineStr">
        <is>
          <t>LV</t>
        </is>
      </c>
      <c r="F563" s="15" t="inlineStr">
        <is>
          <t>600/1000 4X185</t>
        </is>
      </c>
      <c r="G563" s="15" t="inlineStr">
        <is>
          <t>EX03</t>
        </is>
      </c>
      <c r="H563" s="15" t="inlineStr">
        <is>
          <t>Wooden Drums</t>
        </is>
      </c>
      <c r="I563" s="15" t="inlineStr">
        <is>
          <t>OK</t>
        </is>
      </c>
      <c r="J563" s="15" t="inlineStr">
        <is>
          <t>A</t>
        </is>
      </c>
      <c r="K563" s="15" t="inlineStr">
        <is>
          <t>Y</t>
        </is>
      </c>
      <c r="L563" s="15" t="n">
        <v>495</v>
      </c>
      <c r="M563" s="16" t="n">
        <v>0.9221849999999999</v>
      </c>
      <c r="N563" s="16" t="n">
        <v>0</v>
      </c>
      <c r="O563" s="16" t="n">
        <v>0</v>
      </c>
      <c r="P563" s="16" t="n">
        <v>0.9221849999999999</v>
      </c>
      <c r="Q563">
        <f>--($A563=IF('الداشبورد'!$B$5="الكل",$A563,'الداشبورد'!$B$5))</f>
        <v/>
      </c>
      <c r="R563">
        <f>--($E563=IF('الداشبورد'!$B$6="الكل",$E563,'الداشبورد'!$B$6))</f>
        <v/>
      </c>
      <c r="S563">
        <f>--($K563=IF('الداشبورد'!$B$7="الكل",$K563,IF('الداشبورد'!$B$7="تصدير","Y","N")))</f>
        <v/>
      </c>
      <c r="T563">
        <f>--($J563=IF('الداشبورد'!$B$8="الكل",$J563,IF('الداشبورد'!$B$8="AL","A","C")))</f>
        <v/>
      </c>
      <c r="U563">
        <f>--($I563=IF('الداشبورد'!$B$9="الكل",$I563,IF('الداشبورد'!$B$9="بدون حالة","P",'الداشبورد'!$B$9)))</f>
        <v/>
      </c>
      <c r="V563">
        <f>--($D563=IF('الداشبورد'!$B$10="الكل",$D563,'الداشبورد'!$B$10))</f>
        <v/>
      </c>
      <c r="W563">
        <f>--($G563=IF('الداشبورد'!$B$11="الكل",$G563,'الداشبورد'!$B$11))</f>
        <v/>
      </c>
      <c r="X563">
        <f>Q563*R563*S563*T563*U563*V563*W563*--($C563&lt;&gt;"")</f>
        <v/>
      </c>
    </row>
    <row r="564">
      <c r="A564" s="15" t="n">
        <v>6</v>
      </c>
      <c r="B564" s="15" t="inlineStr">
        <is>
          <t>M184869</t>
        </is>
      </c>
      <c r="C564" s="15" t="inlineStr">
        <is>
          <t>1430/26/05</t>
        </is>
      </c>
      <c r="D564" s="15" t="inlineStr">
        <is>
          <t>Faber Kabel</t>
        </is>
      </c>
      <c r="E564" s="15" t="inlineStr">
        <is>
          <t>LV</t>
        </is>
      </c>
      <c r="F564" s="15" t="inlineStr">
        <is>
          <t>600/1000 4X185</t>
        </is>
      </c>
      <c r="G564" s="15" t="inlineStr">
        <is>
          <t>EX03</t>
        </is>
      </c>
      <c r="H564" s="15" t="inlineStr">
        <is>
          <t>Wooden Drums</t>
        </is>
      </c>
      <c r="I564" s="15" t="inlineStr">
        <is>
          <t>OK</t>
        </is>
      </c>
      <c r="J564" s="15" t="inlineStr">
        <is>
          <t>A</t>
        </is>
      </c>
      <c r="K564" s="15" t="inlineStr">
        <is>
          <t>Y</t>
        </is>
      </c>
      <c r="L564" s="15" t="n">
        <v>505</v>
      </c>
      <c r="M564" s="16" t="n">
        <v>0.940815</v>
      </c>
      <c r="N564" s="16" t="n">
        <v>0</v>
      </c>
      <c r="O564" s="16" t="n">
        <v>0</v>
      </c>
      <c r="P564" s="16" t="n">
        <v>0.940815</v>
      </c>
      <c r="Q564">
        <f>--($A564=IF('الداشبورد'!$B$5="الكل",$A564,'الداشبورد'!$B$5))</f>
        <v/>
      </c>
      <c r="R564">
        <f>--($E564=IF('الداشبورد'!$B$6="الكل",$E564,'الداشبورد'!$B$6))</f>
        <v/>
      </c>
      <c r="S564">
        <f>--($K564=IF('الداشبورد'!$B$7="الكل",$K564,IF('الداشبورد'!$B$7="تصدير","Y","N")))</f>
        <v/>
      </c>
      <c r="T564">
        <f>--($J564=IF('الداشبورد'!$B$8="الكل",$J564,IF('الداشبورد'!$B$8="AL","A","C")))</f>
        <v/>
      </c>
      <c r="U564">
        <f>--($I564=IF('الداشبورد'!$B$9="الكل",$I564,IF('الداشبورد'!$B$9="بدون حالة","P",'الداشبورد'!$B$9)))</f>
        <v/>
      </c>
      <c r="V564">
        <f>--($D564=IF('الداشبورد'!$B$10="الكل",$D564,'الداشبورد'!$B$10))</f>
        <v/>
      </c>
      <c r="W564">
        <f>--($G564=IF('الداشبورد'!$B$11="الكل",$G564,'الداشبورد'!$B$11))</f>
        <v/>
      </c>
      <c r="X564">
        <f>Q564*R564*S564*T564*U564*V564*W564*--($C564&lt;&gt;"")</f>
        <v/>
      </c>
    </row>
    <row r="565">
      <c r="A565" s="15" t="n">
        <v>6</v>
      </c>
      <c r="B565" s="15" t="inlineStr">
        <is>
          <t>M184821</t>
        </is>
      </c>
      <c r="C565" s="15" t="inlineStr">
        <is>
          <t>1430/26/05</t>
        </is>
      </c>
      <c r="D565" s="15" t="inlineStr">
        <is>
          <t>Faber Kabel</t>
        </is>
      </c>
      <c r="E565" s="15" t="inlineStr">
        <is>
          <t>LV</t>
        </is>
      </c>
      <c r="F565" s="15" t="inlineStr">
        <is>
          <t>600/1000 4X185</t>
        </is>
      </c>
      <c r="G565" s="15" t="inlineStr">
        <is>
          <t>EX03</t>
        </is>
      </c>
      <c r="H565" s="15" t="inlineStr">
        <is>
          <t>Wooden Drums</t>
        </is>
      </c>
      <c r="I565" s="15" t="inlineStr">
        <is>
          <t>OK</t>
        </is>
      </c>
      <c r="J565" s="15" t="inlineStr">
        <is>
          <t>A</t>
        </is>
      </c>
      <c r="K565" s="15" t="inlineStr">
        <is>
          <t>Y</t>
        </is>
      </c>
      <c r="L565" s="15" t="n">
        <v>505</v>
      </c>
      <c r="M565" s="16" t="n">
        <v>0.940815</v>
      </c>
      <c r="N565" s="16" t="n">
        <v>0</v>
      </c>
      <c r="O565" s="16" t="n">
        <v>0</v>
      </c>
      <c r="P565" s="16" t="n">
        <v>0.940815</v>
      </c>
      <c r="Q565">
        <f>--($A565=IF('الداشبورد'!$B$5="الكل",$A565,'الداشبورد'!$B$5))</f>
        <v/>
      </c>
      <c r="R565">
        <f>--($E565=IF('الداشبورد'!$B$6="الكل",$E565,'الداشبورد'!$B$6))</f>
        <v/>
      </c>
      <c r="S565">
        <f>--($K565=IF('الداشبورد'!$B$7="الكل",$K565,IF('الداشبورد'!$B$7="تصدير","Y","N")))</f>
        <v/>
      </c>
      <c r="T565">
        <f>--($J565=IF('الداشبورد'!$B$8="الكل",$J565,IF('الداشبورد'!$B$8="AL","A","C")))</f>
        <v/>
      </c>
      <c r="U565">
        <f>--($I565=IF('الداشبورد'!$B$9="الكل",$I565,IF('الداشبورد'!$B$9="بدون حالة","P",'الداشبورد'!$B$9)))</f>
        <v/>
      </c>
      <c r="V565">
        <f>--($D565=IF('الداشبورد'!$B$10="الكل",$D565,'الداشبورد'!$B$10))</f>
        <v/>
      </c>
      <c r="W565">
        <f>--($G565=IF('الداشبورد'!$B$11="الكل",$G565,'الداشبورد'!$B$11))</f>
        <v/>
      </c>
      <c r="X565">
        <f>Q565*R565*S565*T565*U565*V565*W565*--($C565&lt;&gt;"")</f>
        <v/>
      </c>
    </row>
    <row r="566">
      <c r="A566" s="15" t="n">
        <v>6</v>
      </c>
      <c r="B566" s="15" t="inlineStr">
        <is>
          <t>M184868</t>
        </is>
      </c>
      <c r="C566" s="15" t="inlineStr">
        <is>
          <t>1430/26/05</t>
        </is>
      </c>
      <c r="D566" s="15" t="inlineStr">
        <is>
          <t>Faber Kabel</t>
        </is>
      </c>
      <c r="E566" s="15" t="inlineStr">
        <is>
          <t>LV</t>
        </is>
      </c>
      <c r="F566" s="15" t="inlineStr">
        <is>
          <t>600/1000 4X185</t>
        </is>
      </c>
      <c r="G566" s="15" t="inlineStr">
        <is>
          <t>EX03</t>
        </is>
      </c>
      <c r="H566" s="15" t="inlineStr">
        <is>
          <t>Wooden Drums</t>
        </is>
      </c>
      <c r="I566" s="15" t="inlineStr">
        <is>
          <t>OK</t>
        </is>
      </c>
      <c r="J566" s="15" t="inlineStr">
        <is>
          <t>A</t>
        </is>
      </c>
      <c r="K566" s="15" t="inlineStr">
        <is>
          <t>Y</t>
        </is>
      </c>
      <c r="L566" s="15" t="n">
        <v>505</v>
      </c>
      <c r="M566" s="16" t="n">
        <v>0.940815</v>
      </c>
      <c r="N566" s="16" t="n">
        <v>0</v>
      </c>
      <c r="O566" s="16" t="n">
        <v>0</v>
      </c>
      <c r="P566" s="16" t="n">
        <v>0.940815</v>
      </c>
      <c r="Q566">
        <f>--($A566=IF('الداشبورد'!$B$5="الكل",$A566,'الداشبورد'!$B$5))</f>
        <v/>
      </c>
      <c r="R566">
        <f>--($E566=IF('الداشبورد'!$B$6="الكل",$E566,'الداشبورد'!$B$6))</f>
        <v/>
      </c>
      <c r="S566">
        <f>--($K566=IF('الداشبورد'!$B$7="الكل",$K566,IF('الداشبورد'!$B$7="تصدير","Y","N")))</f>
        <v/>
      </c>
      <c r="T566">
        <f>--($J566=IF('الداشبورد'!$B$8="الكل",$J566,IF('الداشبورد'!$B$8="AL","A","C")))</f>
        <v/>
      </c>
      <c r="U566">
        <f>--($I566=IF('الداشبورد'!$B$9="الكل",$I566,IF('الداشبورد'!$B$9="بدون حالة","P",'الداشبورد'!$B$9)))</f>
        <v/>
      </c>
      <c r="V566">
        <f>--($D566=IF('الداشبورد'!$B$10="الكل",$D566,'الداشبورد'!$B$10))</f>
        <v/>
      </c>
      <c r="W566">
        <f>--($G566=IF('الداشبورد'!$B$11="الكل",$G566,'الداشبورد'!$B$11))</f>
        <v/>
      </c>
      <c r="X566">
        <f>Q566*R566*S566*T566*U566*V566*W566*--($C566&lt;&gt;"")</f>
        <v/>
      </c>
    </row>
    <row r="567">
      <c r="A567" s="15" t="n">
        <v>6</v>
      </c>
      <c r="B567" s="15" t="inlineStr">
        <is>
          <t>M184901</t>
        </is>
      </c>
      <c r="C567" s="15" t="inlineStr">
        <is>
          <t>1430/26/05</t>
        </is>
      </c>
      <c r="D567" s="15" t="inlineStr">
        <is>
          <t>Faber Kabel</t>
        </is>
      </c>
      <c r="E567" s="15" t="inlineStr">
        <is>
          <t>LV</t>
        </is>
      </c>
      <c r="F567" s="15" t="inlineStr">
        <is>
          <t>600/1000 4X185</t>
        </is>
      </c>
      <c r="G567" s="15" t="inlineStr">
        <is>
          <t>EX03</t>
        </is>
      </c>
      <c r="H567" s="15" t="inlineStr">
        <is>
          <t>Wooden Drums</t>
        </is>
      </c>
      <c r="I567" s="15" t="inlineStr">
        <is>
          <t>OK</t>
        </is>
      </c>
      <c r="J567" s="15" t="inlineStr">
        <is>
          <t>A</t>
        </is>
      </c>
      <c r="K567" s="15" t="inlineStr">
        <is>
          <t>Y</t>
        </is>
      </c>
      <c r="L567" s="15" t="n">
        <v>530</v>
      </c>
      <c r="M567" s="16" t="n">
        <v>0.98739</v>
      </c>
      <c r="N567" s="16" t="n">
        <v>0</v>
      </c>
      <c r="O567" s="16" t="n">
        <v>0</v>
      </c>
      <c r="P567" s="16" t="n">
        <v>0.98739</v>
      </c>
      <c r="Q567">
        <f>--($A567=IF('الداشبورد'!$B$5="الكل",$A567,'الداشبورد'!$B$5))</f>
        <v/>
      </c>
      <c r="R567">
        <f>--($E567=IF('الداشبورد'!$B$6="الكل",$E567,'الداشبورد'!$B$6))</f>
        <v/>
      </c>
      <c r="S567">
        <f>--($K567=IF('الداشبورد'!$B$7="الكل",$K567,IF('الداشبورد'!$B$7="تصدير","Y","N")))</f>
        <v/>
      </c>
      <c r="T567">
        <f>--($J567=IF('الداشبورد'!$B$8="الكل",$J567,IF('الداشبورد'!$B$8="AL","A","C")))</f>
        <v/>
      </c>
      <c r="U567">
        <f>--($I567=IF('الداشبورد'!$B$9="الكل",$I567,IF('الداشبورد'!$B$9="بدون حالة","P",'الداشبورد'!$B$9)))</f>
        <v/>
      </c>
      <c r="V567">
        <f>--($D567=IF('الداشبورد'!$B$10="الكل",$D567,'الداشبورد'!$B$10))</f>
        <v/>
      </c>
      <c r="W567">
        <f>--($G567=IF('الداشبورد'!$B$11="الكل",$G567,'الداشبورد'!$B$11))</f>
        <v/>
      </c>
      <c r="X567">
        <f>Q567*R567*S567*T567*U567*V567*W567*--($C567&lt;&gt;"")</f>
        <v/>
      </c>
    </row>
    <row r="568">
      <c r="A568" s="15" t="n">
        <v>6</v>
      </c>
      <c r="B568" s="15" t="inlineStr">
        <is>
          <t>M184867</t>
        </is>
      </c>
      <c r="C568" s="15" t="inlineStr">
        <is>
          <t>1430/26/05</t>
        </is>
      </c>
      <c r="D568" s="15" t="inlineStr">
        <is>
          <t>Faber Kabel</t>
        </is>
      </c>
      <c r="E568" s="15" t="inlineStr">
        <is>
          <t>LV</t>
        </is>
      </c>
      <c r="F568" s="15" t="inlineStr">
        <is>
          <t>600/1000 4X185</t>
        </is>
      </c>
      <c r="G568" s="15" t="inlineStr">
        <is>
          <t>EX03</t>
        </is>
      </c>
      <c r="H568" s="15" t="inlineStr">
        <is>
          <t>Wooden Drums</t>
        </is>
      </c>
      <c r="I568" s="15" t="inlineStr">
        <is>
          <t>OK</t>
        </is>
      </c>
      <c r="J568" s="15" t="inlineStr">
        <is>
          <t>A</t>
        </is>
      </c>
      <c r="K568" s="15" t="inlineStr">
        <is>
          <t>Y</t>
        </is>
      </c>
      <c r="L568" s="15" t="n">
        <v>538</v>
      </c>
      <c r="M568" s="16" t="n">
        <v>1.002294</v>
      </c>
      <c r="N568" s="16" t="n">
        <v>0</v>
      </c>
      <c r="O568" s="16" t="n">
        <v>0</v>
      </c>
      <c r="P568" s="16" t="n">
        <v>1.002294</v>
      </c>
      <c r="Q568">
        <f>--($A568=IF('الداشبورد'!$B$5="الكل",$A568,'الداشبورد'!$B$5))</f>
        <v/>
      </c>
      <c r="R568">
        <f>--($E568=IF('الداشبورد'!$B$6="الكل",$E568,'الداشبورد'!$B$6))</f>
        <v/>
      </c>
      <c r="S568">
        <f>--($K568=IF('الداشبورد'!$B$7="الكل",$K568,IF('الداشبورد'!$B$7="تصدير","Y","N")))</f>
        <v/>
      </c>
      <c r="T568">
        <f>--($J568=IF('الداشبورد'!$B$8="الكل",$J568,IF('الداشبورد'!$B$8="AL","A","C")))</f>
        <v/>
      </c>
      <c r="U568">
        <f>--($I568=IF('الداشبورد'!$B$9="الكل",$I568,IF('الداشبورد'!$B$9="بدون حالة","P",'الداشبورد'!$B$9)))</f>
        <v/>
      </c>
      <c r="V568">
        <f>--($D568=IF('الداشبورد'!$B$10="الكل",$D568,'الداشبورد'!$B$10))</f>
        <v/>
      </c>
      <c r="W568">
        <f>--($G568=IF('الداشبورد'!$B$11="الكل",$G568,'الداشبورد'!$B$11))</f>
        <v/>
      </c>
      <c r="X568">
        <f>Q568*R568*S568*T568*U568*V568*W568*--($C568&lt;&gt;"")</f>
        <v/>
      </c>
    </row>
    <row r="569">
      <c r="A569" s="15" t="n">
        <v>6</v>
      </c>
      <c r="B569" s="15" t="inlineStr">
        <is>
          <t>M184900</t>
        </is>
      </c>
      <c r="C569" s="15" t="inlineStr">
        <is>
          <t>1430/26/05</t>
        </is>
      </c>
      <c r="D569" s="15" t="inlineStr">
        <is>
          <t>Faber Kabel</t>
        </is>
      </c>
      <c r="E569" s="15" t="inlineStr">
        <is>
          <t>LV</t>
        </is>
      </c>
      <c r="F569" s="15" t="inlineStr">
        <is>
          <t>600/1000 4X185</t>
        </is>
      </c>
      <c r="G569" s="15" t="inlineStr">
        <is>
          <t>EX03</t>
        </is>
      </c>
      <c r="H569" s="15" t="inlineStr">
        <is>
          <t>Wooden Drums</t>
        </is>
      </c>
      <c r="I569" s="15" t="inlineStr">
        <is>
          <t>OK</t>
        </is>
      </c>
      <c r="J569" s="15" t="inlineStr">
        <is>
          <t>A</t>
        </is>
      </c>
      <c r="K569" s="15" t="inlineStr">
        <is>
          <t>Y</t>
        </is>
      </c>
      <c r="L569" s="15" t="n">
        <v>505</v>
      </c>
      <c r="M569" s="16" t="n">
        <v>0.940815</v>
      </c>
      <c r="N569" s="16" t="n">
        <v>0</v>
      </c>
      <c r="O569" s="16" t="n">
        <v>0</v>
      </c>
      <c r="P569" s="16" t="n">
        <v>0.940815</v>
      </c>
      <c r="Q569">
        <f>--($A569=IF('الداشبورد'!$B$5="الكل",$A569,'الداشبورد'!$B$5))</f>
        <v/>
      </c>
      <c r="R569">
        <f>--($E569=IF('الداشبورد'!$B$6="الكل",$E569,'الداشبورد'!$B$6))</f>
        <v/>
      </c>
      <c r="S569">
        <f>--($K569=IF('الداشبورد'!$B$7="الكل",$K569,IF('الداشبورد'!$B$7="تصدير","Y","N")))</f>
        <v/>
      </c>
      <c r="T569">
        <f>--($J569=IF('الداشبورد'!$B$8="الكل",$J569,IF('الداشبورد'!$B$8="AL","A","C")))</f>
        <v/>
      </c>
      <c r="U569">
        <f>--($I569=IF('الداشبورد'!$B$9="الكل",$I569,IF('الداشبورد'!$B$9="بدون حالة","P",'الداشبورد'!$B$9)))</f>
        <v/>
      </c>
      <c r="V569">
        <f>--($D569=IF('الداشبورد'!$B$10="الكل",$D569,'الداشبورد'!$B$10))</f>
        <v/>
      </c>
      <c r="W569">
        <f>--($G569=IF('الداشبورد'!$B$11="الكل",$G569,'الداشبورد'!$B$11))</f>
        <v/>
      </c>
      <c r="X569">
        <f>Q569*R569*S569*T569*U569*V569*W569*--($C569&lt;&gt;"")</f>
        <v/>
      </c>
    </row>
    <row r="570">
      <c r="A570" s="15" t="n">
        <v>6</v>
      </c>
      <c r="B570" s="15" t="inlineStr">
        <is>
          <t>M184899</t>
        </is>
      </c>
      <c r="C570" s="15" t="inlineStr">
        <is>
          <t>1430/26/05</t>
        </is>
      </c>
      <c r="D570" s="15" t="inlineStr">
        <is>
          <t>Faber Kabel</t>
        </is>
      </c>
      <c r="E570" s="15" t="inlineStr">
        <is>
          <t>LV</t>
        </is>
      </c>
      <c r="F570" s="15" t="inlineStr">
        <is>
          <t>600/1000 4X185</t>
        </is>
      </c>
      <c r="G570" s="15" t="inlineStr">
        <is>
          <t>EX03</t>
        </is>
      </c>
      <c r="H570" s="15" t="inlineStr">
        <is>
          <t>Wooden Drums</t>
        </is>
      </c>
      <c r="I570" s="15" t="inlineStr">
        <is>
          <t>OK</t>
        </is>
      </c>
      <c r="J570" s="15" t="inlineStr">
        <is>
          <t>A</t>
        </is>
      </c>
      <c r="K570" s="15" t="inlineStr">
        <is>
          <t>Y</t>
        </is>
      </c>
      <c r="L570" s="15" t="n">
        <v>505</v>
      </c>
      <c r="M570" s="16" t="n">
        <v>0.940815</v>
      </c>
      <c r="N570" s="16" t="n">
        <v>0</v>
      </c>
      <c r="O570" s="16" t="n">
        <v>0</v>
      </c>
      <c r="P570" s="16" t="n">
        <v>0.940815</v>
      </c>
      <c r="Q570">
        <f>--($A570=IF('الداشبورد'!$B$5="الكل",$A570,'الداشبورد'!$B$5))</f>
        <v/>
      </c>
      <c r="R570">
        <f>--($E570=IF('الداشبورد'!$B$6="الكل",$E570,'الداشبورد'!$B$6))</f>
        <v/>
      </c>
      <c r="S570">
        <f>--($K570=IF('الداشبورد'!$B$7="الكل",$K570,IF('الداشبورد'!$B$7="تصدير","Y","N")))</f>
        <v/>
      </c>
      <c r="T570">
        <f>--($J570=IF('الداشبورد'!$B$8="الكل",$J570,IF('الداشبورد'!$B$8="AL","A","C")))</f>
        <v/>
      </c>
      <c r="U570">
        <f>--($I570=IF('الداشبورد'!$B$9="الكل",$I570,IF('الداشبورد'!$B$9="بدون حالة","P",'الداشبورد'!$B$9)))</f>
        <v/>
      </c>
      <c r="V570">
        <f>--($D570=IF('الداشبورد'!$B$10="الكل",$D570,'الداشبورد'!$B$10))</f>
        <v/>
      </c>
      <c r="W570">
        <f>--($G570=IF('الداشبورد'!$B$11="الكل",$G570,'الداشبورد'!$B$11))</f>
        <v/>
      </c>
      <c r="X570">
        <f>Q570*R570*S570*T570*U570*V570*W570*--($C570&lt;&gt;"")</f>
        <v/>
      </c>
    </row>
    <row r="571">
      <c r="A571" s="15" t="n">
        <v>6</v>
      </c>
      <c r="B571" s="15" t="inlineStr">
        <is>
          <t>M184904</t>
        </is>
      </c>
      <c r="C571" s="15" t="inlineStr">
        <is>
          <t>1430/26/05</t>
        </is>
      </c>
      <c r="D571" s="15" t="inlineStr">
        <is>
          <t>Faber Kabel</t>
        </is>
      </c>
      <c r="E571" s="15" t="inlineStr">
        <is>
          <t>LV</t>
        </is>
      </c>
      <c r="F571" s="15" t="inlineStr">
        <is>
          <t>600/1000 4X185</t>
        </is>
      </c>
      <c r="G571" s="15" t="inlineStr">
        <is>
          <t>EX03</t>
        </is>
      </c>
      <c r="H571" s="15" t="inlineStr">
        <is>
          <t>Wooden Drums</t>
        </is>
      </c>
      <c r="I571" s="15" t="inlineStr">
        <is>
          <t>OK</t>
        </is>
      </c>
      <c r="J571" s="15" t="inlineStr">
        <is>
          <t>A</t>
        </is>
      </c>
      <c r="K571" s="15" t="inlineStr">
        <is>
          <t>Y</t>
        </is>
      </c>
      <c r="L571" s="15" t="n">
        <v>505</v>
      </c>
      <c r="M571" s="16" t="n">
        <v>0.940815</v>
      </c>
      <c r="N571" s="16" t="n">
        <v>0</v>
      </c>
      <c r="O571" s="16" t="n">
        <v>0</v>
      </c>
      <c r="P571" s="16" t="n">
        <v>0.940815</v>
      </c>
      <c r="Q571">
        <f>--($A571=IF('الداشبورد'!$B$5="الكل",$A571,'الداشبورد'!$B$5))</f>
        <v/>
      </c>
      <c r="R571">
        <f>--($E571=IF('الداشبورد'!$B$6="الكل",$E571,'الداشبورد'!$B$6))</f>
        <v/>
      </c>
      <c r="S571">
        <f>--($K571=IF('الداشبورد'!$B$7="الكل",$K571,IF('الداشبورد'!$B$7="تصدير","Y","N")))</f>
        <v/>
      </c>
      <c r="T571">
        <f>--($J571=IF('الداشبورد'!$B$8="الكل",$J571,IF('الداشبورد'!$B$8="AL","A","C")))</f>
        <v/>
      </c>
      <c r="U571">
        <f>--($I571=IF('الداشبورد'!$B$9="الكل",$I571,IF('الداشبورد'!$B$9="بدون حالة","P",'الداشبورد'!$B$9)))</f>
        <v/>
      </c>
      <c r="V571">
        <f>--($D571=IF('الداشبورد'!$B$10="الكل",$D571,'الداشبورد'!$B$10))</f>
        <v/>
      </c>
      <c r="W571">
        <f>--($G571=IF('الداشبورد'!$B$11="الكل",$G571,'الداشبورد'!$B$11))</f>
        <v/>
      </c>
      <c r="X571">
        <f>Q571*R571*S571*T571*U571*V571*W571*--($C571&lt;&gt;"")</f>
        <v/>
      </c>
    </row>
    <row r="572">
      <c r="A572" s="15" t="n">
        <v>6</v>
      </c>
      <c r="B572" s="15" t="inlineStr">
        <is>
          <t>M184902</t>
        </is>
      </c>
      <c r="C572" s="15" t="inlineStr">
        <is>
          <t>1430/26/05</t>
        </is>
      </c>
      <c r="D572" s="15" t="inlineStr">
        <is>
          <t>Faber Kabel</t>
        </is>
      </c>
      <c r="E572" s="15" t="inlineStr">
        <is>
          <t>LV</t>
        </is>
      </c>
      <c r="F572" s="15" t="inlineStr">
        <is>
          <t>600/1000 4X185</t>
        </is>
      </c>
      <c r="G572" s="15" t="inlineStr">
        <is>
          <t>EX03</t>
        </is>
      </c>
      <c r="H572" s="15" t="inlineStr">
        <is>
          <t>Wooden Drums</t>
        </is>
      </c>
      <c r="I572" s="15" t="inlineStr">
        <is>
          <t>OK</t>
        </is>
      </c>
      <c r="J572" s="15" t="inlineStr">
        <is>
          <t>A</t>
        </is>
      </c>
      <c r="K572" s="15" t="inlineStr">
        <is>
          <t>Y</t>
        </is>
      </c>
      <c r="L572" s="15" t="n">
        <v>505</v>
      </c>
      <c r="M572" s="16" t="n">
        <v>0.940815</v>
      </c>
      <c r="N572" s="16" t="n">
        <v>0</v>
      </c>
      <c r="O572" s="16" t="n">
        <v>0</v>
      </c>
      <c r="P572" s="16" t="n">
        <v>0.940815</v>
      </c>
      <c r="Q572">
        <f>--($A572=IF('الداشبورد'!$B$5="الكل",$A572,'الداشبورد'!$B$5))</f>
        <v/>
      </c>
      <c r="R572">
        <f>--($E572=IF('الداشبورد'!$B$6="الكل",$E572,'الداشبورد'!$B$6))</f>
        <v/>
      </c>
      <c r="S572">
        <f>--($K572=IF('الداشبورد'!$B$7="الكل",$K572,IF('الداشبورد'!$B$7="تصدير","Y","N")))</f>
        <v/>
      </c>
      <c r="T572">
        <f>--($J572=IF('الداشبورد'!$B$8="الكل",$J572,IF('الداشبورد'!$B$8="AL","A","C")))</f>
        <v/>
      </c>
      <c r="U572">
        <f>--($I572=IF('الداشبورد'!$B$9="الكل",$I572,IF('الداشبورد'!$B$9="بدون حالة","P",'الداشبورد'!$B$9)))</f>
        <v/>
      </c>
      <c r="V572">
        <f>--($D572=IF('الداشبورد'!$B$10="الكل",$D572,'الداشبورد'!$B$10))</f>
        <v/>
      </c>
      <c r="W572">
        <f>--($G572=IF('الداشبورد'!$B$11="الكل",$G572,'الداشبورد'!$B$11))</f>
        <v/>
      </c>
      <c r="X572">
        <f>Q572*R572*S572*T572*U572*V572*W572*--($C572&lt;&gt;"")</f>
        <v/>
      </c>
    </row>
    <row r="573">
      <c r="A573" s="15" t="n">
        <v>3</v>
      </c>
      <c r="B573" s="15" t="inlineStr">
        <is>
          <t>SS-506</t>
        </is>
      </c>
      <c r="C573" s="15" t="inlineStr">
        <is>
          <t>1081/26/02</t>
        </is>
      </c>
      <c r="D573" s="15" t="inlineStr">
        <is>
          <t>Cleveland Cables Company</t>
        </is>
      </c>
      <c r="E573" s="15" t="inlineStr">
        <is>
          <t>MV</t>
        </is>
      </c>
      <c r="F573" s="15" t="inlineStr">
        <is>
          <t>6.35/11 KV 3X50</t>
        </is>
      </c>
      <c r="G573" s="15" t="inlineStr">
        <is>
          <t>EX09</t>
        </is>
      </c>
      <c r="H573" s="15" t="inlineStr">
        <is>
          <t>Iron Drums</t>
        </is>
      </c>
      <c r="I573" s="15" t="inlineStr">
        <is>
          <t>OK</t>
        </is>
      </c>
      <c r="J573" s="15" t="inlineStr">
        <is>
          <t>C</t>
        </is>
      </c>
      <c r="K573" s="15" t="inlineStr">
        <is>
          <t>Y</t>
        </is>
      </c>
      <c r="L573" s="15" t="n">
        <v>1476</v>
      </c>
      <c r="M573" s="16" t="n">
        <v>1.805148</v>
      </c>
      <c r="N573" s="16" t="n">
        <v>0</v>
      </c>
      <c r="O573" s="16" t="n">
        <v>0</v>
      </c>
      <c r="P573" s="16" t="n">
        <v>1.805148</v>
      </c>
      <c r="Q573">
        <f>--($A573=IF('الداشبورد'!$B$5="الكل",$A573,'الداشبورد'!$B$5))</f>
        <v/>
      </c>
      <c r="R573">
        <f>--($E573=IF('الداشبورد'!$B$6="الكل",$E573,'الداشبورد'!$B$6))</f>
        <v/>
      </c>
      <c r="S573">
        <f>--($K573=IF('الداشبورد'!$B$7="الكل",$K573,IF('الداشبورد'!$B$7="تصدير","Y","N")))</f>
        <v/>
      </c>
      <c r="T573">
        <f>--($J573=IF('الداشبورد'!$B$8="الكل",$J573,IF('الداشبورد'!$B$8="AL","A","C")))</f>
        <v/>
      </c>
      <c r="U573">
        <f>--($I573=IF('الداشبورد'!$B$9="الكل",$I573,IF('الداشبورد'!$B$9="بدون حالة","P",'الداشبورد'!$B$9)))</f>
        <v/>
      </c>
      <c r="V573">
        <f>--($D573=IF('الداشبورد'!$B$10="الكل",$D573,'الداشبورد'!$B$10))</f>
        <v/>
      </c>
      <c r="W573">
        <f>--($G573=IF('الداشبورد'!$B$11="الكل",$G573,'الداشبورد'!$B$11))</f>
        <v/>
      </c>
      <c r="X573">
        <f>Q573*R573*S573*T573*U573*V573*W573*--($C573&lt;&gt;"")</f>
        <v/>
      </c>
    </row>
    <row r="574">
      <c r="A574" s="15" t="n">
        <v>6</v>
      </c>
      <c r="B574" s="15" t="inlineStr">
        <is>
          <t>H184865</t>
        </is>
      </c>
      <c r="C574" s="15" t="inlineStr">
        <is>
          <t>612/26/02</t>
        </is>
      </c>
      <c r="D574" s="15" t="inlineStr">
        <is>
          <t>Eland Cables</t>
        </is>
      </c>
      <c r="E574" s="15" t="inlineStr">
        <is>
          <t>MV</t>
        </is>
      </c>
      <c r="F574" s="15" t="inlineStr">
        <is>
          <t>12/20 KV 1X120</t>
        </is>
      </c>
      <c r="G574" s="15" t="inlineStr">
        <is>
          <t>RW01</t>
        </is>
      </c>
      <c r="H574" s="15" t="inlineStr">
        <is>
          <t>Wooden Drums</t>
        </is>
      </c>
      <c r="I574" s="15" t="inlineStr">
        <is>
          <t>OK</t>
        </is>
      </c>
      <c r="J574" s="15" t="inlineStr">
        <is>
          <t>C</t>
        </is>
      </c>
      <c r="K574" s="15" t="inlineStr">
        <is>
          <t>Y</t>
        </is>
      </c>
      <c r="L574" s="15" t="n">
        <v>668</v>
      </c>
      <c r="M574" s="16" t="n">
        <v>0.68804</v>
      </c>
      <c r="N574" s="16" t="n">
        <v>0.09886399999999999</v>
      </c>
      <c r="O574" s="16" t="n">
        <v>0</v>
      </c>
      <c r="P574" s="16" t="n">
        <v>0.7869039999999999</v>
      </c>
      <c r="Q574">
        <f>--($A574=IF('الداشبورد'!$B$5="الكل",$A574,'الداشبورد'!$B$5))</f>
        <v/>
      </c>
      <c r="R574">
        <f>--($E574=IF('الداشبورد'!$B$6="الكل",$E574,'الداشبورد'!$B$6))</f>
        <v/>
      </c>
      <c r="S574">
        <f>--($K574=IF('الداشبورد'!$B$7="الكل",$K574,IF('الداشبورد'!$B$7="تصدير","Y","N")))</f>
        <v/>
      </c>
      <c r="T574">
        <f>--($J574=IF('الداشبورد'!$B$8="الكل",$J574,IF('الداشبورد'!$B$8="AL","A","C")))</f>
        <v/>
      </c>
      <c r="U574">
        <f>--($I574=IF('الداشبورد'!$B$9="الكل",$I574,IF('الداشبورد'!$B$9="بدون حالة","P",'الداشبورد'!$B$9)))</f>
        <v/>
      </c>
      <c r="V574">
        <f>--($D574=IF('الداشبورد'!$B$10="الكل",$D574,'الداشبورد'!$B$10))</f>
        <v/>
      </c>
      <c r="W574">
        <f>--($G574=IF('الداشبورد'!$B$11="الكل",$G574,'الداشبورد'!$B$11))</f>
        <v/>
      </c>
      <c r="X574">
        <f>Q574*R574*S574*T574*U574*V574*W574*--($C574&lt;&gt;"")</f>
        <v/>
      </c>
    </row>
    <row r="575">
      <c r="A575" s="15" t="n">
        <v>6</v>
      </c>
      <c r="B575" s="15" t="inlineStr">
        <is>
          <t>H184866</t>
        </is>
      </c>
      <c r="C575" s="15" t="inlineStr">
        <is>
          <t>612/26/02</t>
        </is>
      </c>
      <c r="D575" s="15" t="inlineStr">
        <is>
          <t>Eland Cables</t>
        </is>
      </c>
      <c r="E575" s="15" t="inlineStr">
        <is>
          <t>MV</t>
        </is>
      </c>
      <c r="F575" s="15" t="inlineStr">
        <is>
          <t>12/20 KV 1X120</t>
        </is>
      </c>
      <c r="G575" s="15" t="inlineStr">
        <is>
          <t>RW01</t>
        </is>
      </c>
      <c r="H575" s="15" t="inlineStr">
        <is>
          <t>Wooden Drums</t>
        </is>
      </c>
      <c r="I575" s="15" t="inlineStr">
        <is>
          <t>OK</t>
        </is>
      </c>
      <c r="J575" s="15" t="inlineStr">
        <is>
          <t>C</t>
        </is>
      </c>
      <c r="K575" s="15" t="inlineStr">
        <is>
          <t>Y</t>
        </is>
      </c>
      <c r="L575" s="15" t="n">
        <v>630</v>
      </c>
      <c r="M575" s="16" t="n">
        <v>0.6489</v>
      </c>
      <c r="N575" s="16" t="n">
        <v>0.09323999999999999</v>
      </c>
      <c r="O575" s="16" t="n">
        <v>0</v>
      </c>
      <c r="P575" s="16" t="n">
        <v>0.74214</v>
      </c>
      <c r="Q575">
        <f>--($A575=IF('الداشبورد'!$B$5="الكل",$A575,'الداشبورد'!$B$5))</f>
        <v/>
      </c>
      <c r="R575">
        <f>--($E575=IF('الداشبورد'!$B$6="الكل",$E575,'الداشبورد'!$B$6))</f>
        <v/>
      </c>
      <c r="S575">
        <f>--($K575=IF('الداشبورد'!$B$7="الكل",$K575,IF('الداشبورد'!$B$7="تصدير","Y","N")))</f>
        <v/>
      </c>
      <c r="T575">
        <f>--($J575=IF('الداشبورد'!$B$8="الكل",$J575,IF('الداشبورد'!$B$8="AL","A","C")))</f>
        <v/>
      </c>
      <c r="U575">
        <f>--($I575=IF('الداشبورد'!$B$9="الكل",$I575,IF('الداشبورد'!$B$9="بدون حالة","P",'الداشبورد'!$B$9)))</f>
        <v/>
      </c>
      <c r="V575">
        <f>--($D575=IF('الداشبورد'!$B$10="الكل",$D575,'الداشبورد'!$B$10))</f>
        <v/>
      </c>
      <c r="W575">
        <f>--($G575=IF('الداشبورد'!$B$11="الكل",$G575,'الداشبورد'!$B$11))</f>
        <v/>
      </c>
      <c r="X575">
        <f>Q575*R575*S575*T575*U575*V575*W575*--($C575&lt;&gt;"")</f>
        <v/>
      </c>
    </row>
    <row r="576">
      <c r="A576" s="15" t="n">
        <v>6</v>
      </c>
      <c r="B576" s="15" t="inlineStr">
        <is>
          <t>G184864</t>
        </is>
      </c>
      <c r="C576" s="15" t="inlineStr">
        <is>
          <t>612/26/02</t>
        </is>
      </c>
      <c r="D576" s="15" t="inlineStr">
        <is>
          <t>Eland Cables</t>
        </is>
      </c>
      <c r="E576" s="15" t="inlineStr">
        <is>
          <t>MV</t>
        </is>
      </c>
      <c r="F576" s="15" t="inlineStr">
        <is>
          <t>12/20 KV 1X120</t>
        </is>
      </c>
      <c r="G576" s="15" t="inlineStr">
        <is>
          <t>RW01</t>
        </is>
      </c>
      <c r="H576" s="15" t="inlineStr">
        <is>
          <t>Wooden Drums</t>
        </is>
      </c>
      <c r="I576" s="15" t="inlineStr">
        <is>
          <t>OK</t>
        </is>
      </c>
      <c r="J576" s="15" t="inlineStr">
        <is>
          <t>C</t>
        </is>
      </c>
      <c r="K576" s="15" t="inlineStr">
        <is>
          <t>Y</t>
        </is>
      </c>
      <c r="L576" s="15" t="n">
        <v>504</v>
      </c>
      <c r="M576" s="16" t="n">
        <v>0.51912</v>
      </c>
      <c r="N576" s="16" t="n">
        <v>0.07459200000000001</v>
      </c>
      <c r="O576" s="16" t="n">
        <v>0</v>
      </c>
      <c r="P576" s="16" t="n">
        <v>0.593712</v>
      </c>
      <c r="Q576">
        <f>--($A576=IF('الداشبورد'!$B$5="الكل",$A576,'الداشبورد'!$B$5))</f>
        <v/>
      </c>
      <c r="R576">
        <f>--($E576=IF('الداشبورد'!$B$6="الكل",$E576,'الداشبورد'!$B$6))</f>
        <v/>
      </c>
      <c r="S576">
        <f>--($K576=IF('الداشبورد'!$B$7="الكل",$K576,IF('الداشبورد'!$B$7="تصدير","Y","N")))</f>
        <v/>
      </c>
      <c r="T576">
        <f>--($J576=IF('الداشبورد'!$B$8="الكل",$J576,IF('الداشبورد'!$B$8="AL","A","C")))</f>
        <v/>
      </c>
      <c r="U576">
        <f>--($I576=IF('الداشبورد'!$B$9="الكل",$I576,IF('الداشبورد'!$B$9="بدون حالة","P",'الداشبورد'!$B$9)))</f>
        <v/>
      </c>
      <c r="V576">
        <f>--($D576=IF('الداشبورد'!$B$10="الكل",$D576,'الداشبورد'!$B$10))</f>
        <v/>
      </c>
      <c r="W576">
        <f>--($G576=IF('الداشبورد'!$B$11="الكل",$G576,'الداشبورد'!$B$11))</f>
        <v/>
      </c>
      <c r="X576">
        <f>Q576*R576*S576*T576*U576*V576*W576*--($C576&lt;&gt;"")</f>
        <v/>
      </c>
    </row>
    <row r="577">
      <c r="A577" s="15" t="n">
        <v>6</v>
      </c>
      <c r="B577" s="15" t="inlineStr">
        <is>
          <t>G184863</t>
        </is>
      </c>
      <c r="C577" s="15" t="inlineStr">
        <is>
          <t>612/26/02</t>
        </is>
      </c>
      <c r="D577" s="15" t="inlineStr">
        <is>
          <t>Eland Cables</t>
        </is>
      </c>
      <c r="E577" s="15" t="inlineStr">
        <is>
          <t>MV</t>
        </is>
      </c>
      <c r="F577" s="15" t="inlineStr">
        <is>
          <t>12/20 KV 1X120</t>
        </is>
      </c>
      <c r="G577" s="15" t="inlineStr">
        <is>
          <t>RW01</t>
        </is>
      </c>
      <c r="H577" s="15" t="inlineStr">
        <is>
          <t>Wooden Drums</t>
        </is>
      </c>
      <c r="I577" s="15" t="inlineStr">
        <is>
          <t>OK</t>
        </is>
      </c>
      <c r="J577" s="15" t="inlineStr">
        <is>
          <t>C</t>
        </is>
      </c>
      <c r="K577" s="15" t="inlineStr">
        <is>
          <t>Y</t>
        </is>
      </c>
      <c r="L577" s="15" t="n">
        <v>504</v>
      </c>
      <c r="M577" s="16" t="n">
        <v>0.51912</v>
      </c>
      <c r="N577" s="16" t="n">
        <v>0.07459200000000001</v>
      </c>
      <c r="O577" s="16" t="n">
        <v>0</v>
      </c>
      <c r="P577" s="16" t="n">
        <v>0.593712</v>
      </c>
      <c r="Q577">
        <f>--($A577=IF('الداشبورد'!$B$5="الكل",$A577,'الداشبورد'!$B$5))</f>
        <v/>
      </c>
      <c r="R577">
        <f>--($E577=IF('الداشبورد'!$B$6="الكل",$E577,'الداشبورد'!$B$6))</f>
        <v/>
      </c>
      <c r="S577">
        <f>--($K577=IF('الداشبورد'!$B$7="الكل",$K577,IF('الداشبورد'!$B$7="تصدير","Y","N")))</f>
        <v/>
      </c>
      <c r="T577">
        <f>--($J577=IF('الداشبورد'!$B$8="الكل",$J577,IF('الداشبورد'!$B$8="AL","A","C")))</f>
        <v/>
      </c>
      <c r="U577">
        <f>--($I577=IF('الداشبورد'!$B$9="الكل",$I577,IF('الداشبورد'!$B$9="بدون حالة","P",'الداشبورد'!$B$9)))</f>
        <v/>
      </c>
      <c r="V577">
        <f>--($D577=IF('الداشبورد'!$B$10="الكل",$D577,'الداشبورد'!$B$10))</f>
        <v/>
      </c>
      <c r="W577">
        <f>--($G577=IF('الداشبورد'!$B$11="الكل",$G577,'الداشبورد'!$B$11))</f>
        <v/>
      </c>
      <c r="X577">
        <f>Q577*R577*S577*T577*U577*V577*W577*--($C577&lt;&gt;"")</f>
        <v/>
      </c>
    </row>
    <row r="578">
      <c r="A578" s="15" t="n">
        <v>6</v>
      </c>
      <c r="B578" s="15" t="inlineStr">
        <is>
          <t>G184905</t>
        </is>
      </c>
      <c r="C578" s="15" t="inlineStr">
        <is>
          <t>612/26/02</t>
        </is>
      </c>
      <c r="D578" s="15" t="inlineStr">
        <is>
          <t>Eland Cables</t>
        </is>
      </c>
      <c r="E578" s="15" t="inlineStr">
        <is>
          <t>MV</t>
        </is>
      </c>
      <c r="F578" s="15" t="inlineStr">
        <is>
          <t>12/20 KV 1X120</t>
        </is>
      </c>
      <c r="G578" s="15" t="inlineStr">
        <is>
          <t>RW01</t>
        </is>
      </c>
      <c r="H578" s="15" t="inlineStr">
        <is>
          <t>Wooden Drums</t>
        </is>
      </c>
      <c r="I578" s="15" t="inlineStr">
        <is>
          <t>OK</t>
        </is>
      </c>
      <c r="J578" s="15" t="inlineStr">
        <is>
          <t>C</t>
        </is>
      </c>
      <c r="K578" s="15" t="inlineStr">
        <is>
          <t>Y</t>
        </is>
      </c>
      <c r="L578" s="15" t="n">
        <v>513</v>
      </c>
      <c r="M578" s="16" t="n">
        <v>0.52839</v>
      </c>
      <c r="N578" s="16" t="n">
        <v>0.07592399999999999</v>
      </c>
      <c r="O578" s="16" t="n">
        <v>0</v>
      </c>
      <c r="P578" s="16" t="n">
        <v>0.604314</v>
      </c>
      <c r="Q578">
        <f>--($A578=IF('الداشبورد'!$B$5="الكل",$A578,'الداشبورد'!$B$5))</f>
        <v/>
      </c>
      <c r="R578">
        <f>--($E578=IF('الداشبورد'!$B$6="الكل",$E578,'الداشبورد'!$B$6))</f>
        <v/>
      </c>
      <c r="S578">
        <f>--($K578=IF('الداشبورد'!$B$7="الكل",$K578,IF('الداشبورد'!$B$7="تصدير","Y","N")))</f>
        <v/>
      </c>
      <c r="T578">
        <f>--($J578=IF('الداشبورد'!$B$8="الكل",$J578,IF('الداشبورد'!$B$8="AL","A","C")))</f>
        <v/>
      </c>
      <c r="U578">
        <f>--($I578=IF('الداشبورد'!$B$9="الكل",$I578,IF('الداشبورد'!$B$9="بدون حالة","P",'الداشبورد'!$B$9)))</f>
        <v/>
      </c>
      <c r="V578">
        <f>--($D578=IF('الداشبورد'!$B$10="الكل",$D578,'الداشبورد'!$B$10))</f>
        <v/>
      </c>
      <c r="W578">
        <f>--($G578=IF('الداشبورد'!$B$11="الكل",$G578,'الداشبورد'!$B$11))</f>
        <v/>
      </c>
      <c r="X578">
        <f>Q578*R578*S578*T578*U578*V578*W578*--($C578&lt;&gt;"")</f>
        <v/>
      </c>
    </row>
    <row r="579">
      <c r="A579" s="15" t="n">
        <v>6</v>
      </c>
      <c r="B579" s="15" t="inlineStr">
        <is>
          <t>S184625</t>
        </is>
      </c>
      <c r="C579" s="15" t="inlineStr">
        <is>
          <t>1101/26/01</t>
        </is>
      </c>
      <c r="D579" s="15" t="inlineStr">
        <is>
          <t>شركة مصر العليا لتوزيع الكهرباء</t>
        </is>
      </c>
      <c r="E579" s="15" t="inlineStr">
        <is>
          <t>MV</t>
        </is>
      </c>
      <c r="F579" s="15" t="inlineStr">
        <is>
          <t>12/20KV 3X300</t>
        </is>
      </c>
      <c r="G579" s="15" t="inlineStr">
        <is>
          <t>EX04</t>
        </is>
      </c>
      <c r="H579" s="15" t="inlineStr">
        <is>
          <t>Wooden Drums</t>
        </is>
      </c>
      <c r="I579" s="15" t="inlineStr">
        <is>
          <t>OK</t>
        </is>
      </c>
      <c r="J579" s="15" t="inlineStr">
        <is>
          <t>A</t>
        </is>
      </c>
      <c r="K579" s="15" t="inlineStr">
        <is>
          <t>N</t>
        </is>
      </c>
      <c r="L579" s="15" t="n">
        <v>410</v>
      </c>
      <c r="M579" s="16" t="n">
        <v>0.9712900000000001</v>
      </c>
      <c r="N579" s="16" t="n">
        <v>0</v>
      </c>
      <c r="O579" s="16" t="n">
        <v>0</v>
      </c>
      <c r="P579" s="16" t="n">
        <v>0.9712900000000001</v>
      </c>
      <c r="Q579">
        <f>--($A579=IF('الداشبورد'!$B$5="الكل",$A579,'الداشبورد'!$B$5))</f>
        <v/>
      </c>
      <c r="R579">
        <f>--($E579=IF('الداشبورد'!$B$6="الكل",$E579,'الداشبورد'!$B$6))</f>
        <v/>
      </c>
      <c r="S579">
        <f>--($K579=IF('الداشبورد'!$B$7="الكل",$K579,IF('الداشبورد'!$B$7="تصدير","Y","N")))</f>
        <v/>
      </c>
      <c r="T579">
        <f>--($J579=IF('الداشبورد'!$B$8="الكل",$J579,IF('الداشبورد'!$B$8="AL","A","C")))</f>
        <v/>
      </c>
      <c r="U579">
        <f>--($I579=IF('الداشبورد'!$B$9="الكل",$I579,IF('الداشبورد'!$B$9="بدون حالة","P",'الداشبورد'!$B$9)))</f>
        <v/>
      </c>
      <c r="V579">
        <f>--($D579=IF('الداشبورد'!$B$10="الكل",$D579,'الداشبورد'!$B$10))</f>
        <v/>
      </c>
      <c r="W579">
        <f>--($G579=IF('الداشبورد'!$B$11="الكل",$G579,'الداشبورد'!$B$11))</f>
        <v/>
      </c>
      <c r="X579">
        <f>Q579*R579*S579*T579*U579*V579*W579*--($C579&lt;&gt;"")</f>
        <v/>
      </c>
    </row>
    <row r="580">
      <c r="A580" s="15" t="n">
        <v>6</v>
      </c>
      <c r="B580" s="15" t="inlineStr">
        <is>
          <t>V184768</t>
        </is>
      </c>
      <c r="C580" s="15" t="inlineStr">
        <is>
          <t>1101/26/01</t>
        </is>
      </c>
      <c r="D580" s="15" t="inlineStr">
        <is>
          <t>شركة مصر العليا لتوزيع الكهرباء</t>
        </is>
      </c>
      <c r="E580" s="15" t="inlineStr">
        <is>
          <t>MV</t>
        </is>
      </c>
      <c r="F580" s="15" t="inlineStr">
        <is>
          <t>12/20KV 3X300</t>
        </is>
      </c>
      <c r="G580" s="15" t="inlineStr">
        <is>
          <t>EX04</t>
        </is>
      </c>
      <c r="H580" s="15" t="inlineStr">
        <is>
          <t>Wooden Drums</t>
        </is>
      </c>
      <c r="I580" s="15" t="inlineStr">
        <is>
          <t>OK</t>
        </is>
      </c>
      <c r="J580" s="15" t="inlineStr">
        <is>
          <t>A</t>
        </is>
      </c>
      <c r="K580" s="15" t="inlineStr">
        <is>
          <t>N</t>
        </is>
      </c>
      <c r="L580" s="15" t="n">
        <v>435</v>
      </c>
      <c r="M580" s="16" t="n">
        <v>1.030515</v>
      </c>
      <c r="N580" s="16" t="n">
        <v>0</v>
      </c>
      <c r="O580" s="16" t="n">
        <v>0</v>
      </c>
      <c r="P580" s="16" t="n">
        <v>1.030515</v>
      </c>
      <c r="Q580">
        <f>--($A580=IF('الداشبورد'!$B$5="الكل",$A580,'الداشبورد'!$B$5))</f>
        <v/>
      </c>
      <c r="R580">
        <f>--($E580=IF('الداشبورد'!$B$6="الكل",$E580,'الداشبورد'!$B$6))</f>
        <v/>
      </c>
      <c r="S580">
        <f>--($K580=IF('الداشبورد'!$B$7="الكل",$K580,IF('الداشبورد'!$B$7="تصدير","Y","N")))</f>
        <v/>
      </c>
      <c r="T580">
        <f>--($J580=IF('الداشبورد'!$B$8="الكل",$J580,IF('الداشبورد'!$B$8="AL","A","C")))</f>
        <v/>
      </c>
      <c r="U580">
        <f>--($I580=IF('الداشبورد'!$B$9="الكل",$I580,IF('الداشبورد'!$B$9="بدون حالة","P",'الداشبورد'!$B$9)))</f>
        <v/>
      </c>
      <c r="V580">
        <f>--($D580=IF('الداشبورد'!$B$10="الكل",$D580,'الداشبورد'!$B$10))</f>
        <v/>
      </c>
      <c r="W580">
        <f>--($G580=IF('الداشبورد'!$B$11="الكل",$G580,'الداشبورد'!$B$11))</f>
        <v/>
      </c>
      <c r="X580">
        <f>Q580*R580*S580*T580*U580*V580*W580*--($C580&lt;&gt;"")</f>
        <v/>
      </c>
    </row>
    <row r="581">
      <c r="A581" s="15" t="n">
        <v>6</v>
      </c>
      <c r="B581" s="15" t="inlineStr">
        <is>
          <t>Z184684</t>
        </is>
      </c>
      <c r="C581" s="15" t="inlineStr">
        <is>
          <t>1101/26/01</t>
        </is>
      </c>
      <c r="D581" s="15" t="inlineStr">
        <is>
          <t>شركة مصر العليا لتوزيع الكهرباء</t>
        </is>
      </c>
      <c r="E581" s="15" t="inlineStr">
        <is>
          <t>MV</t>
        </is>
      </c>
      <c r="F581" s="15" t="inlineStr">
        <is>
          <t>12/20KV 3X300</t>
        </is>
      </c>
      <c r="G581" s="15" t="inlineStr">
        <is>
          <t>EX04</t>
        </is>
      </c>
      <c r="H581" s="15" t="inlineStr">
        <is>
          <t>Wooden Drums</t>
        </is>
      </c>
      <c r="I581" s="15" t="inlineStr">
        <is>
          <t>OK</t>
        </is>
      </c>
      <c r="J581" s="15" t="inlineStr">
        <is>
          <t>A</t>
        </is>
      </c>
      <c r="K581" s="15" t="inlineStr">
        <is>
          <t>N</t>
        </is>
      </c>
      <c r="L581" s="15" t="n">
        <v>397</v>
      </c>
      <c r="M581" s="16" t="n">
        <v>0.940493</v>
      </c>
      <c r="N581" s="16" t="n">
        <v>0</v>
      </c>
      <c r="O581" s="16" t="n">
        <v>0</v>
      </c>
      <c r="P581" s="16" t="n">
        <v>0.940493</v>
      </c>
      <c r="Q581">
        <f>--($A581=IF('الداشبورد'!$B$5="الكل",$A581,'الداشبورد'!$B$5))</f>
        <v/>
      </c>
      <c r="R581">
        <f>--($E581=IF('الداشبورد'!$B$6="الكل",$E581,'الداشبورد'!$B$6))</f>
        <v/>
      </c>
      <c r="S581">
        <f>--($K581=IF('الداشبورد'!$B$7="الكل",$K581,IF('الداشبورد'!$B$7="تصدير","Y","N")))</f>
        <v/>
      </c>
      <c r="T581">
        <f>--($J581=IF('الداشبورد'!$B$8="الكل",$J581,IF('الداشبورد'!$B$8="AL","A","C")))</f>
        <v/>
      </c>
      <c r="U581">
        <f>--($I581=IF('الداشبورد'!$B$9="الكل",$I581,IF('الداشبورد'!$B$9="بدون حالة","P",'الداشبورد'!$B$9)))</f>
        <v/>
      </c>
      <c r="V581">
        <f>--($D581=IF('الداشبورد'!$B$10="الكل",$D581,'الداشبورد'!$B$10))</f>
        <v/>
      </c>
      <c r="W581">
        <f>--($G581=IF('الداشبورد'!$B$11="الكل",$G581,'الداشبورد'!$B$11))</f>
        <v/>
      </c>
      <c r="X581">
        <f>Q581*R581*S581*T581*U581*V581*W581*--($C581&lt;&gt;"")</f>
        <v/>
      </c>
    </row>
    <row r="582">
      <c r="A582" s="15" t="n">
        <v>6</v>
      </c>
      <c r="B582" s="15" t="inlineStr">
        <is>
          <t>V184762</t>
        </is>
      </c>
      <c r="C582" s="15" t="inlineStr">
        <is>
          <t>1101/26/01</t>
        </is>
      </c>
      <c r="D582" s="15" t="inlineStr">
        <is>
          <t>شركة مصر العليا لتوزيع الكهرباء</t>
        </is>
      </c>
      <c r="E582" s="15" t="inlineStr">
        <is>
          <t>MV</t>
        </is>
      </c>
      <c r="F582" s="15" t="inlineStr">
        <is>
          <t>12/20KV 3X300</t>
        </is>
      </c>
      <c r="G582" s="15" t="inlineStr">
        <is>
          <t>EX04</t>
        </is>
      </c>
      <c r="H582" s="15" t="inlineStr">
        <is>
          <t>Wooden Drums</t>
        </is>
      </c>
      <c r="I582" s="15" t="inlineStr">
        <is>
          <t>OK</t>
        </is>
      </c>
      <c r="J582" s="15" t="inlineStr">
        <is>
          <t>A</t>
        </is>
      </c>
      <c r="K582" s="15" t="inlineStr">
        <is>
          <t>N</t>
        </is>
      </c>
      <c r="L582" s="15" t="n">
        <v>425</v>
      </c>
      <c r="M582" s="16" t="n">
        <v>1.006825</v>
      </c>
      <c r="N582" s="16" t="n">
        <v>0</v>
      </c>
      <c r="O582" s="16" t="n">
        <v>0</v>
      </c>
      <c r="P582" s="16" t="n">
        <v>1.006825</v>
      </c>
      <c r="Q582">
        <f>--($A582=IF('الداشبورد'!$B$5="الكل",$A582,'الداشبورد'!$B$5))</f>
        <v/>
      </c>
      <c r="R582">
        <f>--($E582=IF('الداشبورد'!$B$6="الكل",$E582,'الداشبورد'!$B$6))</f>
        <v/>
      </c>
      <c r="S582">
        <f>--($K582=IF('الداشبورد'!$B$7="الكل",$K582,IF('الداشبورد'!$B$7="تصدير","Y","N")))</f>
        <v/>
      </c>
      <c r="T582">
        <f>--($J582=IF('الداشبورد'!$B$8="الكل",$J582,IF('الداشبورد'!$B$8="AL","A","C")))</f>
        <v/>
      </c>
      <c r="U582">
        <f>--($I582=IF('الداشبورد'!$B$9="الكل",$I582,IF('الداشبورد'!$B$9="بدون حالة","P",'الداشبورد'!$B$9)))</f>
        <v/>
      </c>
      <c r="V582">
        <f>--($D582=IF('الداشبورد'!$B$10="الكل",$D582,'الداشبورد'!$B$10))</f>
        <v/>
      </c>
      <c r="W582">
        <f>--($G582=IF('الداشبورد'!$B$11="الكل",$G582,'الداشبورد'!$B$11))</f>
        <v/>
      </c>
      <c r="X582">
        <f>Q582*R582*S582*T582*U582*V582*W582*--($C582&lt;&gt;"")</f>
        <v/>
      </c>
    </row>
    <row r="583">
      <c r="A583" s="15" t="n">
        <v>6</v>
      </c>
      <c r="B583" s="15" t="inlineStr">
        <is>
          <t>Z184757</t>
        </is>
      </c>
      <c r="C583" s="15" t="inlineStr">
        <is>
          <t>1101/26/01</t>
        </is>
      </c>
      <c r="D583" s="15" t="inlineStr">
        <is>
          <t>شركة مصر العليا لتوزيع الكهرباء</t>
        </is>
      </c>
      <c r="E583" s="15" t="inlineStr">
        <is>
          <t>MV</t>
        </is>
      </c>
      <c r="F583" s="15" t="inlineStr">
        <is>
          <t>12/20KV 3X300</t>
        </is>
      </c>
      <c r="G583" s="15" t="inlineStr">
        <is>
          <t>EX04</t>
        </is>
      </c>
      <c r="H583" s="15" t="inlineStr">
        <is>
          <t>Wooden Drums</t>
        </is>
      </c>
      <c r="I583" s="15" t="inlineStr">
        <is>
          <t>OK</t>
        </is>
      </c>
      <c r="J583" s="15" t="inlineStr">
        <is>
          <t>A</t>
        </is>
      </c>
      <c r="K583" s="15" t="inlineStr">
        <is>
          <t>N</t>
        </is>
      </c>
      <c r="L583" s="15" t="n">
        <v>405</v>
      </c>
      <c r="M583" s="16" t="n">
        <v>0.9594450000000001</v>
      </c>
      <c r="N583" s="16" t="n">
        <v>0</v>
      </c>
      <c r="O583" s="16" t="n">
        <v>0</v>
      </c>
      <c r="P583" s="16" t="n">
        <v>0.9594450000000001</v>
      </c>
      <c r="Q583">
        <f>--($A583=IF('الداشبورد'!$B$5="الكل",$A583,'الداشبورد'!$B$5))</f>
        <v/>
      </c>
      <c r="R583">
        <f>--($E583=IF('الداشبورد'!$B$6="الكل",$E583,'الداشبورد'!$B$6))</f>
        <v/>
      </c>
      <c r="S583">
        <f>--($K583=IF('الداشبورد'!$B$7="الكل",$K583,IF('الداشبورد'!$B$7="تصدير","Y","N")))</f>
        <v/>
      </c>
      <c r="T583">
        <f>--($J583=IF('الداشبورد'!$B$8="الكل",$J583,IF('الداشبورد'!$B$8="AL","A","C")))</f>
        <v/>
      </c>
      <c r="U583">
        <f>--($I583=IF('الداشبورد'!$B$9="الكل",$I583,IF('الداشبورد'!$B$9="بدون حالة","P",'الداشبورد'!$B$9)))</f>
        <v/>
      </c>
      <c r="V583">
        <f>--($D583=IF('الداشبورد'!$B$10="الكل",$D583,'الداشبورد'!$B$10))</f>
        <v/>
      </c>
      <c r="W583">
        <f>--($G583=IF('الداشبورد'!$B$11="الكل",$G583,'الداشبورد'!$B$11))</f>
        <v/>
      </c>
      <c r="X583">
        <f>Q583*R583*S583*T583*U583*V583*W583*--($C583&lt;&gt;"")</f>
        <v/>
      </c>
    </row>
    <row r="584">
      <c r="A584" s="15" t="n">
        <v>6</v>
      </c>
      <c r="B584" s="15" t="inlineStr">
        <is>
          <t>V184888</t>
        </is>
      </c>
      <c r="C584" s="15" t="inlineStr">
        <is>
          <t>1101/26/01</t>
        </is>
      </c>
      <c r="D584" s="15" t="inlineStr">
        <is>
          <t>شركة مصر العليا لتوزيع الكهرباء</t>
        </is>
      </c>
      <c r="E584" s="15" t="inlineStr">
        <is>
          <t>MV</t>
        </is>
      </c>
      <c r="F584" s="15" t="inlineStr">
        <is>
          <t>12/20KV 3X300</t>
        </is>
      </c>
      <c r="G584" s="15" t="inlineStr">
        <is>
          <t>EX04</t>
        </is>
      </c>
      <c r="H584" s="15" t="inlineStr">
        <is>
          <t>Wooden Drums</t>
        </is>
      </c>
      <c r="I584" s="15" t="inlineStr">
        <is>
          <t>OK</t>
        </is>
      </c>
      <c r="J584" s="15" t="inlineStr">
        <is>
          <t>A</t>
        </is>
      </c>
      <c r="K584" s="15" t="inlineStr">
        <is>
          <t>N</t>
        </is>
      </c>
      <c r="L584" s="15" t="n">
        <v>405</v>
      </c>
      <c r="M584" s="16" t="n">
        <v>0.9594450000000001</v>
      </c>
      <c r="N584" s="16" t="n">
        <v>0</v>
      </c>
      <c r="O584" s="16" t="n">
        <v>0</v>
      </c>
      <c r="P584" s="16" t="n">
        <v>0.9594450000000001</v>
      </c>
      <c r="Q584">
        <f>--($A584=IF('الداشبورد'!$B$5="الكل",$A584,'الداشبورد'!$B$5))</f>
        <v/>
      </c>
      <c r="R584">
        <f>--($E584=IF('الداشبورد'!$B$6="الكل",$E584,'الداشبورد'!$B$6))</f>
        <v/>
      </c>
      <c r="S584">
        <f>--($K584=IF('الداشبورد'!$B$7="الكل",$K584,IF('الداشبورد'!$B$7="تصدير","Y","N")))</f>
        <v/>
      </c>
      <c r="T584">
        <f>--($J584=IF('الداشبورد'!$B$8="الكل",$J584,IF('الداشبورد'!$B$8="AL","A","C")))</f>
        <v/>
      </c>
      <c r="U584">
        <f>--($I584=IF('الداشبورد'!$B$9="الكل",$I584,IF('الداشبورد'!$B$9="بدون حالة","P",'الداشبورد'!$B$9)))</f>
        <v/>
      </c>
      <c r="V584">
        <f>--($D584=IF('الداشبورد'!$B$10="الكل",$D584,'الداشبورد'!$B$10))</f>
        <v/>
      </c>
      <c r="W584">
        <f>--($G584=IF('الداشبورد'!$B$11="الكل",$G584,'الداشبورد'!$B$11))</f>
        <v/>
      </c>
      <c r="X584">
        <f>Q584*R584*S584*T584*U584*V584*W584*--($C584&lt;&gt;"")</f>
        <v/>
      </c>
    </row>
    <row r="585">
      <c r="A585" s="15" t="n">
        <v>6</v>
      </c>
      <c r="B585" s="15" t="inlineStr">
        <is>
          <t>V184887</t>
        </is>
      </c>
      <c r="C585" s="15" t="inlineStr">
        <is>
          <t>1101/26/01</t>
        </is>
      </c>
      <c r="D585" s="15" t="inlineStr">
        <is>
          <t>شركة مصر العليا لتوزيع الكهرباء</t>
        </is>
      </c>
      <c r="E585" s="15" t="inlineStr">
        <is>
          <t>MV</t>
        </is>
      </c>
      <c r="F585" s="15" t="inlineStr">
        <is>
          <t>12/20KV 3X300</t>
        </is>
      </c>
      <c r="G585" s="15" t="inlineStr">
        <is>
          <t>EX04</t>
        </is>
      </c>
      <c r="H585" s="15" t="inlineStr">
        <is>
          <t>Wooden Drums</t>
        </is>
      </c>
      <c r="I585" s="15" t="inlineStr">
        <is>
          <t>OK</t>
        </is>
      </c>
      <c r="J585" s="15" t="inlineStr">
        <is>
          <t>A</t>
        </is>
      </c>
      <c r="K585" s="15" t="inlineStr">
        <is>
          <t>N</t>
        </is>
      </c>
      <c r="L585" s="15" t="n">
        <v>405</v>
      </c>
      <c r="M585" s="16" t="n">
        <v>0.9594450000000001</v>
      </c>
      <c r="N585" s="16" t="n">
        <v>0</v>
      </c>
      <c r="O585" s="16" t="n">
        <v>0</v>
      </c>
      <c r="P585" s="16" t="n">
        <v>0.9594450000000001</v>
      </c>
      <c r="Q585">
        <f>--($A585=IF('الداشبورد'!$B$5="الكل",$A585,'الداشبورد'!$B$5))</f>
        <v/>
      </c>
      <c r="R585">
        <f>--($E585=IF('الداشبورد'!$B$6="الكل",$E585,'الداشبورد'!$B$6))</f>
        <v/>
      </c>
      <c r="S585">
        <f>--($K585=IF('الداشبورد'!$B$7="الكل",$K585,IF('الداشبورد'!$B$7="تصدير","Y","N")))</f>
        <v/>
      </c>
      <c r="T585">
        <f>--($J585=IF('الداشبورد'!$B$8="الكل",$J585,IF('الداشبورد'!$B$8="AL","A","C")))</f>
        <v/>
      </c>
      <c r="U585">
        <f>--($I585=IF('الداشبورد'!$B$9="الكل",$I585,IF('الداشبورد'!$B$9="بدون حالة","P",'الداشبورد'!$B$9)))</f>
        <v/>
      </c>
      <c r="V585">
        <f>--($D585=IF('الداشبورد'!$B$10="الكل",$D585,'الداشبورد'!$B$10))</f>
        <v/>
      </c>
      <c r="W585">
        <f>--($G585=IF('الداشبورد'!$B$11="الكل",$G585,'الداشبورد'!$B$11))</f>
        <v/>
      </c>
      <c r="X585">
        <f>Q585*R585*S585*T585*U585*V585*W585*--($C585&lt;&gt;"")</f>
        <v/>
      </c>
    </row>
    <row r="586">
      <c r="A586" s="15" t="n">
        <v>6</v>
      </c>
      <c r="B586" s="15" t="inlineStr">
        <is>
          <t>V184886</t>
        </is>
      </c>
      <c r="C586" s="15" t="inlineStr">
        <is>
          <t>1101/26/01</t>
        </is>
      </c>
      <c r="D586" s="15" t="inlineStr">
        <is>
          <t>شركة مصر العليا لتوزيع الكهرباء</t>
        </is>
      </c>
      <c r="E586" s="15" t="inlineStr">
        <is>
          <t>MV</t>
        </is>
      </c>
      <c r="F586" s="15" t="inlineStr">
        <is>
          <t>12/20KV 3X300</t>
        </is>
      </c>
      <c r="G586" s="15" t="inlineStr">
        <is>
          <t>EX04</t>
        </is>
      </c>
      <c r="H586" s="15" t="inlineStr">
        <is>
          <t>Wooden Drums</t>
        </is>
      </c>
      <c r="I586" s="15" t="inlineStr">
        <is>
          <t>OK</t>
        </is>
      </c>
      <c r="J586" s="15" t="inlineStr">
        <is>
          <t>A</t>
        </is>
      </c>
      <c r="K586" s="15" t="inlineStr">
        <is>
          <t>N</t>
        </is>
      </c>
      <c r="L586" s="15" t="n">
        <v>430</v>
      </c>
      <c r="M586" s="16" t="n">
        <v>1.01867</v>
      </c>
      <c r="N586" s="16" t="n">
        <v>0</v>
      </c>
      <c r="O586" s="16" t="n">
        <v>0</v>
      </c>
      <c r="P586" s="16" t="n">
        <v>1.01867</v>
      </c>
      <c r="Q586">
        <f>--($A586=IF('الداشبورد'!$B$5="الكل",$A586,'الداشبورد'!$B$5))</f>
        <v/>
      </c>
      <c r="R586">
        <f>--($E586=IF('الداشبورد'!$B$6="الكل",$E586,'الداشبورد'!$B$6))</f>
        <v/>
      </c>
      <c r="S586">
        <f>--($K586=IF('الداشبورد'!$B$7="الكل",$K586,IF('الداشبورد'!$B$7="تصدير","Y","N")))</f>
        <v/>
      </c>
      <c r="T586">
        <f>--($J586=IF('الداشبورد'!$B$8="الكل",$J586,IF('الداشبورد'!$B$8="AL","A","C")))</f>
        <v/>
      </c>
      <c r="U586">
        <f>--($I586=IF('الداشبورد'!$B$9="الكل",$I586,IF('الداشبورد'!$B$9="بدون حالة","P",'الداشبورد'!$B$9)))</f>
        <v/>
      </c>
      <c r="V586">
        <f>--($D586=IF('الداشبورد'!$B$10="الكل",$D586,'الداشبورد'!$B$10))</f>
        <v/>
      </c>
      <c r="W586">
        <f>--($G586=IF('الداشبورد'!$B$11="الكل",$G586,'الداشبورد'!$B$11))</f>
        <v/>
      </c>
      <c r="X586">
        <f>Q586*R586*S586*T586*U586*V586*W586*--($C586&lt;&gt;"")</f>
        <v/>
      </c>
    </row>
    <row r="587">
      <c r="A587" s="15" t="n">
        <v>6</v>
      </c>
      <c r="B587" s="15" t="inlineStr">
        <is>
          <t>V184884</t>
        </is>
      </c>
      <c r="C587" s="15" t="inlineStr">
        <is>
          <t>1101/26/01</t>
        </is>
      </c>
      <c r="D587" s="15" t="inlineStr">
        <is>
          <t>شركة مصر العليا لتوزيع الكهرباء</t>
        </is>
      </c>
      <c r="E587" s="15" t="inlineStr">
        <is>
          <t>MV</t>
        </is>
      </c>
      <c r="F587" s="15" t="inlineStr">
        <is>
          <t>12/20KV 3X300</t>
        </is>
      </c>
      <c r="G587" s="15" t="inlineStr">
        <is>
          <t>EX04</t>
        </is>
      </c>
      <c r="H587" s="15" t="inlineStr">
        <is>
          <t>Wooden Drums</t>
        </is>
      </c>
      <c r="I587" s="15" t="inlineStr">
        <is>
          <t>OK</t>
        </is>
      </c>
      <c r="J587" s="15" t="inlineStr">
        <is>
          <t>A</t>
        </is>
      </c>
      <c r="K587" s="15" t="inlineStr">
        <is>
          <t>N</t>
        </is>
      </c>
      <c r="L587" s="15" t="n">
        <v>405</v>
      </c>
      <c r="M587" s="16" t="n">
        <v>0.9594450000000001</v>
      </c>
      <c r="N587" s="16" t="n">
        <v>0</v>
      </c>
      <c r="O587" s="16" t="n">
        <v>0</v>
      </c>
      <c r="P587" s="16" t="n">
        <v>0.9594450000000001</v>
      </c>
      <c r="Q587">
        <f>--($A587=IF('الداشبورد'!$B$5="الكل",$A587,'الداشبورد'!$B$5))</f>
        <v/>
      </c>
      <c r="R587">
        <f>--($E587=IF('الداشبورد'!$B$6="الكل",$E587,'الداشبورد'!$B$6))</f>
        <v/>
      </c>
      <c r="S587">
        <f>--($K587=IF('الداشبورد'!$B$7="الكل",$K587,IF('الداشبورد'!$B$7="تصدير","Y","N")))</f>
        <v/>
      </c>
      <c r="T587">
        <f>--($J587=IF('الداشبورد'!$B$8="الكل",$J587,IF('الداشبورد'!$B$8="AL","A","C")))</f>
        <v/>
      </c>
      <c r="U587">
        <f>--($I587=IF('الداشبورد'!$B$9="الكل",$I587,IF('الداشبورد'!$B$9="بدون حالة","P",'الداشبورد'!$B$9)))</f>
        <v/>
      </c>
      <c r="V587">
        <f>--($D587=IF('الداشبورد'!$B$10="الكل",$D587,'الداشبورد'!$B$10))</f>
        <v/>
      </c>
      <c r="W587">
        <f>--($G587=IF('الداشبورد'!$B$11="الكل",$G587,'الداشبورد'!$B$11))</f>
        <v/>
      </c>
      <c r="X587">
        <f>Q587*R587*S587*T587*U587*V587*W587*--($C587&lt;&gt;"")</f>
        <v/>
      </c>
    </row>
    <row r="588">
      <c r="A588" s="15" t="n">
        <v>6</v>
      </c>
      <c r="B588" s="15" t="inlineStr">
        <is>
          <t>V184885</t>
        </is>
      </c>
      <c r="C588" s="15" t="inlineStr">
        <is>
          <t>1101/26/01</t>
        </is>
      </c>
      <c r="D588" s="15" t="inlineStr">
        <is>
          <t>شركة مصر العليا لتوزيع الكهرباء</t>
        </is>
      </c>
      <c r="E588" s="15" t="inlineStr">
        <is>
          <t>MV</t>
        </is>
      </c>
      <c r="F588" s="15" t="inlineStr">
        <is>
          <t>12/20KV 3X300</t>
        </is>
      </c>
      <c r="G588" s="15" t="inlineStr">
        <is>
          <t>EX04</t>
        </is>
      </c>
      <c r="H588" s="15" t="inlineStr">
        <is>
          <t>Wooden Drums</t>
        </is>
      </c>
      <c r="I588" s="15" t="inlineStr">
        <is>
          <t>OK</t>
        </is>
      </c>
      <c r="J588" s="15" t="inlineStr">
        <is>
          <t>A</t>
        </is>
      </c>
      <c r="K588" s="15" t="inlineStr">
        <is>
          <t>N</t>
        </is>
      </c>
      <c r="L588" s="15" t="n">
        <v>404</v>
      </c>
      <c r="M588" s="16" t="n">
        <v>0.9570760000000001</v>
      </c>
      <c r="N588" s="16" t="n">
        <v>0</v>
      </c>
      <c r="O588" s="16" t="n">
        <v>0</v>
      </c>
      <c r="P588" s="16" t="n">
        <v>0.9570760000000001</v>
      </c>
      <c r="Q588">
        <f>--($A588=IF('الداشبورد'!$B$5="الكل",$A588,'الداشبورد'!$B$5))</f>
        <v/>
      </c>
      <c r="R588">
        <f>--($E588=IF('الداشبورد'!$B$6="الكل",$E588,'الداشبورد'!$B$6))</f>
        <v/>
      </c>
      <c r="S588">
        <f>--($K588=IF('الداشبورد'!$B$7="الكل",$K588,IF('الداشبورد'!$B$7="تصدير","Y","N")))</f>
        <v/>
      </c>
      <c r="T588">
        <f>--($J588=IF('الداشبورد'!$B$8="الكل",$J588,IF('الداشبورد'!$B$8="AL","A","C")))</f>
        <v/>
      </c>
      <c r="U588">
        <f>--($I588=IF('الداشبورد'!$B$9="الكل",$I588,IF('الداشبورد'!$B$9="بدون حالة","P",'الداشبورد'!$B$9)))</f>
        <v/>
      </c>
      <c r="V588">
        <f>--($D588=IF('الداشبورد'!$B$10="الكل",$D588,'الداشبورد'!$B$10))</f>
        <v/>
      </c>
      <c r="W588">
        <f>--($G588=IF('الداشبورد'!$B$11="الكل",$G588,'الداشبورد'!$B$11))</f>
        <v/>
      </c>
      <c r="X588">
        <f>Q588*R588*S588*T588*U588*V588*W588*--($C588&lt;&gt;"")</f>
        <v/>
      </c>
    </row>
    <row r="589">
      <c r="A589" s="15" t="n">
        <v>6</v>
      </c>
      <c r="B589" s="15" t="inlineStr">
        <is>
          <t>V184880</t>
        </is>
      </c>
      <c r="C589" s="15" t="inlineStr">
        <is>
          <t>1101/26/01</t>
        </is>
      </c>
      <c r="D589" s="15" t="inlineStr">
        <is>
          <t>شركة مصر العليا لتوزيع الكهرباء</t>
        </is>
      </c>
      <c r="E589" s="15" t="inlineStr">
        <is>
          <t>MV</t>
        </is>
      </c>
      <c r="F589" s="15" t="inlineStr">
        <is>
          <t>12/20KV 3X300</t>
        </is>
      </c>
      <c r="G589" s="15" t="inlineStr">
        <is>
          <t>EX04</t>
        </is>
      </c>
      <c r="H589" s="15" t="inlineStr">
        <is>
          <t>Wooden Drums</t>
        </is>
      </c>
      <c r="I589" s="15" t="inlineStr">
        <is>
          <t>OK</t>
        </is>
      </c>
      <c r="J589" s="15" t="inlineStr">
        <is>
          <t>A</t>
        </is>
      </c>
      <c r="K589" s="15" t="inlineStr">
        <is>
          <t>N</t>
        </is>
      </c>
      <c r="L589" s="15" t="n">
        <v>399</v>
      </c>
      <c r="M589" s="16" t="n">
        <v>0.9452310000000002</v>
      </c>
      <c r="N589" s="16" t="n">
        <v>0</v>
      </c>
      <c r="O589" s="16" t="n">
        <v>0</v>
      </c>
      <c r="P589" s="16" t="n">
        <v>0.9452310000000002</v>
      </c>
      <c r="Q589">
        <f>--($A589=IF('الداشبورد'!$B$5="الكل",$A589,'الداشبورد'!$B$5))</f>
        <v/>
      </c>
      <c r="R589">
        <f>--($E589=IF('الداشبورد'!$B$6="الكل",$E589,'الداشبورد'!$B$6))</f>
        <v/>
      </c>
      <c r="S589">
        <f>--($K589=IF('الداشبورد'!$B$7="الكل",$K589,IF('الداشبورد'!$B$7="تصدير","Y","N")))</f>
        <v/>
      </c>
      <c r="T589">
        <f>--($J589=IF('الداشبورد'!$B$8="الكل",$J589,IF('الداشبورد'!$B$8="AL","A","C")))</f>
        <v/>
      </c>
      <c r="U589">
        <f>--($I589=IF('الداشبورد'!$B$9="الكل",$I589,IF('الداشبورد'!$B$9="بدون حالة","P",'الداشبورد'!$B$9)))</f>
        <v/>
      </c>
      <c r="V589">
        <f>--($D589=IF('الداشبورد'!$B$10="الكل",$D589,'الداشبورد'!$B$10))</f>
        <v/>
      </c>
      <c r="W589">
        <f>--($G589=IF('الداشبورد'!$B$11="الكل",$G589,'الداشبورد'!$B$11))</f>
        <v/>
      </c>
      <c r="X589">
        <f>Q589*R589*S589*T589*U589*V589*W589*--($C589&lt;&gt;"")</f>
        <v/>
      </c>
    </row>
    <row r="590">
      <c r="A590" s="15" t="n">
        <v>6</v>
      </c>
      <c r="B590" s="15" t="inlineStr">
        <is>
          <t>T184881</t>
        </is>
      </c>
      <c r="C590" s="15" t="inlineStr">
        <is>
          <t>1101/26/01</t>
        </is>
      </c>
      <c r="D590" s="15" t="inlineStr">
        <is>
          <t>شركة مصر العليا لتوزيع الكهرباء</t>
        </is>
      </c>
      <c r="E590" s="15" t="inlineStr">
        <is>
          <t>MV</t>
        </is>
      </c>
      <c r="F590" s="15" t="inlineStr">
        <is>
          <t>12/20KV 3X300</t>
        </is>
      </c>
      <c r="G590" s="15" t="inlineStr">
        <is>
          <t>EX04</t>
        </is>
      </c>
      <c r="H590" s="15" t="inlineStr">
        <is>
          <t>Wooden Drums</t>
        </is>
      </c>
      <c r="I590" s="15" t="inlineStr">
        <is>
          <t>OK</t>
        </is>
      </c>
      <c r="J590" s="15" t="inlineStr">
        <is>
          <t>A</t>
        </is>
      </c>
      <c r="K590" s="15" t="inlineStr">
        <is>
          <t>N</t>
        </is>
      </c>
      <c r="L590" s="15" t="n">
        <v>405</v>
      </c>
      <c r="M590" s="16" t="n">
        <v>0.9594450000000001</v>
      </c>
      <c r="N590" s="16" t="n">
        <v>0</v>
      </c>
      <c r="O590" s="16" t="n">
        <v>0</v>
      </c>
      <c r="P590" s="16" t="n">
        <v>0.9594450000000001</v>
      </c>
      <c r="Q590">
        <f>--($A590=IF('الداشبورد'!$B$5="الكل",$A590,'الداشبورد'!$B$5))</f>
        <v/>
      </c>
      <c r="R590">
        <f>--($E590=IF('الداشبورد'!$B$6="الكل",$E590,'الداشبورد'!$B$6))</f>
        <v/>
      </c>
      <c r="S590">
        <f>--($K590=IF('الداشبورد'!$B$7="الكل",$K590,IF('الداشبورد'!$B$7="تصدير","Y","N")))</f>
        <v/>
      </c>
      <c r="T590">
        <f>--($J590=IF('الداشبورد'!$B$8="الكل",$J590,IF('الداشبورد'!$B$8="AL","A","C")))</f>
        <v/>
      </c>
      <c r="U590">
        <f>--($I590=IF('الداشبورد'!$B$9="الكل",$I590,IF('الداشبورد'!$B$9="بدون حالة","P",'الداشبورد'!$B$9)))</f>
        <v/>
      </c>
      <c r="V590">
        <f>--($D590=IF('الداشبورد'!$B$10="الكل",$D590,'الداشبورد'!$B$10))</f>
        <v/>
      </c>
      <c r="W590">
        <f>--($G590=IF('الداشبورد'!$B$11="الكل",$G590,'الداشبورد'!$B$11))</f>
        <v/>
      </c>
      <c r="X590">
        <f>Q590*R590*S590*T590*U590*V590*W590*--($C590&lt;&gt;"")</f>
        <v/>
      </c>
    </row>
    <row r="591">
      <c r="A591" s="15" t="n">
        <v>6</v>
      </c>
      <c r="B591" s="15" t="inlineStr">
        <is>
          <t>V184910</t>
        </is>
      </c>
      <c r="C591" s="15" t="inlineStr">
        <is>
          <t>1101/26/01</t>
        </is>
      </c>
      <c r="D591" s="15" t="inlineStr">
        <is>
          <t>شركة مصر العليا لتوزيع الكهرباء</t>
        </is>
      </c>
      <c r="E591" s="15" t="inlineStr">
        <is>
          <t>MV</t>
        </is>
      </c>
      <c r="F591" s="15" t="inlineStr">
        <is>
          <t>12/20KV 3X300</t>
        </is>
      </c>
      <c r="G591" s="15" t="inlineStr">
        <is>
          <t>EX04</t>
        </is>
      </c>
      <c r="H591" s="15" t="inlineStr">
        <is>
          <t>Wooden Drums</t>
        </is>
      </c>
      <c r="I591" s="15" t="inlineStr">
        <is>
          <t>OK</t>
        </is>
      </c>
      <c r="J591" s="15" t="inlineStr">
        <is>
          <t>A</t>
        </is>
      </c>
      <c r="K591" s="15" t="inlineStr">
        <is>
          <t>N</t>
        </is>
      </c>
      <c r="L591" s="15" t="n">
        <v>430</v>
      </c>
      <c r="M591" s="16" t="n">
        <v>1.01867</v>
      </c>
      <c r="N591" s="16" t="n">
        <v>0</v>
      </c>
      <c r="O591" s="16" t="n">
        <v>0</v>
      </c>
      <c r="P591" s="16" t="n">
        <v>1.01867</v>
      </c>
      <c r="Q591">
        <f>--($A591=IF('الداشبورد'!$B$5="الكل",$A591,'الداشبورد'!$B$5))</f>
        <v/>
      </c>
      <c r="R591">
        <f>--($E591=IF('الداشبورد'!$B$6="الكل",$E591,'الداشبورد'!$B$6))</f>
        <v/>
      </c>
      <c r="S591">
        <f>--($K591=IF('الداشبورد'!$B$7="الكل",$K591,IF('الداشبورد'!$B$7="تصدير","Y","N")))</f>
        <v/>
      </c>
      <c r="T591">
        <f>--($J591=IF('الداشبورد'!$B$8="الكل",$J591,IF('الداشبورد'!$B$8="AL","A","C")))</f>
        <v/>
      </c>
      <c r="U591">
        <f>--($I591=IF('الداشبورد'!$B$9="الكل",$I591,IF('الداشبورد'!$B$9="بدون حالة","P",'الداشبورد'!$B$9)))</f>
        <v/>
      </c>
      <c r="V591">
        <f>--($D591=IF('الداشبورد'!$B$10="الكل",$D591,'الداشبورد'!$B$10))</f>
        <v/>
      </c>
      <c r="W591">
        <f>--($G591=IF('الداشبورد'!$B$11="الكل",$G591,'الداشبورد'!$B$11))</f>
        <v/>
      </c>
      <c r="X591">
        <f>Q591*R591*S591*T591*U591*V591*W591*--($C591&lt;&gt;"")</f>
        <v/>
      </c>
    </row>
    <row r="592">
      <c r="A592" s="15" t="n">
        <v>6</v>
      </c>
      <c r="B592" s="15" t="inlineStr">
        <is>
          <t>V184912</t>
        </is>
      </c>
      <c r="C592" s="15" t="inlineStr">
        <is>
          <t>1101/26/01</t>
        </is>
      </c>
      <c r="D592" s="15" t="inlineStr">
        <is>
          <t>شركة مصر العليا لتوزيع الكهرباء</t>
        </is>
      </c>
      <c r="E592" s="15" t="inlineStr">
        <is>
          <t>MV</t>
        </is>
      </c>
      <c r="F592" s="15" t="inlineStr">
        <is>
          <t>12/20KV 3X300</t>
        </is>
      </c>
      <c r="G592" s="15" t="inlineStr">
        <is>
          <t>EX04</t>
        </is>
      </c>
      <c r="H592" s="15" t="inlineStr">
        <is>
          <t>Wooden Drums</t>
        </is>
      </c>
      <c r="I592" s="15" t="inlineStr">
        <is>
          <t>OK</t>
        </is>
      </c>
      <c r="J592" s="15" t="inlineStr">
        <is>
          <t>A</t>
        </is>
      </c>
      <c r="K592" s="15" t="inlineStr">
        <is>
          <t>N</t>
        </is>
      </c>
      <c r="L592" s="15" t="n">
        <v>402</v>
      </c>
      <c r="M592" s="16" t="n">
        <v>0.9523380000000001</v>
      </c>
      <c r="N592" s="16" t="n">
        <v>0</v>
      </c>
      <c r="O592" s="16" t="n">
        <v>0</v>
      </c>
      <c r="P592" s="16" t="n">
        <v>0.9523380000000001</v>
      </c>
      <c r="Q592">
        <f>--($A592=IF('الداشبورد'!$B$5="الكل",$A592,'الداشبورد'!$B$5))</f>
        <v/>
      </c>
      <c r="R592">
        <f>--($E592=IF('الداشبورد'!$B$6="الكل",$E592,'الداشبورد'!$B$6))</f>
        <v/>
      </c>
      <c r="S592">
        <f>--($K592=IF('الداشبورد'!$B$7="الكل",$K592,IF('الداشبورد'!$B$7="تصدير","Y","N")))</f>
        <v/>
      </c>
      <c r="T592">
        <f>--($J592=IF('الداشبورد'!$B$8="الكل",$J592,IF('الداشبورد'!$B$8="AL","A","C")))</f>
        <v/>
      </c>
      <c r="U592">
        <f>--($I592=IF('الداشبورد'!$B$9="الكل",$I592,IF('الداشبورد'!$B$9="بدون حالة","P",'الداشبورد'!$B$9)))</f>
        <v/>
      </c>
      <c r="V592">
        <f>--($D592=IF('الداشبورد'!$B$10="الكل",$D592,'الداشبورد'!$B$10))</f>
        <v/>
      </c>
      <c r="W592">
        <f>--($G592=IF('الداشبورد'!$B$11="الكل",$G592,'الداشبورد'!$B$11))</f>
        <v/>
      </c>
      <c r="X592">
        <f>Q592*R592*S592*T592*U592*V592*W592*--($C592&lt;&gt;"")</f>
        <v/>
      </c>
    </row>
    <row r="593">
      <c r="A593" s="15" t="n">
        <v>1</v>
      </c>
      <c r="B593" s="15" t="inlineStr">
        <is>
          <t>N184168</t>
        </is>
      </c>
      <c r="C593" s="15" t="inlineStr">
        <is>
          <t>1672/26/01</t>
        </is>
      </c>
      <c r="D593" s="15" t="inlineStr">
        <is>
          <t>Sadacavi</t>
        </is>
      </c>
      <c r="E593" s="15" t="inlineStr">
        <is>
          <t>LV</t>
        </is>
      </c>
      <c r="F593" s="15" t="inlineStr">
        <is>
          <t>1.8/3 KV 1X240</t>
        </is>
      </c>
      <c r="G593" s="15" t="inlineStr">
        <is>
          <t>EX08</t>
        </is>
      </c>
      <c r="H593" s="15" t="inlineStr">
        <is>
          <t>Wooden Drums</t>
        </is>
      </c>
      <c r="I593" s="15" t="inlineStr">
        <is>
          <t>OK</t>
        </is>
      </c>
      <c r="J593" s="15" t="inlineStr">
        <is>
          <t>A</t>
        </is>
      </c>
      <c r="K593" s="15" t="inlineStr">
        <is>
          <t>Y</t>
        </is>
      </c>
      <c r="L593" s="15" t="n">
        <v>2000</v>
      </c>
      <c r="M593" s="16" t="n">
        <v>1.252</v>
      </c>
      <c r="N593" s="16" t="n">
        <v>0</v>
      </c>
      <c r="O593" s="16" t="n">
        <v>0</v>
      </c>
      <c r="P593" s="16" t="n">
        <v>1.252</v>
      </c>
      <c r="Q593">
        <f>--($A593=IF('الداشبورد'!$B$5="الكل",$A593,'الداشبورد'!$B$5))</f>
        <v/>
      </c>
      <c r="R593">
        <f>--($E593=IF('الداشبورد'!$B$6="الكل",$E593,'الداشبورد'!$B$6))</f>
        <v/>
      </c>
      <c r="S593">
        <f>--($K593=IF('الداشبورد'!$B$7="الكل",$K593,IF('الداشبورد'!$B$7="تصدير","Y","N")))</f>
        <v/>
      </c>
      <c r="T593">
        <f>--($J593=IF('الداشبورد'!$B$8="الكل",$J593,IF('الداشبورد'!$B$8="AL","A","C")))</f>
        <v/>
      </c>
      <c r="U593">
        <f>--($I593=IF('الداشبورد'!$B$9="الكل",$I593,IF('الداشبورد'!$B$9="بدون حالة","P",'الداشبورد'!$B$9)))</f>
        <v/>
      </c>
      <c r="V593">
        <f>--($D593=IF('الداشبورد'!$B$10="الكل",$D593,'الداشبورد'!$B$10))</f>
        <v/>
      </c>
      <c r="W593">
        <f>--($G593=IF('الداشبورد'!$B$11="الكل",$G593,'الداشبورد'!$B$11))</f>
        <v/>
      </c>
      <c r="X593">
        <f>Q593*R593*S593*T593*U593*V593*W593*--($C593&lt;&gt;"")</f>
        <v/>
      </c>
    </row>
    <row r="594">
      <c r="A594" s="15" t="n">
        <v>5</v>
      </c>
      <c r="B594" s="15" t="inlineStr">
        <is>
          <t>J184705</t>
        </is>
      </c>
      <c r="C594" s="15" t="inlineStr">
        <is>
          <t>1439/26/01</t>
        </is>
      </c>
      <c r="D594" s="15" t="inlineStr">
        <is>
          <t>2M KABLO SAN VE TIC A.S</t>
        </is>
      </c>
      <c r="E594" s="15" t="inlineStr">
        <is>
          <t>MV</t>
        </is>
      </c>
      <c r="F594" s="15" t="inlineStr">
        <is>
          <t>12/20KV 1*95</t>
        </is>
      </c>
      <c r="G594" s="15" t="inlineStr">
        <is>
          <t>EX09</t>
        </is>
      </c>
      <c r="H594" s="15" t="inlineStr">
        <is>
          <t>Wooden Drums</t>
        </is>
      </c>
      <c r="I594" s="15" t="inlineStr">
        <is>
          <t>OK</t>
        </is>
      </c>
      <c r="J594" s="15" t="inlineStr">
        <is>
          <t>A</t>
        </is>
      </c>
      <c r="K594" s="15" t="inlineStr">
        <is>
          <t>Y</t>
        </is>
      </c>
      <c r="L594" s="15" t="n">
        <v>996</v>
      </c>
      <c r="M594" s="16" t="n">
        <v>0.242028</v>
      </c>
      <c r="N594" s="16" t="n">
        <v>0.147408</v>
      </c>
      <c r="O594" s="16" t="n">
        <v>0</v>
      </c>
      <c r="P594" s="16" t="n">
        <v>0.389436</v>
      </c>
      <c r="Q594">
        <f>--($A594=IF('الداشبورد'!$B$5="الكل",$A594,'الداشبورد'!$B$5))</f>
        <v/>
      </c>
      <c r="R594">
        <f>--($E594=IF('الداشبورد'!$B$6="الكل",$E594,'الداشبورد'!$B$6))</f>
        <v/>
      </c>
      <c r="S594">
        <f>--($K594=IF('الداشبورد'!$B$7="الكل",$K594,IF('الداشبورد'!$B$7="تصدير","Y","N")))</f>
        <v/>
      </c>
      <c r="T594">
        <f>--($J594=IF('الداشبورد'!$B$8="الكل",$J594,IF('الداشبورد'!$B$8="AL","A","C")))</f>
        <v/>
      </c>
      <c r="U594">
        <f>--($I594=IF('الداشبورد'!$B$9="الكل",$I594,IF('الداشبورد'!$B$9="بدون حالة","P",'الداشبورد'!$B$9)))</f>
        <v/>
      </c>
      <c r="V594">
        <f>--($D594=IF('الداشبورد'!$B$10="الكل",$D594,'الداشبورد'!$B$10))</f>
        <v/>
      </c>
      <c r="W594">
        <f>--($G594=IF('الداشبورد'!$B$11="الكل",$G594,'الداشبورد'!$B$11))</f>
        <v/>
      </c>
      <c r="X594">
        <f>Q594*R594*S594*T594*U594*V594*W594*--($C594&lt;&gt;"")</f>
        <v/>
      </c>
    </row>
    <row r="595">
      <c r="A595" s="15" t="n">
        <v>6</v>
      </c>
      <c r="B595" s="15" t="inlineStr">
        <is>
          <t>C75</t>
        </is>
      </c>
      <c r="C595" s="15" t="inlineStr">
        <is>
          <t>1527/26/02</t>
        </is>
      </c>
      <c r="D595" s="15" t="inlineStr">
        <is>
          <t>HELUKABEL Ireland Ltd</t>
        </is>
      </c>
      <c r="E595" s="15" t="inlineStr">
        <is>
          <t>MV</t>
        </is>
      </c>
      <c r="F595" s="15" t="inlineStr">
        <is>
          <t>19/33 KV 1X630</t>
        </is>
      </c>
      <c r="G595" s="15" t="inlineStr">
        <is>
          <t>EX05</t>
        </is>
      </c>
      <c r="H595" s="15" t="inlineStr">
        <is>
          <t>Wooden Drums</t>
        </is>
      </c>
      <c r="I595" s="15" t="inlineStr">
        <is>
          <t>Hold</t>
        </is>
      </c>
      <c r="J595" s="15" t="inlineStr">
        <is>
          <t>A</t>
        </is>
      </c>
      <c r="K595" s="15" t="inlineStr">
        <is>
          <t>Y</t>
        </is>
      </c>
      <c r="L595" s="15" t="n">
        <v>251</v>
      </c>
      <c r="M595" s="16" t="n">
        <v>0.4267</v>
      </c>
      <c r="N595" s="16" t="n">
        <v>0.082328</v>
      </c>
      <c r="O595" s="16" t="n">
        <v>0</v>
      </c>
      <c r="P595" s="16" t="n">
        <v>0.5090279999999999</v>
      </c>
      <c r="Q595">
        <f>--($A595=IF('الداشبورد'!$B$5="الكل",$A595,'الداشبورد'!$B$5))</f>
        <v/>
      </c>
      <c r="R595">
        <f>--($E595=IF('الداشبورد'!$B$6="الكل",$E595,'الداشبورد'!$B$6))</f>
        <v/>
      </c>
      <c r="S595">
        <f>--($K595=IF('الداشبورد'!$B$7="الكل",$K595,IF('الداشبورد'!$B$7="تصدير","Y","N")))</f>
        <v/>
      </c>
      <c r="T595">
        <f>--($J595=IF('الداشبورد'!$B$8="الكل",$J595,IF('الداشبورد'!$B$8="AL","A","C")))</f>
        <v/>
      </c>
      <c r="U595">
        <f>--($I595=IF('الداشبورد'!$B$9="الكل",$I595,IF('الداشبورد'!$B$9="بدون حالة","P",'الداشبورد'!$B$9)))</f>
        <v/>
      </c>
      <c r="V595">
        <f>--($D595=IF('الداشبورد'!$B$10="الكل",$D595,'الداشبورد'!$B$10))</f>
        <v/>
      </c>
      <c r="W595">
        <f>--($G595=IF('الداشبورد'!$B$11="الكل",$G595,'الداشبورد'!$B$11))</f>
        <v/>
      </c>
      <c r="X595">
        <f>Q595*R595*S595*T595*U595*V595*W595*--($C595&lt;&gt;"")</f>
        <v/>
      </c>
    </row>
    <row r="596">
      <c r="A596" s="15" t="n">
        <v>6</v>
      </c>
      <c r="B596" s="15" t="inlineStr">
        <is>
          <t>I184875</t>
        </is>
      </c>
      <c r="C596" s="15" t="inlineStr">
        <is>
          <t>1464/26/02</t>
        </is>
      </c>
      <c r="D596" s="15" t="inlineStr">
        <is>
          <t>Eland Cables</t>
        </is>
      </c>
      <c r="E596" s="15" t="inlineStr">
        <is>
          <t>MV</t>
        </is>
      </c>
      <c r="F596" s="15" t="inlineStr">
        <is>
          <t>20.8/36kv 1*70</t>
        </is>
      </c>
      <c r="G596" s="15" t="inlineStr">
        <is>
          <t>EX05</t>
        </is>
      </c>
      <c r="H596" s="15" t="inlineStr">
        <is>
          <t>Wooden Drums</t>
        </is>
      </c>
      <c r="I596" s="15" t="inlineStr">
        <is>
          <t>Hold</t>
        </is>
      </c>
      <c r="J596" s="15" t="inlineStr">
        <is>
          <t>C</t>
        </is>
      </c>
      <c r="K596" s="15" t="inlineStr">
        <is>
          <t>Y</t>
        </is>
      </c>
      <c r="L596" s="15" t="n">
        <v>510</v>
      </c>
      <c r="M596" s="16" t="n">
        <v>0.29886</v>
      </c>
      <c r="N596" s="16" t="n">
        <v>0.07446</v>
      </c>
      <c r="O596" s="16" t="n">
        <v>0</v>
      </c>
      <c r="P596" s="16" t="n">
        <v>0.37332</v>
      </c>
      <c r="Q596">
        <f>--($A596=IF('الداشبورد'!$B$5="الكل",$A596,'الداشبورد'!$B$5))</f>
        <v/>
      </c>
      <c r="R596">
        <f>--($E596=IF('الداشبورد'!$B$6="الكل",$E596,'الداشبورد'!$B$6))</f>
        <v/>
      </c>
      <c r="S596">
        <f>--($K596=IF('الداشبورد'!$B$7="الكل",$K596,IF('الداشبورد'!$B$7="تصدير","Y","N")))</f>
        <v/>
      </c>
      <c r="T596">
        <f>--($J596=IF('الداشبورد'!$B$8="الكل",$J596,IF('الداشبورد'!$B$8="AL","A","C")))</f>
        <v/>
      </c>
      <c r="U596">
        <f>--($I596=IF('الداشبورد'!$B$9="الكل",$I596,IF('الداشبورد'!$B$9="بدون حالة","P",'الداشبورد'!$B$9)))</f>
        <v/>
      </c>
      <c r="V596">
        <f>--($D596=IF('الداشبورد'!$B$10="الكل",$D596,'الداشبورد'!$B$10))</f>
        <v/>
      </c>
      <c r="W596">
        <f>--($G596=IF('الداشبورد'!$B$11="الكل",$G596,'الداشبورد'!$B$11))</f>
        <v/>
      </c>
      <c r="X596">
        <f>Q596*R596*S596*T596*U596*V596*W596*--($C596&lt;&gt;"")</f>
        <v/>
      </c>
    </row>
    <row r="597">
      <c r="A597" s="15" t="n">
        <v>6</v>
      </c>
      <c r="B597" s="15" t="inlineStr">
        <is>
          <t>I184878</t>
        </is>
      </c>
      <c r="C597" s="15" t="inlineStr">
        <is>
          <t>1464/26/02</t>
        </is>
      </c>
      <c r="D597" s="15" t="inlineStr">
        <is>
          <t>Eland Cables</t>
        </is>
      </c>
      <c r="E597" s="15" t="inlineStr">
        <is>
          <t>MV</t>
        </is>
      </c>
      <c r="F597" s="15" t="inlineStr">
        <is>
          <t>20.8/36kv 1*70</t>
        </is>
      </c>
      <c r="G597" s="15" t="inlineStr">
        <is>
          <t>EX05</t>
        </is>
      </c>
      <c r="H597" s="15" t="inlineStr">
        <is>
          <t>Wooden Drums</t>
        </is>
      </c>
      <c r="I597" s="15" t="inlineStr">
        <is>
          <t>OK</t>
        </is>
      </c>
      <c r="J597" s="15" t="inlineStr">
        <is>
          <t>C</t>
        </is>
      </c>
      <c r="K597" s="15" t="inlineStr">
        <is>
          <t>Y</t>
        </is>
      </c>
      <c r="L597" s="15" t="n">
        <v>510</v>
      </c>
      <c r="M597" s="16" t="n">
        <v>0.29886</v>
      </c>
      <c r="N597" s="16" t="n">
        <v>0.07446</v>
      </c>
      <c r="O597" s="16" t="n">
        <v>0</v>
      </c>
      <c r="P597" s="16" t="n">
        <v>0.37332</v>
      </c>
      <c r="Q597">
        <f>--($A597=IF('الداشبورد'!$B$5="الكل",$A597,'الداشبورد'!$B$5))</f>
        <v/>
      </c>
      <c r="R597">
        <f>--($E597=IF('الداشبورد'!$B$6="الكل",$E597,'الداشبورد'!$B$6))</f>
        <v/>
      </c>
      <c r="S597">
        <f>--($K597=IF('الداشبورد'!$B$7="الكل",$K597,IF('الداشبورد'!$B$7="تصدير","Y","N")))</f>
        <v/>
      </c>
      <c r="T597">
        <f>--($J597=IF('الداشبورد'!$B$8="الكل",$J597,IF('الداشبورد'!$B$8="AL","A","C")))</f>
        <v/>
      </c>
      <c r="U597">
        <f>--($I597=IF('الداشبورد'!$B$9="الكل",$I597,IF('الداشبورد'!$B$9="بدون حالة","P",'الداشبورد'!$B$9)))</f>
        <v/>
      </c>
      <c r="V597">
        <f>--($D597=IF('الداشبورد'!$B$10="الكل",$D597,'الداشبورد'!$B$10))</f>
        <v/>
      </c>
      <c r="W597">
        <f>--($G597=IF('الداشبورد'!$B$11="الكل",$G597,'الداشبورد'!$B$11))</f>
        <v/>
      </c>
      <c r="X597">
        <f>Q597*R597*S597*T597*U597*V597*W597*--($C597&lt;&gt;"")</f>
        <v/>
      </c>
    </row>
    <row r="598">
      <c r="A598" s="15" t="n">
        <v>6</v>
      </c>
      <c r="B598" s="15" t="inlineStr">
        <is>
          <t>I184877</t>
        </is>
      </c>
      <c r="C598" s="15" t="inlineStr">
        <is>
          <t>1464/26/02</t>
        </is>
      </c>
      <c r="D598" s="15" t="inlineStr">
        <is>
          <t>Eland Cables</t>
        </is>
      </c>
      <c r="E598" s="15" t="inlineStr">
        <is>
          <t>MV</t>
        </is>
      </c>
      <c r="F598" s="15" t="inlineStr">
        <is>
          <t>20.8/36kv 1*70</t>
        </is>
      </c>
      <c r="G598" s="15" t="inlineStr">
        <is>
          <t>EX05</t>
        </is>
      </c>
      <c r="H598" s="15" t="inlineStr">
        <is>
          <t>Wooden Drums</t>
        </is>
      </c>
      <c r="I598" s="15" t="inlineStr">
        <is>
          <t>OK</t>
        </is>
      </c>
      <c r="J598" s="15" t="inlineStr">
        <is>
          <t>C</t>
        </is>
      </c>
      <c r="K598" s="15" t="inlineStr">
        <is>
          <t>Y</t>
        </is>
      </c>
      <c r="L598" s="15" t="n">
        <v>510</v>
      </c>
      <c r="M598" s="16" t="n">
        <v>0.29886</v>
      </c>
      <c r="N598" s="16" t="n">
        <v>0.07446</v>
      </c>
      <c r="O598" s="16" t="n">
        <v>0</v>
      </c>
      <c r="P598" s="16" t="n">
        <v>0.37332</v>
      </c>
      <c r="Q598">
        <f>--($A598=IF('الداشبورد'!$B$5="الكل",$A598,'الداشبورد'!$B$5))</f>
        <v/>
      </c>
      <c r="R598">
        <f>--($E598=IF('الداشبورد'!$B$6="الكل",$E598,'الداشبورد'!$B$6))</f>
        <v/>
      </c>
      <c r="S598">
        <f>--($K598=IF('الداشبورد'!$B$7="الكل",$K598,IF('الداشبورد'!$B$7="تصدير","Y","N")))</f>
        <v/>
      </c>
      <c r="T598">
        <f>--($J598=IF('الداشبورد'!$B$8="الكل",$J598,IF('الداشبورد'!$B$8="AL","A","C")))</f>
        <v/>
      </c>
      <c r="U598">
        <f>--($I598=IF('الداشبورد'!$B$9="الكل",$I598,IF('الداشبورد'!$B$9="بدون حالة","P",'الداشبورد'!$B$9)))</f>
        <v/>
      </c>
      <c r="V598">
        <f>--($D598=IF('الداشبورد'!$B$10="الكل",$D598,'الداشبورد'!$B$10))</f>
        <v/>
      </c>
      <c r="W598">
        <f>--($G598=IF('الداشبورد'!$B$11="الكل",$G598,'الداشبورد'!$B$11))</f>
        <v/>
      </c>
      <c r="X598">
        <f>Q598*R598*S598*T598*U598*V598*W598*--($C598&lt;&gt;"")</f>
        <v/>
      </c>
    </row>
    <row r="599">
      <c r="A599" s="15" t="n">
        <v>6</v>
      </c>
      <c r="B599" s="15" t="inlineStr">
        <is>
          <t>I184890</t>
        </is>
      </c>
      <c r="C599" s="15" t="inlineStr">
        <is>
          <t>1464/26/02</t>
        </is>
      </c>
      <c r="D599" s="15" t="inlineStr">
        <is>
          <t>Eland Cables</t>
        </is>
      </c>
      <c r="E599" s="15" t="inlineStr">
        <is>
          <t>MV</t>
        </is>
      </c>
      <c r="F599" s="15" t="inlineStr">
        <is>
          <t>20.8/36kv 1*70</t>
        </is>
      </c>
      <c r="G599" s="15" t="inlineStr">
        <is>
          <t>EX05</t>
        </is>
      </c>
      <c r="H599" s="15" t="inlineStr">
        <is>
          <t>Wooden Drums</t>
        </is>
      </c>
      <c r="I599" s="15" t="inlineStr">
        <is>
          <t>OK</t>
        </is>
      </c>
      <c r="J599" s="15" t="inlineStr">
        <is>
          <t>C</t>
        </is>
      </c>
      <c r="K599" s="15" t="inlineStr">
        <is>
          <t>Y</t>
        </is>
      </c>
      <c r="L599" s="15" t="n">
        <v>510</v>
      </c>
      <c r="M599" s="16" t="n">
        <v>0.29886</v>
      </c>
      <c r="N599" s="16" t="n">
        <v>0.07446</v>
      </c>
      <c r="O599" s="16" t="n">
        <v>0</v>
      </c>
      <c r="P599" s="16" t="n">
        <v>0.37332</v>
      </c>
      <c r="Q599">
        <f>--($A599=IF('الداشبورد'!$B$5="الكل",$A599,'الداشبورد'!$B$5))</f>
        <v/>
      </c>
      <c r="R599">
        <f>--($E599=IF('الداشبورد'!$B$6="الكل",$E599,'الداشبورد'!$B$6))</f>
        <v/>
      </c>
      <c r="S599">
        <f>--($K599=IF('الداشبورد'!$B$7="الكل",$K599,IF('الداشبورد'!$B$7="تصدير","Y","N")))</f>
        <v/>
      </c>
      <c r="T599">
        <f>--($J599=IF('الداشبورد'!$B$8="الكل",$J599,IF('الداشبورد'!$B$8="AL","A","C")))</f>
        <v/>
      </c>
      <c r="U599">
        <f>--($I599=IF('الداشبورد'!$B$9="الكل",$I599,IF('الداشبورد'!$B$9="بدون حالة","P",'الداشبورد'!$B$9)))</f>
        <v/>
      </c>
      <c r="V599">
        <f>--($D599=IF('الداشبورد'!$B$10="الكل",$D599,'الداشبورد'!$B$10))</f>
        <v/>
      </c>
      <c r="W599">
        <f>--($G599=IF('الداشبورد'!$B$11="الكل",$G599,'الداشبورد'!$B$11))</f>
        <v/>
      </c>
      <c r="X599">
        <f>Q599*R599*S599*T599*U599*V599*W599*--($C599&lt;&gt;"")</f>
        <v/>
      </c>
    </row>
    <row r="600">
      <c r="A600" s="15" t="n">
        <v>6</v>
      </c>
      <c r="B600" s="15" t="inlineStr">
        <is>
          <t>I184889</t>
        </is>
      </c>
      <c r="C600" s="15" t="inlineStr">
        <is>
          <t>1464/26/02</t>
        </is>
      </c>
      <c r="D600" s="15" t="inlineStr">
        <is>
          <t>Eland Cables</t>
        </is>
      </c>
      <c r="E600" s="15" t="inlineStr">
        <is>
          <t>MV</t>
        </is>
      </c>
      <c r="F600" s="15" t="inlineStr">
        <is>
          <t>20.8/36kv 1*70</t>
        </is>
      </c>
      <c r="G600" s="15" t="inlineStr">
        <is>
          <t>EX05</t>
        </is>
      </c>
      <c r="H600" s="15" t="inlineStr">
        <is>
          <t>Wooden Drums</t>
        </is>
      </c>
      <c r="I600" s="15" t="inlineStr">
        <is>
          <t>OK</t>
        </is>
      </c>
      <c r="J600" s="15" t="inlineStr">
        <is>
          <t>C</t>
        </is>
      </c>
      <c r="K600" s="15" t="inlineStr">
        <is>
          <t>Y</t>
        </is>
      </c>
      <c r="L600" s="15" t="n">
        <v>505</v>
      </c>
      <c r="M600" s="16" t="n">
        <v>0.29593</v>
      </c>
      <c r="N600" s="16" t="n">
        <v>0.07372999999999999</v>
      </c>
      <c r="O600" s="16" t="n">
        <v>0</v>
      </c>
      <c r="P600" s="16" t="n">
        <v>0.36966</v>
      </c>
      <c r="Q600">
        <f>--($A600=IF('الداشبورد'!$B$5="الكل",$A600,'الداشبورد'!$B$5))</f>
        <v/>
      </c>
      <c r="R600">
        <f>--($E600=IF('الداشبورد'!$B$6="الكل",$E600,'الداشبورد'!$B$6))</f>
        <v/>
      </c>
      <c r="S600">
        <f>--($K600=IF('الداشبورد'!$B$7="الكل",$K600,IF('الداشبورد'!$B$7="تصدير","Y","N")))</f>
        <v/>
      </c>
      <c r="T600">
        <f>--($J600=IF('الداشبورد'!$B$8="الكل",$J600,IF('الداشبورد'!$B$8="AL","A","C")))</f>
        <v/>
      </c>
      <c r="U600">
        <f>--($I600=IF('الداشبورد'!$B$9="الكل",$I600,IF('الداشبورد'!$B$9="بدون حالة","P",'الداشبورد'!$B$9)))</f>
        <v/>
      </c>
      <c r="V600">
        <f>--($D600=IF('الداشبورد'!$B$10="الكل",$D600,'الداشبورد'!$B$10))</f>
        <v/>
      </c>
      <c r="W600">
        <f>--($G600=IF('الداشبورد'!$B$11="الكل",$G600,'الداشبورد'!$B$11))</f>
        <v/>
      </c>
      <c r="X600">
        <f>Q600*R600*S600*T600*U600*V600*W600*--($C600&lt;&gt;"")</f>
        <v/>
      </c>
    </row>
    <row r="601">
      <c r="A601" s="15" t="n">
        <v>6</v>
      </c>
      <c r="B601" s="15" t="inlineStr">
        <is>
          <t>I184891</t>
        </is>
      </c>
      <c r="C601" s="15" t="inlineStr">
        <is>
          <t>1464/26/02</t>
        </is>
      </c>
      <c r="D601" s="15" t="inlineStr">
        <is>
          <t>Eland Cables</t>
        </is>
      </c>
      <c r="E601" s="15" t="inlineStr">
        <is>
          <t>MV</t>
        </is>
      </c>
      <c r="F601" s="15" t="inlineStr">
        <is>
          <t>20.8/36kv 1*70</t>
        </is>
      </c>
      <c r="G601" s="15" t="inlineStr">
        <is>
          <t>EX05</t>
        </is>
      </c>
      <c r="H601" s="15" t="inlineStr">
        <is>
          <t>Wooden Drums</t>
        </is>
      </c>
      <c r="I601" s="15" t="inlineStr">
        <is>
          <t>OK</t>
        </is>
      </c>
      <c r="J601" s="15" t="inlineStr">
        <is>
          <t>C</t>
        </is>
      </c>
      <c r="K601" s="15" t="inlineStr">
        <is>
          <t>Y</t>
        </is>
      </c>
      <c r="L601" s="15" t="n">
        <v>520</v>
      </c>
      <c r="M601" s="16" t="n">
        <v>0.30472</v>
      </c>
      <c r="N601" s="16" t="n">
        <v>0.07592</v>
      </c>
      <c r="O601" s="16" t="n">
        <v>0</v>
      </c>
      <c r="P601" s="16" t="n">
        <v>0.38064</v>
      </c>
      <c r="Q601">
        <f>--($A601=IF('الداشبورد'!$B$5="الكل",$A601,'الداشبورد'!$B$5))</f>
        <v/>
      </c>
      <c r="R601">
        <f>--($E601=IF('الداشبورد'!$B$6="الكل",$E601,'الداشبورد'!$B$6))</f>
        <v/>
      </c>
      <c r="S601">
        <f>--($K601=IF('الداشبورد'!$B$7="الكل",$K601,IF('الداشبورد'!$B$7="تصدير","Y","N")))</f>
        <v/>
      </c>
      <c r="T601">
        <f>--($J601=IF('الداشبورد'!$B$8="الكل",$J601,IF('الداشبورد'!$B$8="AL","A","C")))</f>
        <v/>
      </c>
      <c r="U601">
        <f>--($I601=IF('الداشبورد'!$B$9="الكل",$I601,IF('الداشبورد'!$B$9="بدون حالة","P",'الداشبورد'!$B$9)))</f>
        <v/>
      </c>
      <c r="V601">
        <f>--($D601=IF('الداشبورد'!$B$10="الكل",$D601,'الداشبورد'!$B$10))</f>
        <v/>
      </c>
      <c r="W601">
        <f>--($G601=IF('الداشبورد'!$B$11="الكل",$G601,'الداشبورد'!$B$11))</f>
        <v/>
      </c>
      <c r="X601">
        <f>Q601*R601*S601*T601*U601*V601*W601*--($C601&lt;&gt;"")</f>
        <v/>
      </c>
    </row>
    <row r="602">
      <c r="A602" s="15" t="n">
        <v>6</v>
      </c>
      <c r="B602" s="15" t="inlineStr">
        <is>
          <t>I184892</t>
        </is>
      </c>
      <c r="C602" s="15" t="inlineStr">
        <is>
          <t>1464/26/02</t>
        </is>
      </c>
      <c r="D602" s="15" t="inlineStr">
        <is>
          <t>Eland Cables</t>
        </is>
      </c>
      <c r="E602" s="15" t="inlineStr">
        <is>
          <t>MV</t>
        </is>
      </c>
      <c r="F602" s="15" t="inlineStr">
        <is>
          <t>20.8/36kv 1*70</t>
        </is>
      </c>
      <c r="G602" s="15" t="inlineStr">
        <is>
          <t>EX05</t>
        </is>
      </c>
      <c r="H602" s="15" t="inlineStr">
        <is>
          <t>Wooden Drums</t>
        </is>
      </c>
      <c r="I602" s="15" t="inlineStr">
        <is>
          <t>OK</t>
        </is>
      </c>
      <c r="J602" s="15" t="inlineStr">
        <is>
          <t>C</t>
        </is>
      </c>
      <c r="K602" s="15" t="inlineStr">
        <is>
          <t>Y</t>
        </is>
      </c>
      <c r="L602" s="15" t="n">
        <v>510</v>
      </c>
      <c r="M602" s="16" t="n">
        <v>0.29886</v>
      </c>
      <c r="N602" s="16" t="n">
        <v>0.07446</v>
      </c>
      <c r="O602" s="16" t="n">
        <v>0</v>
      </c>
      <c r="P602" s="16" t="n">
        <v>0.37332</v>
      </c>
      <c r="Q602">
        <f>--($A602=IF('الداشبورد'!$B$5="الكل",$A602,'الداشبورد'!$B$5))</f>
        <v/>
      </c>
      <c r="R602">
        <f>--($E602=IF('الداشبورد'!$B$6="الكل",$E602,'الداشبورد'!$B$6))</f>
        <v/>
      </c>
      <c r="S602">
        <f>--($K602=IF('الداشبورد'!$B$7="الكل",$K602,IF('الداشبورد'!$B$7="تصدير","Y","N")))</f>
        <v/>
      </c>
      <c r="T602">
        <f>--($J602=IF('الداشبورد'!$B$8="الكل",$J602,IF('الداشبورد'!$B$8="AL","A","C")))</f>
        <v/>
      </c>
      <c r="U602">
        <f>--($I602=IF('الداشبورد'!$B$9="الكل",$I602,IF('الداشبورد'!$B$9="بدون حالة","P",'الداشبورد'!$B$9)))</f>
        <v/>
      </c>
      <c r="V602">
        <f>--($D602=IF('الداشبورد'!$B$10="الكل",$D602,'الداشبورد'!$B$10))</f>
        <v/>
      </c>
      <c r="W602">
        <f>--($G602=IF('الداشبورد'!$B$11="الكل",$G602,'الداشبورد'!$B$11))</f>
        <v/>
      </c>
      <c r="X602">
        <f>Q602*R602*S602*T602*U602*V602*W602*--($C602&lt;&gt;"")</f>
        <v/>
      </c>
    </row>
    <row r="603">
      <c r="A603" s="15" t="n">
        <v>6</v>
      </c>
      <c r="B603" s="15" t="inlineStr">
        <is>
          <t>I184894</t>
        </is>
      </c>
      <c r="C603" s="15" t="inlineStr">
        <is>
          <t>1464/26/02</t>
        </is>
      </c>
      <c r="D603" s="15" t="inlineStr">
        <is>
          <t>Eland Cables</t>
        </is>
      </c>
      <c r="E603" s="15" t="inlineStr">
        <is>
          <t>MV</t>
        </is>
      </c>
      <c r="F603" s="15" t="inlineStr">
        <is>
          <t>20.8/36kv 1*70</t>
        </is>
      </c>
      <c r="G603" s="15" t="inlineStr">
        <is>
          <t>EX05</t>
        </is>
      </c>
      <c r="H603" s="15" t="inlineStr">
        <is>
          <t>Wooden Drums</t>
        </is>
      </c>
      <c r="I603" s="15" t="inlineStr">
        <is>
          <t>OK</t>
        </is>
      </c>
      <c r="J603" s="15" t="inlineStr">
        <is>
          <t>C</t>
        </is>
      </c>
      <c r="K603" s="15" t="inlineStr">
        <is>
          <t>Y</t>
        </is>
      </c>
      <c r="L603" s="15" t="n">
        <v>497</v>
      </c>
      <c r="M603" s="16" t="n">
        <v>0.2912419999999999</v>
      </c>
      <c r="N603" s="16" t="n">
        <v>0.072562</v>
      </c>
      <c r="O603" s="16" t="n">
        <v>0</v>
      </c>
      <c r="P603" s="16" t="n">
        <v>0.363804</v>
      </c>
      <c r="Q603">
        <f>--($A603=IF('الداشبورد'!$B$5="الكل",$A603,'الداشبورد'!$B$5))</f>
        <v/>
      </c>
      <c r="R603">
        <f>--($E603=IF('الداشبورد'!$B$6="الكل",$E603,'الداشبورد'!$B$6))</f>
        <v/>
      </c>
      <c r="S603">
        <f>--($K603=IF('الداشبورد'!$B$7="الكل",$K603,IF('الداشبورد'!$B$7="تصدير","Y","N")))</f>
        <v/>
      </c>
      <c r="T603">
        <f>--($J603=IF('الداشبورد'!$B$8="الكل",$J603,IF('الداشبورد'!$B$8="AL","A","C")))</f>
        <v/>
      </c>
      <c r="U603">
        <f>--($I603=IF('الداشبورد'!$B$9="الكل",$I603,IF('الداشبورد'!$B$9="بدون حالة","P",'الداشبورد'!$B$9)))</f>
        <v/>
      </c>
      <c r="V603">
        <f>--($D603=IF('الداشبورد'!$B$10="الكل",$D603,'الداشبورد'!$B$10))</f>
        <v/>
      </c>
      <c r="W603">
        <f>--($G603=IF('الداشبورد'!$B$11="الكل",$G603,'الداشبورد'!$B$11))</f>
        <v/>
      </c>
      <c r="X603">
        <f>Q603*R603*S603*T603*U603*V603*W603*--($C603&lt;&gt;"")</f>
        <v/>
      </c>
    </row>
    <row r="604">
      <c r="A604" s="15" t="n">
        <v>6</v>
      </c>
      <c r="B604" s="15" t="inlineStr">
        <is>
          <t>I184893</t>
        </is>
      </c>
      <c r="C604" s="15" t="inlineStr">
        <is>
          <t>1464/26/02</t>
        </is>
      </c>
      <c r="D604" s="15" t="inlineStr">
        <is>
          <t>Eland Cables</t>
        </is>
      </c>
      <c r="E604" s="15" t="inlineStr">
        <is>
          <t>MV</t>
        </is>
      </c>
      <c r="F604" s="15" t="inlineStr">
        <is>
          <t>20.8/36kv 1*70</t>
        </is>
      </c>
      <c r="G604" s="15" t="inlineStr">
        <is>
          <t>EX05</t>
        </is>
      </c>
      <c r="H604" s="15" t="inlineStr">
        <is>
          <t>Wooden Drums</t>
        </is>
      </c>
      <c r="I604" s="15" t="inlineStr">
        <is>
          <t>OK</t>
        </is>
      </c>
      <c r="J604" s="15" t="inlineStr">
        <is>
          <t>C</t>
        </is>
      </c>
      <c r="K604" s="15" t="inlineStr">
        <is>
          <t>Y</t>
        </is>
      </c>
      <c r="L604" s="15" t="n">
        <v>525</v>
      </c>
      <c r="M604" s="16" t="n">
        <v>0.30765</v>
      </c>
      <c r="N604" s="16" t="n">
        <v>0.07665</v>
      </c>
      <c r="O604" s="16" t="n">
        <v>0</v>
      </c>
      <c r="P604" s="16" t="n">
        <v>0.3843</v>
      </c>
      <c r="Q604">
        <f>--($A604=IF('الداشبورد'!$B$5="الكل",$A604,'الداشبورد'!$B$5))</f>
        <v/>
      </c>
      <c r="R604">
        <f>--($E604=IF('الداشبورد'!$B$6="الكل",$E604,'الداشبورد'!$B$6))</f>
        <v/>
      </c>
      <c r="S604">
        <f>--($K604=IF('الداشبورد'!$B$7="الكل",$K604,IF('الداشبورد'!$B$7="تصدير","Y","N")))</f>
        <v/>
      </c>
      <c r="T604">
        <f>--($J604=IF('الداشبورد'!$B$8="الكل",$J604,IF('الداشبورد'!$B$8="AL","A","C")))</f>
        <v/>
      </c>
      <c r="U604">
        <f>--($I604=IF('الداشبورد'!$B$9="الكل",$I604,IF('الداشبورد'!$B$9="بدون حالة","P",'الداشبورد'!$B$9)))</f>
        <v/>
      </c>
      <c r="V604">
        <f>--($D604=IF('الداشبورد'!$B$10="الكل",$D604,'الداشبورد'!$B$10))</f>
        <v/>
      </c>
      <c r="W604">
        <f>--($G604=IF('الداشبورد'!$B$11="الكل",$G604,'الداشبورد'!$B$11))</f>
        <v/>
      </c>
      <c r="X604">
        <f>Q604*R604*S604*T604*U604*V604*W604*--($C604&lt;&gt;"")</f>
        <v/>
      </c>
    </row>
    <row r="605">
      <c r="A605" s="15" t="n">
        <v>6</v>
      </c>
      <c r="B605" s="15" t="inlineStr">
        <is>
          <t>P184808</t>
        </is>
      </c>
      <c r="C605" s="15" t="inlineStr">
        <is>
          <t>1410/26/04</t>
        </is>
      </c>
      <c r="D605" s="15" t="inlineStr">
        <is>
          <t>Sadacavi</t>
        </is>
      </c>
      <c r="E605" s="15" t="inlineStr">
        <is>
          <t>MV</t>
        </is>
      </c>
      <c r="F605" s="15" t="inlineStr">
        <is>
          <t>12/20 KV 1X95</t>
        </is>
      </c>
      <c r="G605" s="15" t="inlineStr">
        <is>
          <t>EX06</t>
        </is>
      </c>
      <c r="H605" s="15" t="inlineStr">
        <is>
          <t>Wooden Drums</t>
        </is>
      </c>
      <c r="I605" s="15" t="inlineStr">
        <is>
          <t>OK</t>
        </is>
      </c>
      <c r="J605" s="15" t="inlineStr">
        <is>
          <t>A</t>
        </is>
      </c>
      <c r="K605" s="15" t="inlineStr">
        <is>
          <t>Y</t>
        </is>
      </c>
      <c r="L605" s="15" t="n">
        <v>2050</v>
      </c>
      <c r="M605" s="16" t="n">
        <v>0.50225</v>
      </c>
      <c r="N605" s="16" t="n">
        <v>0</v>
      </c>
      <c r="O605" s="16" t="n">
        <v>0</v>
      </c>
      <c r="P605" s="16" t="n">
        <v>0.50225</v>
      </c>
      <c r="Q605">
        <f>--($A605=IF('الداشبورد'!$B$5="الكل",$A605,'الداشبورد'!$B$5))</f>
        <v/>
      </c>
      <c r="R605">
        <f>--($E605=IF('الداشبورد'!$B$6="الكل",$E605,'الداشبورد'!$B$6))</f>
        <v/>
      </c>
      <c r="S605">
        <f>--($K605=IF('الداشبورد'!$B$7="الكل",$K605,IF('الداشبورد'!$B$7="تصدير","Y","N")))</f>
        <v/>
      </c>
      <c r="T605">
        <f>--($J605=IF('الداشبورد'!$B$8="الكل",$J605,IF('الداشبورد'!$B$8="AL","A","C")))</f>
        <v/>
      </c>
      <c r="U605">
        <f>--($I605=IF('الداشبورد'!$B$9="الكل",$I605,IF('الداشبورد'!$B$9="بدون حالة","P",'الداشبورد'!$B$9)))</f>
        <v/>
      </c>
      <c r="V605">
        <f>--($D605=IF('الداشبورد'!$B$10="الكل",$D605,'الداشبورد'!$B$10))</f>
        <v/>
      </c>
      <c r="W605">
        <f>--($G605=IF('الداشبورد'!$B$11="الكل",$G605,'الداشبورد'!$B$11))</f>
        <v/>
      </c>
      <c r="X605">
        <f>Q605*R605*S605*T605*U605*V605*W605*--($C605&lt;&gt;"")</f>
        <v/>
      </c>
    </row>
    <row r="606">
      <c r="A606" s="15" t="n">
        <v>6</v>
      </c>
      <c r="B606" s="15" t="inlineStr">
        <is>
          <t>P184805</t>
        </is>
      </c>
      <c r="C606" s="15" t="inlineStr">
        <is>
          <t>1410/26/04</t>
        </is>
      </c>
      <c r="D606" s="15" t="inlineStr">
        <is>
          <t>Sadacavi</t>
        </is>
      </c>
      <c r="E606" s="15" t="inlineStr">
        <is>
          <t>MV</t>
        </is>
      </c>
      <c r="F606" s="15" t="inlineStr">
        <is>
          <t>12/20 KV 1X95</t>
        </is>
      </c>
      <c r="G606" s="15" t="inlineStr">
        <is>
          <t>EX06</t>
        </is>
      </c>
      <c r="H606" s="15" t="inlineStr">
        <is>
          <t>Wooden Drums</t>
        </is>
      </c>
      <c r="I606" s="15" t="inlineStr">
        <is>
          <t>OK</t>
        </is>
      </c>
      <c r="J606" s="15" t="inlineStr">
        <is>
          <t>A</t>
        </is>
      </c>
      <c r="K606" s="15" t="inlineStr">
        <is>
          <t>Y</t>
        </is>
      </c>
      <c r="L606" s="15" t="n">
        <v>2065</v>
      </c>
      <c r="M606" s="16" t="n">
        <v>0.505925</v>
      </c>
      <c r="N606" s="16" t="n">
        <v>0</v>
      </c>
      <c r="O606" s="16" t="n">
        <v>0</v>
      </c>
      <c r="P606" s="16" t="n">
        <v>0.505925</v>
      </c>
      <c r="Q606">
        <f>--($A606=IF('الداشبورد'!$B$5="الكل",$A606,'الداشبورد'!$B$5))</f>
        <v/>
      </c>
      <c r="R606">
        <f>--($E606=IF('الداشبورد'!$B$6="الكل",$E606,'الداشبورد'!$B$6))</f>
        <v/>
      </c>
      <c r="S606">
        <f>--($K606=IF('الداشبورد'!$B$7="الكل",$K606,IF('الداشبورد'!$B$7="تصدير","Y","N")))</f>
        <v/>
      </c>
      <c r="T606">
        <f>--($J606=IF('الداشبورد'!$B$8="الكل",$J606,IF('الداشبورد'!$B$8="AL","A","C")))</f>
        <v/>
      </c>
      <c r="U606">
        <f>--($I606=IF('الداشبورد'!$B$9="الكل",$I606,IF('الداشبورد'!$B$9="بدون حالة","P",'الداشبورد'!$B$9)))</f>
        <v/>
      </c>
      <c r="V606">
        <f>--($D606=IF('الداشبورد'!$B$10="الكل",$D606,'الداشبورد'!$B$10))</f>
        <v/>
      </c>
      <c r="W606">
        <f>--($G606=IF('الداشبورد'!$B$11="الكل",$G606,'الداشبورد'!$B$11))</f>
        <v/>
      </c>
      <c r="X606">
        <f>Q606*R606*S606*T606*U606*V606*W606*--($C606&lt;&gt;"")</f>
        <v/>
      </c>
    </row>
    <row r="607">
      <c r="A607" s="15" t="n">
        <v>6</v>
      </c>
      <c r="B607" s="15" t="inlineStr">
        <is>
          <t>P184809</t>
        </is>
      </c>
      <c r="C607" s="15" t="inlineStr">
        <is>
          <t>1410/26/04</t>
        </is>
      </c>
      <c r="D607" s="15" t="inlineStr">
        <is>
          <t>Sadacavi</t>
        </is>
      </c>
      <c r="E607" s="15" t="inlineStr">
        <is>
          <t>MV</t>
        </is>
      </c>
      <c r="F607" s="15" t="inlineStr">
        <is>
          <t>12/20 KV 1X95</t>
        </is>
      </c>
      <c r="G607" s="15" t="inlineStr">
        <is>
          <t>EX06</t>
        </is>
      </c>
      <c r="H607" s="15" t="inlineStr">
        <is>
          <t>Wooden Drums</t>
        </is>
      </c>
      <c r="I607" s="15" t="inlineStr">
        <is>
          <t>OK</t>
        </is>
      </c>
      <c r="J607" s="15" t="inlineStr">
        <is>
          <t>A</t>
        </is>
      </c>
      <c r="K607" s="15" t="inlineStr">
        <is>
          <t>Y</t>
        </is>
      </c>
      <c r="L607" s="15" t="n">
        <v>2090</v>
      </c>
      <c r="M607" s="16" t="n">
        <v>0.51205</v>
      </c>
      <c r="N607" s="16" t="n">
        <v>0</v>
      </c>
      <c r="O607" s="16" t="n">
        <v>0</v>
      </c>
      <c r="P607" s="16" t="n">
        <v>0.51205</v>
      </c>
      <c r="Q607">
        <f>--($A607=IF('الداشبورد'!$B$5="الكل",$A607,'الداشبورد'!$B$5))</f>
        <v/>
      </c>
      <c r="R607">
        <f>--($E607=IF('الداشبورد'!$B$6="الكل",$E607,'الداشبورد'!$B$6))</f>
        <v/>
      </c>
      <c r="S607">
        <f>--($K607=IF('الداشبورد'!$B$7="الكل",$K607,IF('الداشبورد'!$B$7="تصدير","Y","N")))</f>
        <v/>
      </c>
      <c r="T607">
        <f>--($J607=IF('الداشبورد'!$B$8="الكل",$J607,IF('الداشبورد'!$B$8="AL","A","C")))</f>
        <v/>
      </c>
      <c r="U607">
        <f>--($I607=IF('الداشبورد'!$B$9="الكل",$I607,IF('الداشبورد'!$B$9="بدون حالة","P",'الداشبورد'!$B$9)))</f>
        <v/>
      </c>
      <c r="V607">
        <f>--($D607=IF('الداشبورد'!$B$10="الكل",$D607,'الداشبورد'!$B$10))</f>
        <v/>
      </c>
      <c r="W607">
        <f>--($G607=IF('الداشبورد'!$B$11="الكل",$G607,'الداشبورد'!$B$11))</f>
        <v/>
      </c>
      <c r="X607">
        <f>Q607*R607*S607*T607*U607*V607*W607*--($C607&lt;&gt;"")</f>
        <v/>
      </c>
    </row>
    <row r="608">
      <c r="A608" s="15" t="n">
        <v>6</v>
      </c>
      <c r="B608" s="15" t="inlineStr">
        <is>
          <t>P184806</t>
        </is>
      </c>
      <c r="C608" s="15" t="inlineStr">
        <is>
          <t>1410/26/04</t>
        </is>
      </c>
      <c r="D608" s="15" t="inlineStr">
        <is>
          <t>Sadacavi</t>
        </is>
      </c>
      <c r="E608" s="15" t="inlineStr">
        <is>
          <t>MV</t>
        </is>
      </c>
      <c r="F608" s="15" t="inlineStr">
        <is>
          <t>12/20 KV 1X95</t>
        </is>
      </c>
      <c r="G608" s="15" t="inlineStr">
        <is>
          <t>EX06</t>
        </is>
      </c>
      <c r="H608" s="15" t="inlineStr">
        <is>
          <t>Wooden Drums</t>
        </is>
      </c>
      <c r="I608" s="15" t="inlineStr">
        <is>
          <t>OK</t>
        </is>
      </c>
      <c r="J608" s="15" t="inlineStr">
        <is>
          <t>A</t>
        </is>
      </c>
      <c r="K608" s="15" t="inlineStr">
        <is>
          <t>Y</t>
        </is>
      </c>
      <c r="L608" s="15" t="n">
        <v>2070</v>
      </c>
      <c r="M608" s="16" t="n">
        <v>0.50715</v>
      </c>
      <c r="N608" s="16" t="n">
        <v>0</v>
      </c>
      <c r="O608" s="16" t="n">
        <v>0</v>
      </c>
      <c r="P608" s="16" t="n">
        <v>0.50715</v>
      </c>
      <c r="Q608">
        <f>--($A608=IF('الداشبورد'!$B$5="الكل",$A608,'الداشبورد'!$B$5))</f>
        <v/>
      </c>
      <c r="R608">
        <f>--($E608=IF('الداشبورد'!$B$6="الكل",$E608,'الداشبورد'!$B$6))</f>
        <v/>
      </c>
      <c r="S608">
        <f>--($K608=IF('الداشبورد'!$B$7="الكل",$K608,IF('الداشبورد'!$B$7="تصدير","Y","N")))</f>
        <v/>
      </c>
      <c r="T608">
        <f>--($J608=IF('الداشبورد'!$B$8="الكل",$J608,IF('الداشبورد'!$B$8="AL","A","C")))</f>
        <v/>
      </c>
      <c r="U608">
        <f>--($I608=IF('الداشبورد'!$B$9="الكل",$I608,IF('الداشبورد'!$B$9="بدون حالة","P",'الداشبورد'!$B$9)))</f>
        <v/>
      </c>
      <c r="V608">
        <f>--($D608=IF('الداشبورد'!$B$10="الكل",$D608,'الداشبورد'!$B$10))</f>
        <v/>
      </c>
      <c r="W608">
        <f>--($G608=IF('الداشبورد'!$B$11="الكل",$G608,'الداشبورد'!$B$11))</f>
        <v/>
      </c>
      <c r="X608">
        <f>Q608*R608*S608*T608*U608*V608*W608*--($C608&lt;&gt;"")</f>
        <v/>
      </c>
    </row>
    <row r="609">
      <c r="A609" s="15" t="n">
        <v>5</v>
      </c>
      <c r="B609" s="15" t="inlineStr">
        <is>
          <t>K184615</t>
        </is>
      </c>
      <c r="C609" s="15" t="inlineStr">
        <is>
          <t>1260/26/01</t>
        </is>
      </c>
      <c r="D609" s="15" t="inlineStr">
        <is>
          <t>Cleveland Cables Company</t>
        </is>
      </c>
      <c r="E609" s="15" t="inlineStr">
        <is>
          <t>MV</t>
        </is>
      </c>
      <c r="F609" s="15" t="inlineStr">
        <is>
          <t>12/20 KV 1X120</t>
        </is>
      </c>
      <c r="G609" s="15" t="inlineStr">
        <is>
          <t>EX06</t>
        </is>
      </c>
      <c r="H609" s="15" t="inlineStr">
        <is>
          <t>Wooden Drums</t>
        </is>
      </c>
      <c r="I609" s="15" t="inlineStr">
        <is>
          <t>OK</t>
        </is>
      </c>
      <c r="J609" s="15" t="inlineStr">
        <is>
          <t>C</t>
        </is>
      </c>
      <c r="K609" s="15" t="inlineStr">
        <is>
          <t>Y</t>
        </is>
      </c>
      <c r="L609" s="15" t="n">
        <v>760</v>
      </c>
      <c r="M609" s="16" t="n">
        <v>0.7828000000000001</v>
      </c>
      <c r="N609" s="16" t="n">
        <v>0.11248</v>
      </c>
      <c r="O609" s="16" t="n">
        <v>0</v>
      </c>
      <c r="P609" s="16" t="n">
        <v>0.8952800000000001</v>
      </c>
      <c r="Q609">
        <f>--($A609=IF('الداشبورد'!$B$5="الكل",$A609,'الداشبورد'!$B$5))</f>
        <v/>
      </c>
      <c r="R609">
        <f>--($E609=IF('الداشبورد'!$B$6="الكل",$E609,'الداشبورد'!$B$6))</f>
        <v/>
      </c>
      <c r="S609">
        <f>--($K609=IF('الداشبورد'!$B$7="الكل",$K609,IF('الداشبورد'!$B$7="تصدير","Y","N")))</f>
        <v/>
      </c>
      <c r="T609">
        <f>--($J609=IF('الداشبورد'!$B$8="الكل",$J609,IF('الداشبورد'!$B$8="AL","A","C")))</f>
        <v/>
      </c>
      <c r="U609">
        <f>--($I609=IF('الداشبورد'!$B$9="الكل",$I609,IF('الداشبورد'!$B$9="بدون حالة","P",'الداشبورد'!$B$9)))</f>
        <v/>
      </c>
      <c r="V609">
        <f>--($D609=IF('الداشبورد'!$B$10="الكل",$D609,'الداشبورد'!$B$10))</f>
        <v/>
      </c>
      <c r="W609">
        <f>--($G609=IF('الداشبورد'!$B$11="الكل",$G609,'الداشبورد'!$B$11))</f>
        <v/>
      </c>
      <c r="X609">
        <f>Q609*R609*S609*T609*U609*V609*W609*--($C609&lt;&gt;"")</f>
        <v/>
      </c>
    </row>
    <row r="610">
      <c r="A610" s="15" t="n">
        <v>5</v>
      </c>
      <c r="B610" s="15" t="inlineStr">
        <is>
          <t>Y184703</t>
        </is>
      </c>
      <c r="C610" s="15" t="inlineStr">
        <is>
          <t>1439/26/01</t>
        </is>
      </c>
      <c r="D610" s="15" t="inlineStr">
        <is>
          <t>2M KABLO SAN VE TIC A.S</t>
        </is>
      </c>
      <c r="E610" s="15" t="inlineStr">
        <is>
          <t>MV</t>
        </is>
      </c>
      <c r="F610" s="15" t="inlineStr">
        <is>
          <t>12/20KV 1*95</t>
        </is>
      </c>
      <c r="G610" s="15" t="inlineStr">
        <is>
          <t>EX09</t>
        </is>
      </c>
      <c r="H610" s="15" t="inlineStr">
        <is>
          <t>Wooden Drums</t>
        </is>
      </c>
      <c r="I610" s="15" t="inlineStr">
        <is>
          <t>OK</t>
        </is>
      </c>
      <c r="J610" s="15" t="inlineStr">
        <is>
          <t>A</t>
        </is>
      </c>
      <c r="K610" s="15" t="inlineStr">
        <is>
          <t>Y</t>
        </is>
      </c>
      <c r="L610" s="15" t="n">
        <v>420</v>
      </c>
      <c r="M610" s="16" t="n">
        <v>0.10206</v>
      </c>
      <c r="N610" s="16" t="n">
        <v>0.06216</v>
      </c>
      <c r="O610" s="16" t="n">
        <v>0</v>
      </c>
      <c r="P610" s="16" t="n">
        <v>0.16422</v>
      </c>
      <c r="Q610">
        <f>--($A610=IF('الداشبورد'!$B$5="الكل",$A610,'الداشبورد'!$B$5))</f>
        <v/>
      </c>
      <c r="R610">
        <f>--($E610=IF('الداشبورد'!$B$6="الكل",$E610,'الداشبورد'!$B$6))</f>
        <v/>
      </c>
      <c r="S610">
        <f>--($K610=IF('الداشبورد'!$B$7="الكل",$K610,IF('الداشبورد'!$B$7="تصدير","Y","N")))</f>
        <v/>
      </c>
      <c r="T610">
        <f>--($J610=IF('الداشبورد'!$B$8="الكل",$J610,IF('الداشبورد'!$B$8="AL","A","C")))</f>
        <v/>
      </c>
      <c r="U610">
        <f>--($I610=IF('الداشبورد'!$B$9="الكل",$I610,IF('الداشبورد'!$B$9="بدون حالة","P",'الداشبورد'!$B$9)))</f>
        <v/>
      </c>
      <c r="V610">
        <f>--($D610=IF('الداشبورد'!$B$10="الكل",$D610,'الداشبورد'!$B$10))</f>
        <v/>
      </c>
      <c r="W610">
        <f>--($G610=IF('الداشبورد'!$B$11="الكل",$G610,'الداشبورد'!$B$11))</f>
        <v/>
      </c>
      <c r="X610">
        <f>Q610*R610*S610*T610*U610*V610*W610*--($C610&lt;&gt;"")</f>
        <v/>
      </c>
    </row>
    <row r="611">
      <c r="A611" s="15" t="n">
        <v>5</v>
      </c>
      <c r="B611" s="15" t="inlineStr">
        <is>
          <t>Y184702</t>
        </is>
      </c>
      <c r="C611" s="15" t="inlineStr">
        <is>
          <t>1439/26/01</t>
        </is>
      </c>
      <c r="D611" s="15" t="inlineStr">
        <is>
          <t>2M KABLO SAN VE TIC A.S</t>
        </is>
      </c>
      <c r="E611" s="15" t="inlineStr">
        <is>
          <t>MV</t>
        </is>
      </c>
      <c r="F611" s="15" t="inlineStr">
        <is>
          <t>12/20KV 1*95</t>
        </is>
      </c>
      <c r="G611" s="15" t="inlineStr">
        <is>
          <t>EX09</t>
        </is>
      </c>
      <c r="H611" s="15" t="inlineStr">
        <is>
          <t>Wooden Drums</t>
        </is>
      </c>
      <c r="I611" s="15" t="inlineStr">
        <is>
          <t>OK</t>
        </is>
      </c>
      <c r="J611" s="15" t="inlineStr">
        <is>
          <t>A</t>
        </is>
      </c>
      <c r="K611" s="15" t="inlineStr">
        <is>
          <t>Y</t>
        </is>
      </c>
      <c r="L611" s="15" t="n">
        <v>420</v>
      </c>
      <c r="M611" s="16" t="n">
        <v>0.10206</v>
      </c>
      <c r="N611" s="16" t="n">
        <v>0.06216</v>
      </c>
      <c r="O611" s="16" t="n">
        <v>0</v>
      </c>
      <c r="P611" s="16" t="n">
        <v>0.16422</v>
      </c>
      <c r="Q611">
        <f>--($A611=IF('الداشبورد'!$B$5="الكل",$A611,'الداشبورد'!$B$5))</f>
        <v/>
      </c>
      <c r="R611">
        <f>--($E611=IF('الداشبورد'!$B$6="الكل",$E611,'الداشبورد'!$B$6))</f>
        <v/>
      </c>
      <c r="S611">
        <f>--($K611=IF('الداشبورد'!$B$7="الكل",$K611,IF('الداشبورد'!$B$7="تصدير","Y","N")))</f>
        <v/>
      </c>
      <c r="T611">
        <f>--($J611=IF('الداشبورد'!$B$8="الكل",$J611,IF('الداشبورد'!$B$8="AL","A","C")))</f>
        <v/>
      </c>
      <c r="U611">
        <f>--($I611=IF('الداشبورد'!$B$9="الكل",$I611,IF('الداشبورد'!$B$9="بدون حالة","P",'الداشبورد'!$B$9)))</f>
        <v/>
      </c>
      <c r="V611">
        <f>--($D611=IF('الداشبورد'!$B$10="الكل",$D611,'الداشبورد'!$B$10))</f>
        <v/>
      </c>
      <c r="W611">
        <f>--($G611=IF('الداشبورد'!$B$11="الكل",$G611,'الداشبورد'!$B$11))</f>
        <v/>
      </c>
      <c r="X611">
        <f>Q611*R611*S611*T611*U611*V611*W611*--($C611&lt;&gt;"")</f>
        <v/>
      </c>
    </row>
    <row r="612">
      <c r="A612" s="15" t="n">
        <v>6</v>
      </c>
      <c r="B612" s="15" t="inlineStr">
        <is>
          <t>M184804</t>
        </is>
      </c>
      <c r="C612" s="15" t="inlineStr">
        <is>
          <t>1595/26/08</t>
        </is>
      </c>
      <c r="D612" s="15" t="inlineStr">
        <is>
          <t>Helukabel Germany</t>
        </is>
      </c>
      <c r="E612" s="15" t="inlineStr">
        <is>
          <t>LV</t>
        </is>
      </c>
      <c r="F612" s="15" t="inlineStr">
        <is>
          <t>0.6/1 KV 1X630</t>
        </is>
      </c>
      <c r="G612" s="15" t="inlineStr">
        <is>
          <t>EX09</t>
        </is>
      </c>
      <c r="H612" s="15" t="inlineStr">
        <is>
          <t>Wooden Drums</t>
        </is>
      </c>
      <c r="I612" s="15" t="inlineStr">
        <is>
          <t>OK</t>
        </is>
      </c>
      <c r="J612" s="15" t="inlineStr">
        <is>
          <t>A</t>
        </is>
      </c>
      <c r="K612" s="15" t="inlineStr">
        <is>
          <t>Y</t>
        </is>
      </c>
      <c r="L612" s="15" t="n">
        <v>1050</v>
      </c>
      <c r="M612" s="16" t="n">
        <v>1.785</v>
      </c>
      <c r="N612" s="16" t="n">
        <v>0</v>
      </c>
      <c r="O612" s="16" t="n">
        <v>0</v>
      </c>
      <c r="P612" s="16" t="n">
        <v>1.785</v>
      </c>
      <c r="Q612">
        <f>--($A612=IF('الداشبورد'!$B$5="الكل",$A612,'الداشبورد'!$B$5))</f>
        <v/>
      </c>
      <c r="R612">
        <f>--($E612=IF('الداشبورد'!$B$6="الكل",$E612,'الداشبورد'!$B$6))</f>
        <v/>
      </c>
      <c r="S612">
        <f>--($K612=IF('الداشبورد'!$B$7="الكل",$K612,IF('الداشبورد'!$B$7="تصدير","Y","N")))</f>
        <v/>
      </c>
      <c r="T612">
        <f>--($J612=IF('الداشبورد'!$B$8="الكل",$J612,IF('الداشبورد'!$B$8="AL","A","C")))</f>
        <v/>
      </c>
      <c r="U612">
        <f>--($I612=IF('الداشبورد'!$B$9="الكل",$I612,IF('الداشبورد'!$B$9="بدون حالة","P",'الداشبورد'!$B$9)))</f>
        <v/>
      </c>
      <c r="V612">
        <f>--($D612=IF('الداشبورد'!$B$10="الكل",$D612,'الداشبورد'!$B$10))</f>
        <v/>
      </c>
      <c r="W612">
        <f>--($G612=IF('الداشبورد'!$B$11="الكل",$G612,'الداشبورد'!$B$11))</f>
        <v/>
      </c>
      <c r="X612">
        <f>Q612*R612*S612*T612*U612*V612*W612*--($C612&lt;&gt;"")</f>
        <v/>
      </c>
    </row>
    <row r="613">
      <c r="A613" s="15" t="n">
        <v>6</v>
      </c>
      <c r="B613" s="15" t="inlineStr">
        <is>
          <t>F184813</t>
        </is>
      </c>
      <c r="C613" s="15" t="inlineStr">
        <is>
          <t>1522/26/02</t>
        </is>
      </c>
      <c r="D613" s="15" t="inlineStr">
        <is>
          <t>Electrical Supplies &amp; Services LTD.</t>
        </is>
      </c>
      <c r="E613" s="15" t="inlineStr">
        <is>
          <t>LV</t>
        </is>
      </c>
      <c r="F613" s="15" t="inlineStr">
        <is>
          <t>0.6/1 KV 4*16</t>
        </is>
      </c>
      <c r="G613" s="15" t="inlineStr">
        <is>
          <t>EX13</t>
        </is>
      </c>
      <c r="H613" s="15" t="inlineStr">
        <is>
          <t>Wooden Drums</t>
        </is>
      </c>
      <c r="I613" s="15" t="inlineStr">
        <is>
          <t>OK</t>
        </is>
      </c>
      <c r="J613" s="15" t="inlineStr">
        <is>
          <t>C</t>
        </is>
      </c>
      <c r="K613" s="15" t="inlineStr">
        <is>
          <t>Y</t>
        </is>
      </c>
      <c r="L613" s="15" t="n">
        <v>480</v>
      </c>
      <c r="M613" s="16" t="n">
        <v>0.2616</v>
      </c>
      <c r="N613" s="16" t="n">
        <v>0</v>
      </c>
      <c r="O613" s="16" t="n">
        <v>0</v>
      </c>
      <c r="P613" s="16" t="n">
        <v>0.2616</v>
      </c>
      <c r="Q613">
        <f>--($A613=IF('الداشبورد'!$B$5="الكل",$A613,'الداشبورد'!$B$5))</f>
        <v/>
      </c>
      <c r="R613">
        <f>--($E613=IF('الداشبورد'!$B$6="الكل",$E613,'الداشبورد'!$B$6))</f>
        <v/>
      </c>
      <c r="S613">
        <f>--($K613=IF('الداشبورد'!$B$7="الكل",$K613,IF('الداشبورد'!$B$7="تصدير","Y","N")))</f>
        <v/>
      </c>
      <c r="T613">
        <f>--($J613=IF('الداشبورد'!$B$8="الكل",$J613,IF('الداشبورد'!$B$8="AL","A","C")))</f>
        <v/>
      </c>
      <c r="U613">
        <f>--($I613=IF('الداشبورد'!$B$9="الكل",$I613,IF('الداشبورد'!$B$9="بدون حالة","P",'الداشبورد'!$B$9)))</f>
        <v/>
      </c>
      <c r="V613">
        <f>--($D613=IF('الداشبورد'!$B$10="الكل",$D613,'الداشبورد'!$B$10))</f>
        <v/>
      </c>
      <c r="W613">
        <f>--($G613=IF('الداشبورد'!$B$11="الكل",$G613,'الداشبورد'!$B$11))</f>
        <v/>
      </c>
      <c r="X613">
        <f>Q613*R613*S613*T613*U613*V613*W613*--($C613&lt;&gt;"")</f>
        <v/>
      </c>
    </row>
    <row r="614">
      <c r="A614" s="15" t="n">
        <v>6</v>
      </c>
      <c r="B614" s="15" t="inlineStr">
        <is>
          <t>F184812</t>
        </is>
      </c>
      <c r="C614" s="15" t="inlineStr">
        <is>
          <t>1522/26/02</t>
        </is>
      </c>
      <c r="D614" s="15" t="inlineStr">
        <is>
          <t>Electrical Supplies &amp; Services LTD.</t>
        </is>
      </c>
      <c r="E614" s="15" t="inlineStr">
        <is>
          <t>LV</t>
        </is>
      </c>
      <c r="F614" s="15" t="inlineStr">
        <is>
          <t>0.6/1 KV 4*16</t>
        </is>
      </c>
      <c r="G614" s="15" t="inlineStr">
        <is>
          <t>EX13</t>
        </is>
      </c>
      <c r="H614" s="15" t="inlineStr">
        <is>
          <t>Wooden Drums</t>
        </is>
      </c>
      <c r="I614" s="15" t="inlineStr">
        <is>
          <t>OK</t>
        </is>
      </c>
      <c r="J614" s="15" t="inlineStr">
        <is>
          <t>C</t>
        </is>
      </c>
      <c r="K614" s="15" t="inlineStr">
        <is>
          <t>Y</t>
        </is>
      </c>
      <c r="L614" s="15" t="n">
        <v>480</v>
      </c>
      <c r="M614" s="16" t="n">
        <v>0.2616</v>
      </c>
      <c r="N614" s="16" t="n">
        <v>0</v>
      </c>
      <c r="O614" s="16" t="n">
        <v>0</v>
      </c>
      <c r="P614" s="16" t="n">
        <v>0.2616</v>
      </c>
      <c r="Q614">
        <f>--($A614=IF('الداشبورد'!$B$5="الكل",$A614,'الداشبورد'!$B$5))</f>
        <v/>
      </c>
      <c r="R614">
        <f>--($E614=IF('الداشبورد'!$B$6="الكل",$E614,'الداشبورد'!$B$6))</f>
        <v/>
      </c>
      <c r="S614">
        <f>--($K614=IF('الداشبورد'!$B$7="الكل",$K614,IF('الداشبورد'!$B$7="تصدير","Y","N")))</f>
        <v/>
      </c>
      <c r="T614">
        <f>--($J614=IF('الداشبورد'!$B$8="الكل",$J614,IF('الداشبورد'!$B$8="AL","A","C")))</f>
        <v/>
      </c>
      <c r="U614">
        <f>--($I614=IF('الداشبورد'!$B$9="الكل",$I614,IF('الداشبورد'!$B$9="بدون حالة","P",'الداشبورد'!$B$9)))</f>
        <v/>
      </c>
      <c r="V614">
        <f>--($D614=IF('الداشبورد'!$B$10="الكل",$D614,'الداشبورد'!$B$10))</f>
        <v/>
      </c>
      <c r="W614">
        <f>--($G614=IF('الداشبورد'!$B$11="الكل",$G614,'الداشبورد'!$B$11))</f>
        <v/>
      </c>
      <c r="X614">
        <f>Q614*R614*S614*T614*U614*V614*W614*--($C614&lt;&gt;"")</f>
        <v/>
      </c>
    </row>
    <row r="615">
      <c r="A615" s="15" t="n">
        <v>6</v>
      </c>
      <c r="B615" s="15" t="inlineStr">
        <is>
          <t>F184833</t>
        </is>
      </c>
      <c r="C615" s="15" t="inlineStr">
        <is>
          <t>1522/26/02</t>
        </is>
      </c>
      <c r="D615" s="15" t="inlineStr">
        <is>
          <t>Electrical Supplies &amp; Services LTD.</t>
        </is>
      </c>
      <c r="E615" s="15" t="inlineStr">
        <is>
          <t>LV</t>
        </is>
      </c>
      <c r="F615" s="15" t="inlineStr">
        <is>
          <t>0.6/1 KV 4*16</t>
        </is>
      </c>
      <c r="G615" s="15" t="inlineStr">
        <is>
          <t>EX13</t>
        </is>
      </c>
      <c r="H615" s="15" t="inlineStr">
        <is>
          <t>Wooden Drums</t>
        </is>
      </c>
      <c r="I615" s="15" t="inlineStr">
        <is>
          <t>OK</t>
        </is>
      </c>
      <c r="J615" s="15" t="inlineStr">
        <is>
          <t>C</t>
        </is>
      </c>
      <c r="K615" s="15" t="inlineStr">
        <is>
          <t>Y</t>
        </is>
      </c>
      <c r="L615" s="15" t="n">
        <v>480</v>
      </c>
      <c r="M615" s="16" t="n">
        <v>0.2616</v>
      </c>
      <c r="N615" s="16" t="n">
        <v>0</v>
      </c>
      <c r="O615" s="16" t="n">
        <v>0</v>
      </c>
      <c r="P615" s="16" t="n">
        <v>0.2616</v>
      </c>
      <c r="Q615">
        <f>--($A615=IF('الداشبورد'!$B$5="الكل",$A615,'الداشبورد'!$B$5))</f>
        <v/>
      </c>
      <c r="R615">
        <f>--($E615=IF('الداشبورد'!$B$6="الكل",$E615,'الداشبورد'!$B$6))</f>
        <v/>
      </c>
      <c r="S615">
        <f>--($K615=IF('الداشبورد'!$B$7="الكل",$K615,IF('الداشبورد'!$B$7="تصدير","Y","N")))</f>
        <v/>
      </c>
      <c r="T615">
        <f>--($J615=IF('الداشبورد'!$B$8="الكل",$J615,IF('الداشبورد'!$B$8="AL","A","C")))</f>
        <v/>
      </c>
      <c r="U615">
        <f>--($I615=IF('الداشبورد'!$B$9="الكل",$I615,IF('الداشبورد'!$B$9="بدون حالة","P",'الداشبورد'!$B$9)))</f>
        <v/>
      </c>
      <c r="V615">
        <f>--($D615=IF('الداشبورد'!$B$10="الكل",$D615,'الداشبورد'!$B$10))</f>
        <v/>
      </c>
      <c r="W615">
        <f>--($G615=IF('الداشبورد'!$B$11="الكل",$G615,'الداشبورد'!$B$11))</f>
        <v/>
      </c>
      <c r="X615">
        <f>Q615*R615*S615*T615*U615*V615*W615*--($C615&lt;&gt;"")</f>
        <v/>
      </c>
    </row>
    <row r="616">
      <c r="A616" s="15" t="n">
        <v>6</v>
      </c>
      <c r="B616" s="15" t="inlineStr">
        <is>
          <t>F184846</t>
        </is>
      </c>
      <c r="C616" s="15" t="inlineStr">
        <is>
          <t>1522/26/02</t>
        </is>
      </c>
      <c r="D616" s="15" t="inlineStr">
        <is>
          <t>Electrical Supplies &amp; Services LTD.</t>
        </is>
      </c>
      <c r="E616" s="15" t="inlineStr">
        <is>
          <t>LV</t>
        </is>
      </c>
      <c r="F616" s="15" t="inlineStr">
        <is>
          <t>0.6/1 KV 4*16</t>
        </is>
      </c>
      <c r="G616" s="15" t="inlineStr">
        <is>
          <t>EX13</t>
        </is>
      </c>
      <c r="H616" s="15" t="inlineStr">
        <is>
          <t>Wooden Drums</t>
        </is>
      </c>
      <c r="I616" s="15" t="inlineStr">
        <is>
          <t>OK</t>
        </is>
      </c>
      <c r="J616" s="15" t="inlineStr">
        <is>
          <t>C</t>
        </is>
      </c>
      <c r="K616" s="15" t="inlineStr">
        <is>
          <t>Y</t>
        </is>
      </c>
      <c r="L616" s="15" t="n">
        <v>480</v>
      </c>
      <c r="M616" s="16" t="n">
        <v>0.2616</v>
      </c>
      <c r="N616" s="16" t="n">
        <v>0</v>
      </c>
      <c r="O616" s="16" t="n">
        <v>0</v>
      </c>
      <c r="P616" s="16" t="n">
        <v>0.2616</v>
      </c>
      <c r="Q616">
        <f>--($A616=IF('الداشبورد'!$B$5="الكل",$A616,'الداشبورد'!$B$5))</f>
        <v/>
      </c>
      <c r="R616">
        <f>--($E616=IF('الداشبورد'!$B$6="الكل",$E616,'الداشبورد'!$B$6))</f>
        <v/>
      </c>
      <c r="S616">
        <f>--($K616=IF('الداشبورد'!$B$7="الكل",$K616,IF('الداشبورد'!$B$7="تصدير","Y","N")))</f>
        <v/>
      </c>
      <c r="T616">
        <f>--($J616=IF('الداشبورد'!$B$8="الكل",$J616,IF('الداشبورد'!$B$8="AL","A","C")))</f>
        <v/>
      </c>
      <c r="U616">
        <f>--($I616=IF('الداشبورد'!$B$9="الكل",$I616,IF('الداشبورد'!$B$9="بدون حالة","P",'الداشبورد'!$B$9)))</f>
        <v/>
      </c>
      <c r="V616">
        <f>--($D616=IF('الداشبورد'!$B$10="الكل",$D616,'الداشبورد'!$B$10))</f>
        <v/>
      </c>
      <c r="W616">
        <f>--($G616=IF('الداشبورد'!$B$11="الكل",$G616,'الداشبورد'!$B$11))</f>
        <v/>
      </c>
      <c r="X616">
        <f>Q616*R616*S616*T616*U616*V616*W616*--($C616&lt;&gt;"")</f>
        <v/>
      </c>
    </row>
    <row r="617">
      <c r="A617" s="15" t="n">
        <v>6</v>
      </c>
      <c r="B617" s="15" t="inlineStr">
        <is>
          <t>F184832</t>
        </is>
      </c>
      <c r="C617" s="15" t="inlineStr">
        <is>
          <t>1522/26/02</t>
        </is>
      </c>
      <c r="D617" s="15" t="inlineStr">
        <is>
          <t>Electrical Supplies &amp; Services LTD.</t>
        </is>
      </c>
      <c r="E617" s="15" t="inlineStr">
        <is>
          <t>LV</t>
        </is>
      </c>
      <c r="F617" s="15" t="inlineStr">
        <is>
          <t>0.6/1 KV 4*16</t>
        </is>
      </c>
      <c r="G617" s="15" t="inlineStr">
        <is>
          <t>EX13</t>
        </is>
      </c>
      <c r="H617" s="15" t="inlineStr">
        <is>
          <t>Wooden Drums</t>
        </is>
      </c>
      <c r="I617" s="15" t="inlineStr">
        <is>
          <t>OK</t>
        </is>
      </c>
      <c r="J617" s="15" t="inlineStr">
        <is>
          <t>C</t>
        </is>
      </c>
      <c r="K617" s="15" t="inlineStr">
        <is>
          <t>Y</t>
        </is>
      </c>
      <c r="L617" s="15" t="n">
        <v>480</v>
      </c>
      <c r="M617" s="16" t="n">
        <v>0.2616</v>
      </c>
      <c r="N617" s="16" t="n">
        <v>0</v>
      </c>
      <c r="O617" s="16" t="n">
        <v>0</v>
      </c>
      <c r="P617" s="16" t="n">
        <v>0.2616</v>
      </c>
      <c r="Q617">
        <f>--($A617=IF('الداشبورد'!$B$5="الكل",$A617,'الداشبورد'!$B$5))</f>
        <v/>
      </c>
      <c r="R617">
        <f>--($E617=IF('الداشبورد'!$B$6="الكل",$E617,'الداشبورد'!$B$6))</f>
        <v/>
      </c>
      <c r="S617">
        <f>--($K617=IF('الداشبورد'!$B$7="الكل",$K617,IF('الداشبورد'!$B$7="تصدير","Y","N")))</f>
        <v/>
      </c>
      <c r="T617">
        <f>--($J617=IF('الداشبورد'!$B$8="الكل",$J617,IF('الداشبورد'!$B$8="AL","A","C")))</f>
        <v/>
      </c>
      <c r="U617">
        <f>--($I617=IF('الداشبورد'!$B$9="الكل",$I617,IF('الداشبورد'!$B$9="بدون حالة","P",'الداشبورد'!$B$9)))</f>
        <v/>
      </c>
      <c r="V617">
        <f>--($D617=IF('الداشبورد'!$B$10="الكل",$D617,'الداشبورد'!$B$10))</f>
        <v/>
      </c>
      <c r="W617">
        <f>--($G617=IF('الداشبورد'!$B$11="الكل",$G617,'الداشبورد'!$B$11))</f>
        <v/>
      </c>
      <c r="X617">
        <f>Q617*R617*S617*T617*U617*V617*W617*--($C617&lt;&gt;"")</f>
        <v/>
      </c>
    </row>
    <row r="618">
      <c r="A618" s="15" t="n">
        <v>6</v>
      </c>
      <c r="B618" s="15" t="inlineStr">
        <is>
          <t>F184870</t>
        </is>
      </c>
      <c r="C618" s="15" t="inlineStr">
        <is>
          <t>1522/26/02</t>
        </is>
      </c>
      <c r="D618" s="15" t="inlineStr">
        <is>
          <t>Electrical Supplies &amp; Services LTD.</t>
        </is>
      </c>
      <c r="E618" s="15" t="inlineStr">
        <is>
          <t>LV</t>
        </is>
      </c>
      <c r="F618" s="15" t="inlineStr">
        <is>
          <t>0.6/1 KV 4*16</t>
        </is>
      </c>
      <c r="G618" s="15" t="inlineStr">
        <is>
          <t>EX13</t>
        </is>
      </c>
      <c r="H618" s="15" t="inlineStr">
        <is>
          <t>Wooden Drums</t>
        </is>
      </c>
      <c r="I618" s="15" t="inlineStr">
        <is>
          <t>OK</t>
        </is>
      </c>
      <c r="J618" s="15" t="inlineStr">
        <is>
          <t>C</t>
        </is>
      </c>
      <c r="K618" s="15" t="inlineStr">
        <is>
          <t>Y</t>
        </is>
      </c>
      <c r="L618" s="15" t="n">
        <v>481</v>
      </c>
      <c r="M618" s="16" t="n">
        <v>0.262145</v>
      </c>
      <c r="N618" s="16" t="n">
        <v>0</v>
      </c>
      <c r="O618" s="16" t="n">
        <v>0</v>
      </c>
      <c r="P618" s="16" t="n">
        <v>0.262145</v>
      </c>
      <c r="Q618">
        <f>--($A618=IF('الداشبورد'!$B$5="الكل",$A618,'الداشبورد'!$B$5))</f>
        <v/>
      </c>
      <c r="R618">
        <f>--($E618=IF('الداشبورد'!$B$6="الكل",$E618,'الداشبورد'!$B$6))</f>
        <v/>
      </c>
      <c r="S618">
        <f>--($K618=IF('الداشبورد'!$B$7="الكل",$K618,IF('الداشبورد'!$B$7="تصدير","Y","N")))</f>
        <v/>
      </c>
      <c r="T618">
        <f>--($J618=IF('الداشبورد'!$B$8="الكل",$J618,IF('الداشبورد'!$B$8="AL","A","C")))</f>
        <v/>
      </c>
      <c r="U618">
        <f>--($I618=IF('الداشبورد'!$B$9="الكل",$I618,IF('الداشبورد'!$B$9="بدون حالة","P",'الداشبورد'!$B$9)))</f>
        <v/>
      </c>
      <c r="V618">
        <f>--($D618=IF('الداشبورد'!$B$10="الكل",$D618,'الداشبورد'!$B$10))</f>
        <v/>
      </c>
      <c r="W618">
        <f>--($G618=IF('الداشبورد'!$B$11="الكل",$G618,'الداشبورد'!$B$11))</f>
        <v/>
      </c>
      <c r="X618">
        <f>Q618*R618*S618*T618*U618*V618*W618*--($C618&lt;&gt;"")</f>
        <v/>
      </c>
    </row>
    <row r="619">
      <c r="A619" s="15" t="n">
        <v>6</v>
      </c>
      <c r="B619" s="15" t="inlineStr">
        <is>
          <t>F184871</t>
        </is>
      </c>
      <c r="C619" s="15" t="inlineStr">
        <is>
          <t>1522/26/02</t>
        </is>
      </c>
      <c r="D619" s="15" t="inlineStr">
        <is>
          <t>Electrical Supplies &amp; Services LTD.</t>
        </is>
      </c>
      <c r="E619" s="15" t="inlineStr">
        <is>
          <t>LV</t>
        </is>
      </c>
      <c r="F619" s="15" t="inlineStr">
        <is>
          <t>0.6/1 KV 4*16</t>
        </is>
      </c>
      <c r="G619" s="15" t="inlineStr">
        <is>
          <t>EX13</t>
        </is>
      </c>
      <c r="H619" s="15" t="inlineStr">
        <is>
          <t>Wooden Drums</t>
        </is>
      </c>
      <c r="I619" s="15" t="inlineStr">
        <is>
          <t>OK</t>
        </is>
      </c>
      <c r="J619" s="15" t="inlineStr">
        <is>
          <t>C</t>
        </is>
      </c>
      <c r="K619" s="15" t="inlineStr">
        <is>
          <t>Y</t>
        </is>
      </c>
      <c r="L619" s="15" t="n">
        <v>480</v>
      </c>
      <c r="M619" s="16" t="n">
        <v>0.2616</v>
      </c>
      <c r="N619" s="16" t="n">
        <v>0</v>
      </c>
      <c r="O619" s="16" t="n">
        <v>0</v>
      </c>
      <c r="P619" s="16" t="n">
        <v>0.2616</v>
      </c>
      <c r="Q619">
        <f>--($A619=IF('الداشبورد'!$B$5="الكل",$A619,'الداشبورد'!$B$5))</f>
        <v/>
      </c>
      <c r="R619">
        <f>--($E619=IF('الداشبورد'!$B$6="الكل",$E619,'الداشبورد'!$B$6))</f>
        <v/>
      </c>
      <c r="S619">
        <f>--($K619=IF('الداشبورد'!$B$7="الكل",$K619,IF('الداشبورد'!$B$7="تصدير","Y","N")))</f>
        <v/>
      </c>
      <c r="T619">
        <f>--($J619=IF('الداشبورد'!$B$8="الكل",$J619,IF('الداشبورد'!$B$8="AL","A","C")))</f>
        <v/>
      </c>
      <c r="U619">
        <f>--($I619=IF('الداشبورد'!$B$9="الكل",$I619,IF('الداشبورد'!$B$9="بدون حالة","P",'الداشبورد'!$B$9)))</f>
        <v/>
      </c>
      <c r="V619">
        <f>--($D619=IF('الداشبورد'!$B$10="الكل",$D619,'الداشبورد'!$B$10))</f>
        <v/>
      </c>
      <c r="W619">
        <f>--($G619=IF('الداشبورد'!$B$11="الكل",$G619,'الداشبورد'!$B$11))</f>
        <v/>
      </c>
      <c r="X619">
        <f>Q619*R619*S619*T619*U619*V619*W619*--($C619&lt;&gt;"")</f>
        <v/>
      </c>
    </row>
    <row r="620">
      <c r="A620" s="15" t="n">
        <v>6</v>
      </c>
      <c r="B620" s="15" t="inlineStr">
        <is>
          <t>F184834</t>
        </is>
      </c>
      <c r="C620" s="15" t="inlineStr">
        <is>
          <t>1522/26/02</t>
        </is>
      </c>
      <c r="D620" s="15" t="inlineStr">
        <is>
          <t>Electrical Supplies &amp; Services LTD.</t>
        </is>
      </c>
      <c r="E620" s="15" t="inlineStr">
        <is>
          <t>LV</t>
        </is>
      </c>
      <c r="F620" s="15" t="inlineStr">
        <is>
          <t>0.6/1 KV 4*16</t>
        </is>
      </c>
      <c r="G620" s="15" t="inlineStr">
        <is>
          <t>EX13</t>
        </is>
      </c>
      <c r="H620" s="15" t="inlineStr">
        <is>
          <t>Wooden Drums</t>
        </is>
      </c>
      <c r="I620" s="15" t="inlineStr">
        <is>
          <t>OK</t>
        </is>
      </c>
      <c r="J620" s="15" t="inlineStr">
        <is>
          <t>C</t>
        </is>
      </c>
      <c r="K620" s="15" t="inlineStr">
        <is>
          <t>Y</t>
        </is>
      </c>
      <c r="L620" s="15" t="n">
        <v>481</v>
      </c>
      <c r="M620" s="16" t="n">
        <v>0.262145</v>
      </c>
      <c r="N620" s="16" t="n">
        <v>0</v>
      </c>
      <c r="O620" s="16" t="n">
        <v>0</v>
      </c>
      <c r="P620" s="16" t="n">
        <v>0.262145</v>
      </c>
      <c r="Q620">
        <f>--($A620=IF('الداشبورد'!$B$5="الكل",$A620,'الداشبورد'!$B$5))</f>
        <v/>
      </c>
      <c r="R620">
        <f>--($E620=IF('الداشبورد'!$B$6="الكل",$E620,'الداشبورد'!$B$6))</f>
        <v/>
      </c>
      <c r="S620">
        <f>--($K620=IF('الداشبورد'!$B$7="الكل",$K620,IF('الداشبورد'!$B$7="تصدير","Y","N")))</f>
        <v/>
      </c>
      <c r="T620">
        <f>--($J620=IF('الداشبورد'!$B$8="الكل",$J620,IF('الداشبورد'!$B$8="AL","A","C")))</f>
        <v/>
      </c>
      <c r="U620">
        <f>--($I620=IF('الداشبورد'!$B$9="الكل",$I620,IF('الداشبورد'!$B$9="بدون حالة","P",'الداشبورد'!$B$9)))</f>
        <v/>
      </c>
      <c r="V620">
        <f>--($D620=IF('الداشبورد'!$B$10="الكل",$D620,'الداشبورد'!$B$10))</f>
        <v/>
      </c>
      <c r="W620">
        <f>--($G620=IF('الداشبورد'!$B$11="الكل",$G620,'الداشبورد'!$B$11))</f>
        <v/>
      </c>
      <c r="X620">
        <f>Q620*R620*S620*T620*U620*V620*W620*--($C620&lt;&gt;"")</f>
        <v/>
      </c>
    </row>
    <row r="621">
      <c r="A621" s="15" t="n">
        <v>6</v>
      </c>
      <c r="B621" s="15" t="inlineStr">
        <is>
          <t>F184872</t>
        </is>
      </c>
      <c r="C621" s="15" t="inlineStr">
        <is>
          <t>1522/26/02</t>
        </is>
      </c>
      <c r="D621" s="15" t="inlineStr">
        <is>
          <t>Electrical Supplies &amp; Services LTD.</t>
        </is>
      </c>
      <c r="E621" s="15" t="inlineStr">
        <is>
          <t>LV</t>
        </is>
      </c>
      <c r="F621" s="15" t="inlineStr">
        <is>
          <t>0.6/1 KV 4*16</t>
        </is>
      </c>
      <c r="G621" s="15" t="inlineStr">
        <is>
          <t>EX13</t>
        </is>
      </c>
      <c r="H621" s="15" t="inlineStr">
        <is>
          <t>Wooden Drums</t>
        </is>
      </c>
      <c r="I621" s="15" t="inlineStr">
        <is>
          <t>OK</t>
        </is>
      </c>
      <c r="J621" s="15" t="inlineStr">
        <is>
          <t>C</t>
        </is>
      </c>
      <c r="K621" s="15" t="inlineStr">
        <is>
          <t>Y</t>
        </is>
      </c>
      <c r="L621" s="15" t="n">
        <v>481</v>
      </c>
      <c r="M621" s="16" t="n">
        <v>0.262145</v>
      </c>
      <c r="N621" s="16" t="n">
        <v>0</v>
      </c>
      <c r="O621" s="16" t="n">
        <v>0</v>
      </c>
      <c r="P621" s="16" t="n">
        <v>0.262145</v>
      </c>
      <c r="Q621">
        <f>--($A621=IF('الداشبورد'!$B$5="الكل",$A621,'الداشبورد'!$B$5))</f>
        <v/>
      </c>
      <c r="R621">
        <f>--($E621=IF('الداشبورد'!$B$6="الكل",$E621,'الداشبورد'!$B$6))</f>
        <v/>
      </c>
      <c r="S621">
        <f>--($K621=IF('الداشبورد'!$B$7="الكل",$K621,IF('الداشبورد'!$B$7="تصدير","Y","N")))</f>
        <v/>
      </c>
      <c r="T621">
        <f>--($J621=IF('الداشبورد'!$B$8="الكل",$J621,IF('الداشبورد'!$B$8="AL","A","C")))</f>
        <v/>
      </c>
      <c r="U621">
        <f>--($I621=IF('الداشبورد'!$B$9="الكل",$I621,IF('الداشبورد'!$B$9="بدون حالة","P",'الداشبورد'!$B$9)))</f>
        <v/>
      </c>
      <c r="V621">
        <f>--($D621=IF('الداشبورد'!$B$10="الكل",$D621,'الداشبورد'!$B$10))</f>
        <v/>
      </c>
      <c r="W621">
        <f>--($G621=IF('الداشبورد'!$B$11="الكل",$G621,'الداشبورد'!$B$11))</f>
        <v/>
      </c>
      <c r="X621">
        <f>Q621*R621*S621*T621*U621*V621*W621*--($C621&lt;&gt;"")</f>
        <v/>
      </c>
    </row>
    <row r="622">
      <c r="A622" s="15" t="n">
        <v>6</v>
      </c>
      <c r="B622" s="15" t="inlineStr">
        <is>
          <t>F184873</t>
        </is>
      </c>
      <c r="C622" s="15" t="inlineStr">
        <is>
          <t>1522/26/02</t>
        </is>
      </c>
      <c r="D622" s="15" t="inlineStr">
        <is>
          <t>Electrical Supplies &amp; Services LTD.</t>
        </is>
      </c>
      <c r="E622" s="15" t="inlineStr">
        <is>
          <t>LV</t>
        </is>
      </c>
      <c r="F622" s="15" t="inlineStr">
        <is>
          <t>0.6/1 KV 4*16</t>
        </is>
      </c>
      <c r="G622" s="15" t="inlineStr">
        <is>
          <t>EX13</t>
        </is>
      </c>
      <c r="H622" s="15" t="inlineStr">
        <is>
          <t>Wooden Drums</t>
        </is>
      </c>
      <c r="I622" s="15" t="inlineStr">
        <is>
          <t>OK</t>
        </is>
      </c>
      <c r="J622" s="15" t="inlineStr">
        <is>
          <t>C</t>
        </is>
      </c>
      <c r="K622" s="15" t="inlineStr">
        <is>
          <t>Y</t>
        </is>
      </c>
      <c r="L622" s="15" t="n">
        <v>481</v>
      </c>
      <c r="M622" s="16" t="n">
        <v>0.262145</v>
      </c>
      <c r="N622" s="16" t="n">
        <v>0</v>
      </c>
      <c r="O622" s="16" t="n">
        <v>0</v>
      </c>
      <c r="P622" s="16" t="n">
        <v>0.262145</v>
      </c>
      <c r="Q622">
        <f>--($A622=IF('الداشبورد'!$B$5="الكل",$A622,'الداشبورد'!$B$5))</f>
        <v/>
      </c>
      <c r="R622">
        <f>--($E622=IF('الداشبورد'!$B$6="الكل",$E622,'الداشبورد'!$B$6))</f>
        <v/>
      </c>
      <c r="S622">
        <f>--($K622=IF('الداشبورد'!$B$7="الكل",$K622,IF('الداشبورد'!$B$7="تصدير","Y","N")))</f>
        <v/>
      </c>
      <c r="T622">
        <f>--($J622=IF('الداشبورد'!$B$8="الكل",$J622,IF('الداشبورد'!$B$8="AL","A","C")))</f>
        <v/>
      </c>
      <c r="U622">
        <f>--($I622=IF('الداشبورد'!$B$9="الكل",$I622,IF('الداشبورد'!$B$9="بدون حالة","P",'الداشبورد'!$B$9)))</f>
        <v/>
      </c>
      <c r="V622">
        <f>--($D622=IF('الداشبورد'!$B$10="الكل",$D622,'الداشبورد'!$B$10))</f>
        <v/>
      </c>
      <c r="W622">
        <f>--($G622=IF('الداشبورد'!$B$11="الكل",$G622,'الداشبورد'!$B$11))</f>
        <v/>
      </c>
      <c r="X622">
        <f>Q622*R622*S622*T622*U622*V622*W622*--($C622&lt;&gt;"")</f>
        <v/>
      </c>
    </row>
    <row r="623">
      <c r="A623" s="15" t="n">
        <v>6</v>
      </c>
      <c r="B623" s="15" t="inlineStr">
        <is>
          <t>F184847</t>
        </is>
      </c>
      <c r="C623" s="15" t="inlineStr">
        <is>
          <t>1522/26/02</t>
        </is>
      </c>
      <c r="D623" s="15" t="inlineStr">
        <is>
          <t>Electrical Supplies &amp; Services LTD.</t>
        </is>
      </c>
      <c r="E623" s="15" t="inlineStr">
        <is>
          <t>LV</t>
        </is>
      </c>
      <c r="F623" s="15" t="inlineStr">
        <is>
          <t>0.6/1 KV 4*16</t>
        </is>
      </c>
      <c r="G623" s="15" t="inlineStr">
        <is>
          <t>EX13</t>
        </is>
      </c>
      <c r="H623" s="15" t="inlineStr">
        <is>
          <t>Wooden Drums</t>
        </is>
      </c>
      <c r="I623" s="15" t="inlineStr">
        <is>
          <t>OK</t>
        </is>
      </c>
      <c r="J623" s="15" t="inlineStr">
        <is>
          <t>C</t>
        </is>
      </c>
      <c r="K623" s="15" t="inlineStr">
        <is>
          <t>Y</t>
        </is>
      </c>
      <c r="L623" s="15" t="n">
        <v>481</v>
      </c>
      <c r="M623" s="16" t="n">
        <v>0.262145</v>
      </c>
      <c r="N623" s="16" t="n">
        <v>0</v>
      </c>
      <c r="O623" s="16" t="n">
        <v>0</v>
      </c>
      <c r="P623" s="16" t="n">
        <v>0.262145</v>
      </c>
      <c r="Q623">
        <f>--($A623=IF('الداشبورد'!$B$5="الكل",$A623,'الداشبورد'!$B$5))</f>
        <v/>
      </c>
      <c r="R623">
        <f>--($E623=IF('الداشبورد'!$B$6="الكل",$E623,'الداشبورد'!$B$6))</f>
        <v/>
      </c>
      <c r="S623">
        <f>--($K623=IF('الداشبورد'!$B$7="الكل",$K623,IF('الداشبورد'!$B$7="تصدير","Y","N")))</f>
        <v/>
      </c>
      <c r="T623">
        <f>--($J623=IF('الداشبورد'!$B$8="الكل",$J623,IF('الداشبورد'!$B$8="AL","A","C")))</f>
        <v/>
      </c>
      <c r="U623">
        <f>--($I623=IF('الداشبورد'!$B$9="الكل",$I623,IF('الداشبورد'!$B$9="بدون حالة","P",'الداشبورد'!$B$9)))</f>
        <v/>
      </c>
      <c r="V623">
        <f>--($D623=IF('الداشبورد'!$B$10="الكل",$D623,'الداشبورد'!$B$10))</f>
        <v/>
      </c>
      <c r="W623">
        <f>--($G623=IF('الداشبورد'!$B$11="الكل",$G623,'الداشبورد'!$B$11))</f>
        <v/>
      </c>
      <c r="X623">
        <f>Q623*R623*S623*T623*U623*V623*W623*--($C623&lt;&gt;"")</f>
        <v/>
      </c>
    </row>
    <row r="624">
      <c r="A624" s="15" t="n">
        <v>6</v>
      </c>
      <c r="B624" s="15" t="inlineStr">
        <is>
          <t>F183556</t>
        </is>
      </c>
      <c r="C624" s="15" t="inlineStr">
        <is>
          <t>1522/26/02</t>
        </is>
      </c>
      <c r="D624" s="15" t="inlineStr">
        <is>
          <t>Electrical Supplies &amp; Services LTD.</t>
        </is>
      </c>
      <c r="E624" s="15" t="inlineStr">
        <is>
          <t>LV</t>
        </is>
      </c>
      <c r="F624" s="15" t="inlineStr">
        <is>
          <t>0.6/1 KV 4*16</t>
        </is>
      </c>
      <c r="G624" s="15" t="inlineStr">
        <is>
          <t>EX13</t>
        </is>
      </c>
      <c r="H624" s="15" t="inlineStr">
        <is>
          <t>Wooden Drums</t>
        </is>
      </c>
      <c r="I624" s="15" t="inlineStr">
        <is>
          <t>OK</t>
        </is>
      </c>
      <c r="J624" s="15" t="inlineStr">
        <is>
          <t>C</t>
        </is>
      </c>
      <c r="K624" s="15" t="inlineStr">
        <is>
          <t>Y</t>
        </is>
      </c>
      <c r="L624" s="15" t="n">
        <v>525</v>
      </c>
      <c r="M624" s="16" t="n">
        <v>0.286125</v>
      </c>
      <c r="N624" s="16" t="n">
        <v>0</v>
      </c>
      <c r="O624" s="16" t="n">
        <v>0</v>
      </c>
      <c r="P624" s="16" t="n">
        <v>0.286125</v>
      </c>
      <c r="Q624">
        <f>--($A624=IF('الداشبورد'!$B$5="الكل",$A624,'الداشبورد'!$B$5))</f>
        <v/>
      </c>
      <c r="R624">
        <f>--($E624=IF('الداشبورد'!$B$6="الكل",$E624,'الداشبورد'!$B$6))</f>
        <v/>
      </c>
      <c r="S624">
        <f>--($K624=IF('الداشبورد'!$B$7="الكل",$K624,IF('الداشبورد'!$B$7="تصدير","Y","N")))</f>
        <v/>
      </c>
      <c r="T624">
        <f>--($J624=IF('الداشبورد'!$B$8="الكل",$J624,IF('الداشبورد'!$B$8="AL","A","C")))</f>
        <v/>
      </c>
      <c r="U624">
        <f>--($I624=IF('الداشبورد'!$B$9="الكل",$I624,IF('الداشبورد'!$B$9="بدون حالة","P",'الداشبورد'!$B$9)))</f>
        <v/>
      </c>
      <c r="V624">
        <f>--($D624=IF('الداشبورد'!$B$10="الكل",$D624,'الداشبورد'!$B$10))</f>
        <v/>
      </c>
      <c r="W624">
        <f>--($G624=IF('الداشبورد'!$B$11="الكل",$G624,'الداشبورد'!$B$11))</f>
        <v/>
      </c>
      <c r="X624">
        <f>Q624*R624*S624*T624*U624*V624*W624*--($C624&lt;&gt;"")</f>
        <v/>
      </c>
    </row>
    <row r="625">
      <c r="A625" s="15" t="n">
        <v>6</v>
      </c>
      <c r="B625" s="15" t="inlineStr">
        <is>
          <t>F184845</t>
        </is>
      </c>
      <c r="C625" s="15" t="inlineStr">
        <is>
          <t>1522/26/02</t>
        </is>
      </c>
      <c r="D625" s="15" t="inlineStr">
        <is>
          <t>Electrical Supplies &amp; Services LTD.</t>
        </is>
      </c>
      <c r="E625" s="15" t="inlineStr">
        <is>
          <t>LV</t>
        </is>
      </c>
      <c r="F625" s="15" t="inlineStr">
        <is>
          <t>0.6/1 KV 4*16</t>
        </is>
      </c>
      <c r="G625" s="15" t="inlineStr">
        <is>
          <t>EX13</t>
        </is>
      </c>
      <c r="H625" s="15" t="inlineStr">
        <is>
          <t>Wooden Drums</t>
        </is>
      </c>
      <c r="I625" s="15" t="inlineStr">
        <is>
          <t>OK</t>
        </is>
      </c>
      <c r="J625" s="15" t="inlineStr">
        <is>
          <t>C</t>
        </is>
      </c>
      <c r="K625" s="15" t="inlineStr">
        <is>
          <t>Y</t>
        </is>
      </c>
      <c r="L625" s="15" t="n">
        <v>431</v>
      </c>
      <c r="M625" s="16" t="n">
        <v>0.234895</v>
      </c>
      <c r="N625" s="16" t="n">
        <v>0</v>
      </c>
      <c r="O625" s="16" t="n">
        <v>0</v>
      </c>
      <c r="P625" s="16" t="n">
        <v>0.234895</v>
      </c>
      <c r="Q625">
        <f>--($A625=IF('الداشبورد'!$B$5="الكل",$A625,'الداشبورد'!$B$5))</f>
        <v/>
      </c>
      <c r="R625">
        <f>--($E625=IF('الداشبورد'!$B$6="الكل",$E625,'الداشبورد'!$B$6))</f>
        <v/>
      </c>
      <c r="S625">
        <f>--($K625=IF('الداشبورد'!$B$7="الكل",$K625,IF('الداشبورد'!$B$7="تصدير","Y","N")))</f>
        <v/>
      </c>
      <c r="T625">
        <f>--($J625=IF('الداشبورد'!$B$8="الكل",$J625,IF('الداشبورد'!$B$8="AL","A","C")))</f>
        <v/>
      </c>
      <c r="U625">
        <f>--($I625=IF('الداشبورد'!$B$9="الكل",$I625,IF('الداشبورد'!$B$9="بدون حالة","P",'الداشبورد'!$B$9)))</f>
        <v/>
      </c>
      <c r="V625">
        <f>--($D625=IF('الداشبورد'!$B$10="الكل",$D625,'الداشبورد'!$B$10))</f>
        <v/>
      </c>
      <c r="W625">
        <f>--($G625=IF('الداشبورد'!$B$11="الكل",$G625,'الداشبورد'!$B$11))</f>
        <v/>
      </c>
      <c r="X625">
        <f>Q625*R625*S625*T625*U625*V625*W625*--($C625&lt;&gt;"")</f>
        <v/>
      </c>
    </row>
    <row r="626">
      <c r="A626" s="15" t="n">
        <v>6</v>
      </c>
      <c r="B626" s="15" t="inlineStr">
        <is>
          <t>F184810</t>
        </is>
      </c>
      <c r="C626" s="15" t="inlineStr">
        <is>
          <t>1522/26/02</t>
        </is>
      </c>
      <c r="D626" s="15" t="inlineStr">
        <is>
          <t>Electrical Supplies &amp; Services LTD.</t>
        </is>
      </c>
      <c r="E626" s="15" t="inlineStr">
        <is>
          <t>LV</t>
        </is>
      </c>
      <c r="F626" s="15" t="inlineStr">
        <is>
          <t>0.6/1 KV 4*16</t>
        </is>
      </c>
      <c r="G626" s="15" t="inlineStr">
        <is>
          <t>EX13</t>
        </is>
      </c>
      <c r="H626" s="15" t="inlineStr">
        <is>
          <t>Wooden Drums</t>
        </is>
      </c>
      <c r="I626" s="15" t="inlineStr">
        <is>
          <t>OK</t>
        </is>
      </c>
      <c r="J626" s="15" t="inlineStr">
        <is>
          <t>C</t>
        </is>
      </c>
      <c r="K626" s="15" t="inlineStr">
        <is>
          <t>Y</t>
        </is>
      </c>
      <c r="L626" s="15" t="n">
        <v>525</v>
      </c>
      <c r="M626" s="16" t="n">
        <v>0.286125</v>
      </c>
      <c r="N626" s="16" t="n">
        <v>0</v>
      </c>
      <c r="O626" s="16" t="n">
        <v>0</v>
      </c>
      <c r="P626" s="16" t="n">
        <v>0.286125</v>
      </c>
      <c r="Q626">
        <f>--($A626=IF('الداشبورد'!$B$5="الكل",$A626,'الداشبورد'!$B$5))</f>
        <v/>
      </c>
      <c r="R626">
        <f>--($E626=IF('الداشبورد'!$B$6="الكل",$E626,'الداشبورد'!$B$6))</f>
        <v/>
      </c>
      <c r="S626">
        <f>--($K626=IF('الداشبورد'!$B$7="الكل",$K626,IF('الداشبورد'!$B$7="تصدير","Y","N")))</f>
        <v/>
      </c>
      <c r="T626">
        <f>--($J626=IF('الداشبورد'!$B$8="الكل",$J626,IF('الداشبورد'!$B$8="AL","A","C")))</f>
        <v/>
      </c>
      <c r="U626">
        <f>--($I626=IF('الداشبورد'!$B$9="الكل",$I626,IF('الداشبورد'!$B$9="بدون حالة","P",'الداشبورد'!$B$9)))</f>
        <v/>
      </c>
      <c r="V626">
        <f>--($D626=IF('الداشبورد'!$B$10="الكل",$D626,'الداشبورد'!$B$10))</f>
        <v/>
      </c>
      <c r="W626">
        <f>--($G626=IF('الداشبورد'!$B$11="الكل",$G626,'الداشبورد'!$B$11))</f>
        <v/>
      </c>
      <c r="X626">
        <f>Q626*R626*S626*T626*U626*V626*W626*--($C626&lt;&gt;"")</f>
        <v/>
      </c>
    </row>
    <row r="627">
      <c r="A627" s="15" t="n">
        <v>6</v>
      </c>
      <c r="B627" s="15" t="inlineStr">
        <is>
          <t>F184844</t>
        </is>
      </c>
      <c r="C627" s="15" t="inlineStr">
        <is>
          <t>1522/26/02</t>
        </is>
      </c>
      <c r="D627" s="15" t="inlineStr">
        <is>
          <t>Electrical Supplies &amp; Services LTD.</t>
        </is>
      </c>
      <c r="E627" s="15" t="inlineStr">
        <is>
          <t>LV</t>
        </is>
      </c>
      <c r="F627" s="15" t="inlineStr">
        <is>
          <t>0.6/1 KV 4*16</t>
        </is>
      </c>
      <c r="G627" s="15" t="inlineStr">
        <is>
          <t>EX13</t>
        </is>
      </c>
      <c r="H627" s="15" t="inlineStr">
        <is>
          <t>Wooden Drums</t>
        </is>
      </c>
      <c r="I627" s="15" t="inlineStr">
        <is>
          <t>OK</t>
        </is>
      </c>
      <c r="J627" s="15" t="inlineStr">
        <is>
          <t>C</t>
        </is>
      </c>
      <c r="K627" s="15" t="inlineStr">
        <is>
          <t>Y</t>
        </is>
      </c>
      <c r="L627" s="15" t="n">
        <v>525</v>
      </c>
      <c r="M627" s="16" t="n">
        <v>0.286125</v>
      </c>
      <c r="N627" s="16" t="n">
        <v>0</v>
      </c>
      <c r="O627" s="16" t="n">
        <v>0</v>
      </c>
      <c r="P627" s="16" t="n">
        <v>0.286125</v>
      </c>
      <c r="Q627">
        <f>--($A627=IF('الداشبورد'!$B$5="الكل",$A627,'الداشبورد'!$B$5))</f>
        <v/>
      </c>
      <c r="R627">
        <f>--($E627=IF('الداشبورد'!$B$6="الكل",$E627,'الداشبورد'!$B$6))</f>
        <v/>
      </c>
      <c r="S627">
        <f>--($K627=IF('الداشبورد'!$B$7="الكل",$K627,IF('الداشبورد'!$B$7="تصدير","Y","N")))</f>
        <v/>
      </c>
      <c r="T627">
        <f>--($J627=IF('الداشبورد'!$B$8="الكل",$J627,IF('الداشبورد'!$B$8="AL","A","C")))</f>
        <v/>
      </c>
      <c r="U627">
        <f>--($I627=IF('الداشبورد'!$B$9="الكل",$I627,IF('الداشبورد'!$B$9="بدون حالة","P",'الداشبورد'!$B$9)))</f>
        <v/>
      </c>
      <c r="V627">
        <f>--($D627=IF('الداشبورد'!$B$10="الكل",$D627,'الداشبورد'!$B$10))</f>
        <v/>
      </c>
      <c r="W627">
        <f>--($G627=IF('الداشبورد'!$B$11="الكل",$G627,'الداشبورد'!$B$11))</f>
        <v/>
      </c>
      <c r="X627">
        <f>Q627*R627*S627*T627*U627*V627*W627*--($C627&lt;&gt;"")</f>
        <v/>
      </c>
    </row>
    <row r="628">
      <c r="A628" s="15" t="n">
        <v>6</v>
      </c>
      <c r="B628" s="15" t="inlineStr">
        <is>
          <t>F184811</t>
        </is>
      </c>
      <c r="C628" s="15" t="inlineStr">
        <is>
          <t>1522/26/02</t>
        </is>
      </c>
      <c r="D628" s="15" t="inlineStr">
        <is>
          <t>Electrical Supplies &amp; Services LTD.</t>
        </is>
      </c>
      <c r="E628" s="15" t="inlineStr">
        <is>
          <t>LV</t>
        </is>
      </c>
      <c r="F628" s="15" t="inlineStr">
        <is>
          <t>0.6/1 KV 4*16</t>
        </is>
      </c>
      <c r="G628" s="15" t="inlineStr">
        <is>
          <t>EX13</t>
        </is>
      </c>
      <c r="H628" s="15" t="inlineStr">
        <is>
          <t>Wooden Drums</t>
        </is>
      </c>
      <c r="I628" s="15" t="inlineStr">
        <is>
          <t>OK</t>
        </is>
      </c>
      <c r="J628" s="15" t="inlineStr">
        <is>
          <t>C</t>
        </is>
      </c>
      <c r="K628" s="15" t="inlineStr">
        <is>
          <t>Y</t>
        </is>
      </c>
      <c r="L628" s="15" t="n">
        <v>525</v>
      </c>
      <c r="M628" s="16" t="n">
        <v>0.286125</v>
      </c>
      <c r="N628" s="16" t="n">
        <v>0</v>
      </c>
      <c r="O628" s="16" t="n">
        <v>0</v>
      </c>
      <c r="P628" s="16" t="n">
        <v>0.286125</v>
      </c>
      <c r="Q628">
        <f>--($A628=IF('الداشبورد'!$B$5="الكل",$A628,'الداشبورد'!$B$5))</f>
        <v/>
      </c>
      <c r="R628">
        <f>--($E628=IF('الداشبورد'!$B$6="الكل",$E628,'الداشبورد'!$B$6))</f>
        <v/>
      </c>
      <c r="S628">
        <f>--($K628=IF('الداشبورد'!$B$7="الكل",$K628,IF('الداشبورد'!$B$7="تصدير","Y","N")))</f>
        <v/>
      </c>
      <c r="T628">
        <f>--($J628=IF('الداشبورد'!$B$8="الكل",$J628,IF('الداشبورد'!$B$8="AL","A","C")))</f>
        <v/>
      </c>
      <c r="U628">
        <f>--($I628=IF('الداشبورد'!$B$9="الكل",$I628,IF('الداشبورد'!$B$9="بدون حالة","P",'الداشبورد'!$B$9)))</f>
        <v/>
      </c>
      <c r="V628">
        <f>--($D628=IF('الداشبورد'!$B$10="الكل",$D628,'الداشبورد'!$B$10))</f>
        <v/>
      </c>
      <c r="W628">
        <f>--($G628=IF('الداشبورد'!$B$11="الكل",$G628,'الداشبورد'!$B$11))</f>
        <v/>
      </c>
      <c r="X628">
        <f>Q628*R628*S628*T628*U628*V628*W628*--($C628&lt;&gt;"")</f>
        <v/>
      </c>
    </row>
    <row r="629">
      <c r="A629" s="15" t="n">
        <v>6</v>
      </c>
      <c r="B629" s="15" t="inlineStr">
        <is>
          <t>F184814</t>
        </is>
      </c>
      <c r="C629" s="15" t="inlineStr">
        <is>
          <t>1522/26/02</t>
        </is>
      </c>
      <c r="D629" s="15" t="inlineStr">
        <is>
          <t>Electrical Supplies &amp; Services LTD.</t>
        </is>
      </c>
      <c r="E629" s="15" t="inlineStr">
        <is>
          <t>LV</t>
        </is>
      </c>
      <c r="F629" s="15" t="inlineStr">
        <is>
          <t>0.6/1 KV 4*16</t>
        </is>
      </c>
      <c r="G629" s="15" t="inlineStr">
        <is>
          <t>EX13</t>
        </is>
      </c>
      <c r="H629" s="15" t="inlineStr">
        <is>
          <t>Wooden Drums</t>
        </is>
      </c>
      <c r="I629" s="15" t="inlineStr">
        <is>
          <t>OK</t>
        </is>
      </c>
      <c r="J629" s="15" t="inlineStr">
        <is>
          <t>C</t>
        </is>
      </c>
      <c r="K629" s="15" t="inlineStr">
        <is>
          <t>Y</t>
        </is>
      </c>
      <c r="L629" s="15" t="n">
        <v>525</v>
      </c>
      <c r="M629" s="16" t="n">
        <v>0.286125</v>
      </c>
      <c r="N629" s="16" t="n">
        <v>0</v>
      </c>
      <c r="O629" s="16" t="n">
        <v>0</v>
      </c>
      <c r="P629" s="16" t="n">
        <v>0.286125</v>
      </c>
      <c r="Q629">
        <f>--($A629=IF('الداشبورد'!$B$5="الكل",$A629,'الداشبورد'!$B$5))</f>
        <v/>
      </c>
      <c r="R629">
        <f>--($E629=IF('الداشبورد'!$B$6="الكل",$E629,'الداشبورد'!$B$6))</f>
        <v/>
      </c>
      <c r="S629">
        <f>--($K629=IF('الداشبورد'!$B$7="الكل",$K629,IF('الداشبورد'!$B$7="تصدير","Y","N")))</f>
        <v/>
      </c>
      <c r="T629">
        <f>--($J629=IF('الداشبورد'!$B$8="الكل",$J629,IF('الداشبورد'!$B$8="AL","A","C")))</f>
        <v/>
      </c>
      <c r="U629">
        <f>--($I629=IF('الداشبورد'!$B$9="الكل",$I629,IF('الداشبورد'!$B$9="بدون حالة","P",'الداشبورد'!$B$9)))</f>
        <v/>
      </c>
      <c r="V629">
        <f>--($D629=IF('الداشبورد'!$B$10="الكل",$D629,'الداشبورد'!$B$10))</f>
        <v/>
      </c>
      <c r="W629">
        <f>--($G629=IF('الداشبورد'!$B$11="الكل",$G629,'الداشبورد'!$B$11))</f>
        <v/>
      </c>
      <c r="X629">
        <f>Q629*R629*S629*T629*U629*V629*W629*--($C629&lt;&gt;"")</f>
        <v/>
      </c>
    </row>
    <row r="630">
      <c r="A630" s="15" t="n">
        <v>6</v>
      </c>
      <c r="B630" s="15" t="inlineStr">
        <is>
          <t>F184896</t>
        </is>
      </c>
      <c r="C630" s="15" t="inlineStr">
        <is>
          <t>1522/26/02</t>
        </is>
      </c>
      <c r="D630" s="15" t="inlineStr">
        <is>
          <t>Electrical Supplies &amp; Services LTD.</t>
        </is>
      </c>
      <c r="E630" s="15" t="inlineStr">
        <is>
          <t>LV</t>
        </is>
      </c>
      <c r="F630" s="15" t="inlineStr">
        <is>
          <t>0.6/1 KV 4*16</t>
        </is>
      </c>
      <c r="G630" s="15" t="inlineStr">
        <is>
          <t>EX13</t>
        </is>
      </c>
      <c r="H630" s="15" t="inlineStr">
        <is>
          <t>Wooden Drums</t>
        </is>
      </c>
      <c r="I630" s="15" t="inlineStr">
        <is>
          <t>OK</t>
        </is>
      </c>
      <c r="J630" s="15" t="inlineStr">
        <is>
          <t>C</t>
        </is>
      </c>
      <c r="K630" s="15" t="inlineStr">
        <is>
          <t>Y</t>
        </is>
      </c>
      <c r="L630" s="15" t="n">
        <v>525</v>
      </c>
      <c r="M630" s="16" t="n">
        <v>0.286125</v>
      </c>
      <c r="N630" s="16" t="n">
        <v>0</v>
      </c>
      <c r="O630" s="16" t="n">
        <v>0</v>
      </c>
      <c r="P630" s="16" t="n">
        <v>0.286125</v>
      </c>
      <c r="Q630">
        <f>--($A630=IF('الداشبورد'!$B$5="الكل",$A630,'الداشبورد'!$B$5))</f>
        <v/>
      </c>
      <c r="R630">
        <f>--($E630=IF('الداشبورد'!$B$6="الكل",$E630,'الداشبورد'!$B$6))</f>
        <v/>
      </c>
      <c r="S630">
        <f>--($K630=IF('الداشبورد'!$B$7="الكل",$K630,IF('الداشبورد'!$B$7="تصدير","Y","N")))</f>
        <v/>
      </c>
      <c r="T630">
        <f>--($J630=IF('الداشبورد'!$B$8="الكل",$J630,IF('الداشبورد'!$B$8="AL","A","C")))</f>
        <v/>
      </c>
      <c r="U630">
        <f>--($I630=IF('الداشبورد'!$B$9="الكل",$I630,IF('الداشبورد'!$B$9="بدون حالة","P",'الداشبورد'!$B$9)))</f>
        <v/>
      </c>
      <c r="V630">
        <f>--($D630=IF('الداشبورد'!$B$10="الكل",$D630,'الداشبورد'!$B$10))</f>
        <v/>
      </c>
      <c r="W630">
        <f>--($G630=IF('الداشبورد'!$B$11="الكل",$G630,'الداشبورد'!$B$11))</f>
        <v/>
      </c>
      <c r="X630">
        <f>Q630*R630*S630*T630*U630*V630*W630*--($C630&lt;&gt;"")</f>
        <v/>
      </c>
    </row>
    <row r="631">
      <c r="A631" s="15" t="n">
        <v>6</v>
      </c>
      <c r="B631" s="15" t="inlineStr">
        <is>
          <t>V184761</t>
        </is>
      </c>
      <c r="C631" s="15" t="inlineStr">
        <is>
          <t>1385/26/03</t>
        </is>
      </c>
      <c r="D631" s="15" t="inlineStr">
        <is>
          <t>الشركة العربية للصناعة والتجارة الدولية</t>
        </is>
      </c>
      <c r="E631" s="15" t="inlineStr">
        <is>
          <t>LV</t>
        </is>
      </c>
      <c r="F631" s="15" t="inlineStr">
        <is>
          <t>0.6/1 KV 3*240+120</t>
        </is>
      </c>
      <c r="G631" s="15" t="inlineStr">
        <is>
          <t>RW01</t>
        </is>
      </c>
      <c r="H631" s="15" t="inlineStr">
        <is>
          <t>Wooden Drums</t>
        </is>
      </c>
      <c r="I631" s="15" t="inlineStr">
        <is>
          <t>OK</t>
        </is>
      </c>
      <c r="J631" s="15" t="inlineStr">
        <is>
          <t>A</t>
        </is>
      </c>
      <c r="K631" s="15" t="inlineStr">
        <is>
          <t>N</t>
        </is>
      </c>
      <c r="L631" s="15" t="n">
        <v>1020</v>
      </c>
      <c r="M631" s="16" t="n">
        <v>2.24094</v>
      </c>
      <c r="N631" s="16" t="n">
        <v>0</v>
      </c>
      <c r="O631" s="16" t="n">
        <v>0</v>
      </c>
      <c r="P631" s="16" t="n">
        <v>2.24094</v>
      </c>
      <c r="Q631">
        <f>--($A631=IF('الداشبورد'!$B$5="الكل",$A631,'الداشبورد'!$B$5))</f>
        <v/>
      </c>
      <c r="R631">
        <f>--($E631=IF('الداشبورد'!$B$6="الكل",$E631,'الداشبورد'!$B$6))</f>
        <v/>
      </c>
      <c r="S631">
        <f>--($K631=IF('الداشبورد'!$B$7="الكل",$K631,IF('الداشبورد'!$B$7="تصدير","Y","N")))</f>
        <v/>
      </c>
      <c r="T631">
        <f>--($J631=IF('الداشبورد'!$B$8="الكل",$J631,IF('الداشبورد'!$B$8="AL","A","C")))</f>
        <v/>
      </c>
      <c r="U631">
        <f>--($I631=IF('الداشبورد'!$B$9="الكل",$I631,IF('الداشبورد'!$B$9="بدون حالة","P",'الداشبورد'!$B$9)))</f>
        <v/>
      </c>
      <c r="V631">
        <f>--($D631=IF('الداشبورد'!$B$10="الكل",$D631,'الداشبورد'!$B$10))</f>
        <v/>
      </c>
      <c r="W631">
        <f>--($G631=IF('الداشبورد'!$B$11="الكل",$G631,'الداشبورد'!$B$11))</f>
        <v/>
      </c>
      <c r="X631">
        <f>Q631*R631*S631*T631*U631*V631*W631*--($C631&lt;&gt;"")</f>
        <v/>
      </c>
    </row>
    <row r="632">
      <c r="A632" s="15" t="n">
        <v>6</v>
      </c>
      <c r="B632" s="15" t="inlineStr">
        <is>
          <t>V184911</t>
        </is>
      </c>
      <c r="C632" s="15" t="inlineStr">
        <is>
          <t>1385/26/03</t>
        </is>
      </c>
      <c r="D632" s="15" t="inlineStr">
        <is>
          <t>الشركة العربية للصناعة والتجارة الدولية</t>
        </is>
      </c>
      <c r="E632" s="15" t="inlineStr">
        <is>
          <t>LV</t>
        </is>
      </c>
      <c r="F632" s="15" t="inlineStr">
        <is>
          <t>0.6/1 KV 3*240+120</t>
        </is>
      </c>
      <c r="G632" s="15" t="inlineStr">
        <is>
          <t>RW01</t>
        </is>
      </c>
      <c r="H632" s="15" t="inlineStr">
        <is>
          <t>Wooden Drums</t>
        </is>
      </c>
      <c r="I632" s="15" t="inlineStr">
        <is>
          <t>OK</t>
        </is>
      </c>
      <c r="J632" s="15" t="inlineStr">
        <is>
          <t>A</t>
        </is>
      </c>
      <c r="K632" s="15" t="inlineStr">
        <is>
          <t>N</t>
        </is>
      </c>
      <c r="L632" s="15" t="n">
        <v>1030</v>
      </c>
      <c r="M632" s="16" t="n">
        <v>2.26291</v>
      </c>
      <c r="N632" s="16" t="n">
        <v>0</v>
      </c>
      <c r="O632" s="16" t="n">
        <v>0</v>
      </c>
      <c r="P632" s="16" t="n">
        <v>2.26291</v>
      </c>
      <c r="Q632">
        <f>--($A632=IF('الداشبورد'!$B$5="الكل",$A632,'الداشبورد'!$B$5))</f>
        <v/>
      </c>
      <c r="R632">
        <f>--($E632=IF('الداشبورد'!$B$6="الكل",$E632,'الداشبورد'!$B$6))</f>
        <v/>
      </c>
      <c r="S632">
        <f>--($K632=IF('الداشبورد'!$B$7="الكل",$K632,IF('الداشبورد'!$B$7="تصدير","Y","N")))</f>
        <v/>
      </c>
      <c r="T632">
        <f>--($J632=IF('الداشبورد'!$B$8="الكل",$J632,IF('الداشبورد'!$B$8="AL","A","C")))</f>
        <v/>
      </c>
      <c r="U632">
        <f>--($I632=IF('الداشبورد'!$B$9="الكل",$I632,IF('الداشبورد'!$B$9="بدون حالة","P",'الداشبورد'!$B$9)))</f>
        <v/>
      </c>
      <c r="V632">
        <f>--($D632=IF('الداشبورد'!$B$10="الكل",$D632,'الداشبورد'!$B$10))</f>
        <v/>
      </c>
      <c r="W632">
        <f>--($G632=IF('الداشبورد'!$B$11="الكل",$G632,'الداشبورد'!$B$11))</f>
        <v/>
      </c>
      <c r="X632">
        <f>Q632*R632*S632*T632*U632*V632*W632*--($C632&lt;&gt;"")</f>
        <v/>
      </c>
    </row>
    <row r="633">
      <c r="A633" s="15" t="n">
        <v>6</v>
      </c>
      <c r="B633" s="15" t="inlineStr">
        <is>
          <t>P184856</t>
        </is>
      </c>
      <c r="C633" s="15" t="inlineStr">
        <is>
          <t>1594/26/06</t>
        </is>
      </c>
      <c r="D633" s="15" t="inlineStr">
        <is>
          <t>VLG RO S.R.L.</t>
        </is>
      </c>
      <c r="E633" s="15" t="inlineStr">
        <is>
          <t>LV</t>
        </is>
      </c>
      <c r="F633" s="15" t="inlineStr">
        <is>
          <t>0.6/1 KV 4X240</t>
        </is>
      </c>
      <c r="G633" s="15" t="inlineStr">
        <is>
          <t>EX09</t>
        </is>
      </c>
      <c r="H633" s="15" t="inlineStr">
        <is>
          <t>Wooden Drums</t>
        </is>
      </c>
      <c r="I633" s="15" t="inlineStr">
        <is>
          <t>OK</t>
        </is>
      </c>
      <c r="J633" s="15" t="inlineStr">
        <is>
          <t>A</t>
        </is>
      </c>
      <c r="K633" s="15" t="inlineStr">
        <is>
          <t>Y</t>
        </is>
      </c>
      <c r="L633" s="15" t="n">
        <v>1078</v>
      </c>
      <c r="M633" s="16" t="n">
        <v>2.703624</v>
      </c>
      <c r="N633" s="16" t="n">
        <v>0</v>
      </c>
      <c r="O633" s="16" t="n">
        <v>0</v>
      </c>
      <c r="P633" s="16" t="n">
        <v>2.703624</v>
      </c>
      <c r="Q633">
        <f>--($A633=IF('الداشبورد'!$B$5="الكل",$A633,'الداشبورد'!$B$5))</f>
        <v/>
      </c>
      <c r="R633">
        <f>--($E633=IF('الداشبورد'!$B$6="الكل",$E633,'الداشبورد'!$B$6))</f>
        <v/>
      </c>
      <c r="S633">
        <f>--($K633=IF('الداشبورد'!$B$7="الكل",$K633,IF('الداشبورد'!$B$7="تصدير","Y","N")))</f>
        <v/>
      </c>
      <c r="T633">
        <f>--($J633=IF('الداشبورد'!$B$8="الكل",$J633,IF('الداشبورد'!$B$8="AL","A","C")))</f>
        <v/>
      </c>
      <c r="U633">
        <f>--($I633=IF('الداشبورد'!$B$9="الكل",$I633,IF('الداشبورد'!$B$9="بدون حالة","P",'الداشبورد'!$B$9)))</f>
        <v/>
      </c>
      <c r="V633">
        <f>--($D633=IF('الداشبورد'!$B$10="الكل",$D633,'الداشبورد'!$B$10))</f>
        <v/>
      </c>
      <c r="W633">
        <f>--($G633=IF('الداشبورد'!$B$11="الكل",$G633,'الداشبورد'!$B$11))</f>
        <v/>
      </c>
      <c r="X633">
        <f>Q633*R633*S633*T633*U633*V633*W633*--($C633&lt;&gt;"")</f>
        <v/>
      </c>
    </row>
    <row r="634">
      <c r="A634" s="15" t="n">
        <v>6</v>
      </c>
      <c r="B634" s="15" t="inlineStr">
        <is>
          <t>P184855</t>
        </is>
      </c>
      <c r="C634" s="15" t="inlineStr">
        <is>
          <t>1594/26/06</t>
        </is>
      </c>
      <c r="D634" s="15" t="inlineStr">
        <is>
          <t>VLG RO S.R.L.</t>
        </is>
      </c>
      <c r="E634" s="15" t="inlineStr">
        <is>
          <t>LV</t>
        </is>
      </c>
      <c r="F634" s="15" t="inlineStr">
        <is>
          <t>0.6/1 KV 4X240</t>
        </is>
      </c>
      <c r="G634" s="15" t="inlineStr">
        <is>
          <t>EX09</t>
        </is>
      </c>
      <c r="H634" s="15" t="inlineStr">
        <is>
          <t>Wooden Drums</t>
        </is>
      </c>
      <c r="I634" s="15" t="inlineStr">
        <is>
          <t>OK</t>
        </is>
      </c>
      <c r="J634" s="15" t="inlineStr">
        <is>
          <t>A</t>
        </is>
      </c>
      <c r="K634" s="15" t="inlineStr">
        <is>
          <t>Y</t>
        </is>
      </c>
      <c r="L634" s="15" t="n">
        <v>1017</v>
      </c>
      <c r="M634" s="16" t="n">
        <v>2.550636</v>
      </c>
      <c r="N634" s="16" t="n">
        <v>0</v>
      </c>
      <c r="O634" s="16" t="n">
        <v>0</v>
      </c>
      <c r="P634" s="16" t="n">
        <v>2.550636</v>
      </c>
      <c r="Q634">
        <f>--($A634=IF('الداشبورد'!$B$5="الكل",$A634,'الداشبورد'!$B$5))</f>
        <v/>
      </c>
      <c r="R634">
        <f>--($E634=IF('الداشبورد'!$B$6="الكل",$E634,'الداشبورد'!$B$6))</f>
        <v/>
      </c>
      <c r="S634">
        <f>--($K634=IF('الداشبورد'!$B$7="الكل",$K634,IF('الداشبورد'!$B$7="تصدير","Y","N")))</f>
        <v/>
      </c>
      <c r="T634">
        <f>--($J634=IF('الداشبورد'!$B$8="الكل",$J634,IF('الداشبورد'!$B$8="AL","A","C")))</f>
        <v/>
      </c>
      <c r="U634">
        <f>--($I634=IF('الداشبورد'!$B$9="الكل",$I634,IF('الداشبورد'!$B$9="بدون حالة","P",'الداشبورد'!$B$9)))</f>
        <v/>
      </c>
      <c r="V634">
        <f>--($D634=IF('الداشبورد'!$B$10="الكل",$D634,'الداشبورد'!$B$10))</f>
        <v/>
      </c>
      <c r="W634">
        <f>--($G634=IF('الداشبورد'!$B$11="الكل",$G634,'الداشبورد'!$B$11))</f>
        <v/>
      </c>
      <c r="X634">
        <f>Q634*R634*S634*T634*U634*V634*W634*--($C634&lt;&gt;"")</f>
        <v/>
      </c>
    </row>
    <row r="635">
      <c r="A635" s="15" t="n">
        <v>6</v>
      </c>
      <c r="B635" s="15" t="inlineStr">
        <is>
          <t>P184858</t>
        </is>
      </c>
      <c r="C635" s="15" t="inlineStr">
        <is>
          <t>1594/26/06</t>
        </is>
      </c>
      <c r="D635" s="15" t="inlineStr">
        <is>
          <t>VLG RO S.R.L.</t>
        </is>
      </c>
      <c r="E635" s="15" t="inlineStr">
        <is>
          <t>LV</t>
        </is>
      </c>
      <c r="F635" s="15" t="inlineStr">
        <is>
          <t>0.6/1 KV 4X240</t>
        </is>
      </c>
      <c r="G635" s="15" t="inlineStr">
        <is>
          <t>EX09</t>
        </is>
      </c>
      <c r="H635" s="15" t="inlineStr">
        <is>
          <t>Wooden Drums</t>
        </is>
      </c>
      <c r="I635" s="15" t="inlineStr">
        <is>
          <t>Hold</t>
        </is>
      </c>
      <c r="J635" s="15" t="inlineStr">
        <is>
          <t>A</t>
        </is>
      </c>
      <c r="K635" s="15" t="inlineStr">
        <is>
          <t>Y</t>
        </is>
      </c>
      <c r="L635" s="15" t="n">
        <v>1040</v>
      </c>
      <c r="M635" s="16" t="n">
        <v>2.60832</v>
      </c>
      <c r="N635" s="16" t="n">
        <v>0</v>
      </c>
      <c r="O635" s="16" t="n">
        <v>0</v>
      </c>
      <c r="P635" s="16" t="n">
        <v>2.60832</v>
      </c>
      <c r="Q635">
        <f>--($A635=IF('الداشبورد'!$B$5="الكل",$A635,'الداشبورد'!$B$5))</f>
        <v/>
      </c>
      <c r="R635">
        <f>--($E635=IF('الداشبورد'!$B$6="الكل",$E635,'الداشبورد'!$B$6))</f>
        <v/>
      </c>
      <c r="S635">
        <f>--($K635=IF('الداشبورد'!$B$7="الكل",$K635,IF('الداشبورد'!$B$7="تصدير","Y","N")))</f>
        <v/>
      </c>
      <c r="T635">
        <f>--($J635=IF('الداشبورد'!$B$8="الكل",$J635,IF('الداشبورد'!$B$8="AL","A","C")))</f>
        <v/>
      </c>
      <c r="U635">
        <f>--($I635=IF('الداشبورد'!$B$9="الكل",$I635,IF('الداشبورد'!$B$9="بدون حالة","P",'الداشبورد'!$B$9)))</f>
        <v/>
      </c>
      <c r="V635">
        <f>--($D635=IF('الداشبورد'!$B$10="الكل",$D635,'الداشبورد'!$B$10))</f>
        <v/>
      </c>
      <c r="W635">
        <f>--($G635=IF('الداشبورد'!$B$11="الكل",$G635,'الداشبورد'!$B$11))</f>
        <v/>
      </c>
      <c r="X635">
        <f>Q635*R635*S635*T635*U635*V635*W635*--($C635&lt;&gt;"")</f>
        <v/>
      </c>
    </row>
    <row r="636">
      <c r="A636" s="15" t="n">
        <v>6</v>
      </c>
      <c r="B636" s="15" t="inlineStr">
        <is>
          <t>J184302</t>
        </is>
      </c>
      <c r="C636" s="15" t="inlineStr">
        <is>
          <t>1478/26/36</t>
        </is>
      </c>
      <c r="D636" s="15" t="inlineStr">
        <is>
          <t>Energya Power &amp; Telecom Solutions</t>
        </is>
      </c>
      <c r="E636" s="15" t="inlineStr">
        <is>
          <t>LV</t>
        </is>
      </c>
      <c r="F636" s="15" t="inlineStr">
        <is>
          <t>0.6/1kv 4*25</t>
        </is>
      </c>
      <c r="G636" s="15" t="inlineStr">
        <is>
          <t>EX13</t>
        </is>
      </c>
      <c r="H636" s="15" t="inlineStr">
        <is>
          <t>Wooden Drums</t>
        </is>
      </c>
      <c r="I636" s="15" t="inlineStr">
        <is>
          <t>OK</t>
        </is>
      </c>
      <c r="J636" s="15" t="inlineStr">
        <is>
          <t>C</t>
        </is>
      </c>
      <c r="K636" s="15" t="inlineStr">
        <is>
          <t>N</t>
        </is>
      </c>
      <c r="L636" s="15" t="n">
        <v>1081</v>
      </c>
      <c r="M636" s="16" t="n">
        <v>0.9274979999999999</v>
      </c>
      <c r="N636" s="16" t="n">
        <v>0</v>
      </c>
      <c r="O636" s="16" t="n">
        <v>0</v>
      </c>
      <c r="P636" s="16" t="n">
        <v>0.9274979999999999</v>
      </c>
      <c r="Q636">
        <f>--($A636=IF('الداشبورد'!$B$5="الكل",$A636,'الداشبورد'!$B$5))</f>
        <v/>
      </c>
      <c r="R636">
        <f>--($E636=IF('الداشبورد'!$B$6="الكل",$E636,'الداشبورد'!$B$6))</f>
        <v/>
      </c>
      <c r="S636">
        <f>--($K636=IF('الداشبورد'!$B$7="الكل",$K636,IF('الداشبورد'!$B$7="تصدير","Y","N")))</f>
        <v/>
      </c>
      <c r="T636">
        <f>--($J636=IF('الداشبورد'!$B$8="الكل",$J636,IF('الداشبورد'!$B$8="AL","A","C")))</f>
        <v/>
      </c>
      <c r="U636">
        <f>--($I636=IF('الداشبورد'!$B$9="الكل",$I636,IF('الداشبورد'!$B$9="بدون حالة","P",'الداشبورد'!$B$9)))</f>
        <v/>
      </c>
      <c r="V636">
        <f>--($D636=IF('الداشبورد'!$B$10="الكل",$D636,'الداشبورد'!$B$10))</f>
        <v/>
      </c>
      <c r="W636">
        <f>--($G636=IF('الداشبورد'!$B$11="الكل",$G636,'الداشبورد'!$B$11))</f>
        <v/>
      </c>
      <c r="X636">
        <f>Q636*R636*S636*T636*U636*V636*W636*--($C636&lt;&gt;"")</f>
        <v/>
      </c>
    </row>
    <row r="637">
      <c r="A637" s="15" t="n">
        <v>6</v>
      </c>
      <c r="B637" s="15" t="inlineStr">
        <is>
          <t>37919</t>
        </is>
      </c>
      <c r="C637" s="15" t="inlineStr">
        <is>
          <t>1659/26/17</t>
        </is>
      </c>
      <c r="D637" s="15" t="inlineStr">
        <is>
          <t>Energya El Sewedy Helal International Limited – Ke</t>
        </is>
      </c>
      <c r="E637" s="15" t="inlineStr">
        <is>
          <t>CC</t>
        </is>
      </c>
      <c r="F637" s="15" t="inlineStr">
        <is>
          <t>300/500 V 3X1.5</t>
        </is>
      </c>
      <c r="G637" s="15" t="inlineStr">
        <is>
          <t>CO03</t>
        </is>
      </c>
      <c r="H637" s="15" t="inlineStr">
        <is>
          <t>Air coil 90 m</t>
        </is>
      </c>
      <c r="I637" s="15" t="inlineStr">
        <is>
          <t>OK</t>
        </is>
      </c>
      <c r="J637" s="15" t="inlineStr">
        <is>
          <t>C</t>
        </is>
      </c>
      <c r="K637" s="15" t="inlineStr">
        <is>
          <t>Y</t>
        </is>
      </c>
      <c r="L637" s="15" t="n">
        <v>7560</v>
      </c>
      <c r="M637" s="16" t="n">
        <v>0.2646</v>
      </c>
      <c r="N637" s="16" t="n">
        <v>0</v>
      </c>
      <c r="O637" s="16" t="n">
        <v>0</v>
      </c>
      <c r="P637" s="16" t="n">
        <v>0.2646</v>
      </c>
      <c r="Q637">
        <f>--($A637=IF('الداشبورد'!$B$5="الكل",$A637,'الداشبورد'!$B$5))</f>
        <v/>
      </c>
      <c r="R637">
        <f>--($E637=IF('الداشبورد'!$B$6="الكل",$E637,'الداشبورد'!$B$6))</f>
        <v/>
      </c>
      <c r="S637">
        <f>--($K637=IF('الداشبورد'!$B$7="الكل",$K637,IF('الداشبورد'!$B$7="تصدير","Y","N")))</f>
        <v/>
      </c>
      <c r="T637">
        <f>--($J637=IF('الداشبورد'!$B$8="الكل",$J637,IF('الداشبورد'!$B$8="AL","A","C")))</f>
        <v/>
      </c>
      <c r="U637">
        <f>--($I637=IF('الداشبورد'!$B$9="الكل",$I637,IF('الداشبورد'!$B$9="بدون حالة","P",'الداشبورد'!$B$9)))</f>
        <v/>
      </c>
      <c r="V637">
        <f>--($D637=IF('الداشبورد'!$B$10="الكل",$D637,'الداشبورد'!$B$10))</f>
        <v/>
      </c>
      <c r="W637">
        <f>--($G637=IF('الداشبورد'!$B$11="الكل",$G637,'الداشبورد'!$B$11))</f>
        <v/>
      </c>
      <c r="X637">
        <f>Q637*R637*S637*T637*U637*V637*W637*--($C637&lt;&gt;"")</f>
        <v/>
      </c>
    </row>
    <row r="638">
      <c r="A638" s="15" t="n">
        <v>6</v>
      </c>
      <c r="B638" s="15" t="inlineStr">
        <is>
          <t>37917</t>
        </is>
      </c>
      <c r="C638" s="15" t="inlineStr">
        <is>
          <t>1659/26/17</t>
        </is>
      </c>
      <c r="D638" s="15" t="inlineStr">
        <is>
          <t>Energya El Sewedy Helal International Limited – Ke</t>
        </is>
      </c>
      <c r="E638" s="15" t="inlineStr">
        <is>
          <t>CC</t>
        </is>
      </c>
      <c r="F638" s="15" t="inlineStr">
        <is>
          <t>300/500 V 3X1.5</t>
        </is>
      </c>
      <c r="G638" s="15" t="inlineStr">
        <is>
          <t>CO03</t>
        </is>
      </c>
      <c r="H638" s="15" t="inlineStr">
        <is>
          <t>Air coil 90 m</t>
        </is>
      </c>
      <c r="I638" s="15" t="inlineStr">
        <is>
          <t>OK</t>
        </is>
      </c>
      <c r="J638" s="15" t="inlineStr">
        <is>
          <t>C</t>
        </is>
      </c>
      <c r="K638" s="15" t="inlineStr">
        <is>
          <t>Y</t>
        </is>
      </c>
      <c r="L638" s="15" t="n">
        <v>7560</v>
      </c>
      <c r="M638" s="16" t="n">
        <v>0.2646</v>
      </c>
      <c r="N638" s="16" t="n">
        <v>0</v>
      </c>
      <c r="O638" s="16" t="n">
        <v>0</v>
      </c>
      <c r="P638" s="16" t="n">
        <v>0.2646</v>
      </c>
      <c r="Q638">
        <f>--($A638=IF('الداشبورد'!$B$5="الكل",$A638,'الداشبورد'!$B$5))</f>
        <v/>
      </c>
      <c r="R638">
        <f>--($E638=IF('الداشبورد'!$B$6="الكل",$E638,'الداشبورد'!$B$6))</f>
        <v/>
      </c>
      <c r="S638">
        <f>--($K638=IF('الداشبورد'!$B$7="الكل",$K638,IF('الداشبورد'!$B$7="تصدير","Y","N")))</f>
        <v/>
      </c>
      <c r="T638">
        <f>--($J638=IF('الداشبورد'!$B$8="الكل",$J638,IF('الداشبورد'!$B$8="AL","A","C")))</f>
        <v/>
      </c>
      <c r="U638">
        <f>--($I638=IF('الداشبورد'!$B$9="الكل",$I638,IF('الداشبورد'!$B$9="بدون حالة","P",'الداشبورد'!$B$9)))</f>
        <v/>
      </c>
      <c r="V638">
        <f>--($D638=IF('الداشبورد'!$B$10="الكل",$D638,'الداشبورد'!$B$10))</f>
        <v/>
      </c>
      <c r="W638">
        <f>--($G638=IF('الداشبورد'!$B$11="الكل",$G638,'الداشبورد'!$B$11))</f>
        <v/>
      </c>
      <c r="X638">
        <f>Q638*R638*S638*T638*U638*V638*W638*--($C638&lt;&gt;"")</f>
        <v/>
      </c>
    </row>
    <row r="639">
      <c r="A639" s="15" t="n">
        <v>6</v>
      </c>
      <c r="B639" s="15" t="inlineStr">
        <is>
          <t>37918</t>
        </is>
      </c>
      <c r="C639" s="15" t="inlineStr">
        <is>
          <t>1659/26/17</t>
        </is>
      </c>
      <c r="D639" s="15" t="inlineStr">
        <is>
          <t>Energya El Sewedy Helal International Limited – Ke</t>
        </is>
      </c>
      <c r="E639" s="15" t="inlineStr">
        <is>
          <t>CC</t>
        </is>
      </c>
      <c r="F639" s="15" t="inlineStr">
        <is>
          <t>300/500 V 3X1.5</t>
        </is>
      </c>
      <c r="G639" s="15" t="inlineStr">
        <is>
          <t>CO03</t>
        </is>
      </c>
      <c r="H639" s="15" t="inlineStr">
        <is>
          <t>Air coil 90 m</t>
        </is>
      </c>
      <c r="I639" s="15" t="inlineStr">
        <is>
          <t>OK</t>
        </is>
      </c>
      <c r="J639" s="15" t="inlineStr">
        <is>
          <t>C</t>
        </is>
      </c>
      <c r="K639" s="15" t="inlineStr">
        <is>
          <t>Y</t>
        </is>
      </c>
      <c r="L639" s="15" t="n">
        <v>7560</v>
      </c>
      <c r="M639" s="16" t="n">
        <v>0.2646</v>
      </c>
      <c r="N639" s="16" t="n">
        <v>0</v>
      </c>
      <c r="O639" s="16" t="n">
        <v>0</v>
      </c>
      <c r="P639" s="16" t="n">
        <v>0.2646</v>
      </c>
      <c r="Q639">
        <f>--($A639=IF('الداشبورد'!$B$5="الكل",$A639,'الداشبورد'!$B$5))</f>
        <v/>
      </c>
      <c r="R639">
        <f>--($E639=IF('الداشبورد'!$B$6="الكل",$E639,'الداشبورد'!$B$6))</f>
        <v/>
      </c>
      <c r="S639">
        <f>--($K639=IF('الداشبورد'!$B$7="الكل",$K639,IF('الداشبورد'!$B$7="تصدير","Y","N")))</f>
        <v/>
      </c>
      <c r="T639">
        <f>--($J639=IF('الداشبورد'!$B$8="الكل",$J639,IF('الداشبورد'!$B$8="AL","A","C")))</f>
        <v/>
      </c>
      <c r="U639">
        <f>--($I639=IF('الداشبورد'!$B$9="الكل",$I639,IF('الداشبورد'!$B$9="بدون حالة","P",'الداشبورد'!$B$9)))</f>
        <v/>
      </c>
      <c r="V639">
        <f>--($D639=IF('الداشبورد'!$B$10="الكل",$D639,'الداشبورد'!$B$10))</f>
        <v/>
      </c>
      <c r="W639">
        <f>--($G639=IF('الداشبورد'!$B$11="الكل",$G639,'الداشبورد'!$B$11))</f>
        <v/>
      </c>
      <c r="X639">
        <f>Q639*R639*S639*T639*U639*V639*W639*--($C639&lt;&gt;"")</f>
        <v/>
      </c>
    </row>
    <row r="640">
      <c r="A640" s="15" t="n">
        <v>6</v>
      </c>
      <c r="B640" s="15" t="inlineStr">
        <is>
          <t>37925</t>
        </is>
      </c>
      <c r="C640" s="15" t="inlineStr">
        <is>
          <t>1659/26/08</t>
        </is>
      </c>
      <c r="D640" s="15" t="inlineStr">
        <is>
          <t>Energya El Sewedy Helal International Limited – Ke</t>
        </is>
      </c>
      <c r="E640" s="15" t="inlineStr">
        <is>
          <t>CC</t>
        </is>
      </c>
      <c r="F640" s="15" t="inlineStr">
        <is>
          <t>300/500 V 2X0.5</t>
        </is>
      </c>
      <c r="G640" s="15" t="inlineStr">
        <is>
          <t>CO03</t>
        </is>
      </c>
      <c r="H640" s="15" t="inlineStr">
        <is>
          <t>Air coil 90 m</t>
        </is>
      </c>
      <c r="I640" s="15" t="inlineStr">
        <is>
          <t>OK</t>
        </is>
      </c>
      <c r="J640" s="15" t="inlineStr">
        <is>
          <t>C</t>
        </is>
      </c>
      <c r="K640" s="15" t="inlineStr">
        <is>
          <t>Y</t>
        </is>
      </c>
      <c r="L640" s="15" t="n">
        <v>8640</v>
      </c>
      <c r="M640" s="16" t="n">
        <v>0.06912</v>
      </c>
      <c r="N640" s="16" t="n">
        <v>0</v>
      </c>
      <c r="O640" s="16" t="n">
        <v>0</v>
      </c>
      <c r="P640" s="16" t="n">
        <v>0.06912</v>
      </c>
      <c r="Q640">
        <f>--($A640=IF('الداشبورد'!$B$5="الكل",$A640,'الداشبورد'!$B$5))</f>
        <v/>
      </c>
      <c r="R640">
        <f>--($E640=IF('الداشبورد'!$B$6="الكل",$E640,'الداشبورد'!$B$6))</f>
        <v/>
      </c>
      <c r="S640">
        <f>--($K640=IF('الداشبورد'!$B$7="الكل",$K640,IF('الداشبورد'!$B$7="تصدير","Y","N")))</f>
        <v/>
      </c>
      <c r="T640">
        <f>--($J640=IF('الداشبورد'!$B$8="الكل",$J640,IF('الداشبورد'!$B$8="AL","A","C")))</f>
        <v/>
      </c>
      <c r="U640">
        <f>--($I640=IF('الداشبورد'!$B$9="الكل",$I640,IF('الداشبورد'!$B$9="بدون حالة","P",'الداشبورد'!$B$9)))</f>
        <v/>
      </c>
      <c r="V640">
        <f>--($D640=IF('الداشبورد'!$B$10="الكل",$D640,'الداشبورد'!$B$10))</f>
        <v/>
      </c>
      <c r="W640">
        <f>--($G640=IF('الداشبورد'!$B$11="الكل",$G640,'الداشبورد'!$B$11))</f>
        <v/>
      </c>
      <c r="X640">
        <f>Q640*R640*S640*T640*U640*V640*W640*--($C640&lt;&gt;"")</f>
        <v/>
      </c>
    </row>
    <row r="641">
      <c r="A641" s="15" t="n">
        <v>6</v>
      </c>
      <c r="B641" s="15" t="inlineStr">
        <is>
          <t>37924</t>
        </is>
      </c>
      <c r="C641" s="15" t="inlineStr">
        <is>
          <t>1659/26/08</t>
        </is>
      </c>
      <c r="D641" s="15" t="inlineStr">
        <is>
          <t>Energya El Sewedy Helal International Limited – Ke</t>
        </is>
      </c>
      <c r="E641" s="15" t="inlineStr">
        <is>
          <t>CC</t>
        </is>
      </c>
      <c r="F641" s="15" t="inlineStr">
        <is>
          <t>300/500 V 2X0.5</t>
        </is>
      </c>
      <c r="G641" s="15" t="inlineStr">
        <is>
          <t>CO03</t>
        </is>
      </c>
      <c r="H641" s="15" t="inlineStr">
        <is>
          <t>Air coil 90 m</t>
        </is>
      </c>
      <c r="I641" s="15" t="inlineStr">
        <is>
          <t>OK</t>
        </is>
      </c>
      <c r="J641" s="15" t="inlineStr">
        <is>
          <t>C</t>
        </is>
      </c>
      <c r="K641" s="15" t="inlineStr">
        <is>
          <t>Y</t>
        </is>
      </c>
      <c r="L641" s="15" t="n">
        <v>8640</v>
      </c>
      <c r="M641" s="16" t="n">
        <v>0.06912</v>
      </c>
      <c r="N641" s="16" t="n">
        <v>0</v>
      </c>
      <c r="O641" s="16" t="n">
        <v>0</v>
      </c>
      <c r="P641" s="16" t="n">
        <v>0.06912</v>
      </c>
      <c r="Q641">
        <f>--($A641=IF('الداشبورد'!$B$5="الكل",$A641,'الداشبورد'!$B$5))</f>
        <v/>
      </c>
      <c r="R641">
        <f>--($E641=IF('الداشبورد'!$B$6="الكل",$E641,'الداشبورد'!$B$6))</f>
        <v/>
      </c>
      <c r="S641">
        <f>--($K641=IF('الداشبورد'!$B$7="الكل",$K641,IF('الداشبورد'!$B$7="تصدير","Y","N")))</f>
        <v/>
      </c>
      <c r="T641">
        <f>--($J641=IF('الداشبورد'!$B$8="الكل",$J641,IF('الداشبورد'!$B$8="AL","A","C")))</f>
        <v/>
      </c>
      <c r="U641">
        <f>--($I641=IF('الداشبورد'!$B$9="الكل",$I641,IF('الداشبورد'!$B$9="بدون حالة","P",'الداشبورد'!$B$9)))</f>
        <v/>
      </c>
      <c r="V641">
        <f>--($D641=IF('الداشبورد'!$B$10="الكل",$D641,'الداشبورد'!$B$10))</f>
        <v/>
      </c>
      <c r="W641">
        <f>--($G641=IF('الداشبورد'!$B$11="الكل",$G641,'الداشبورد'!$B$11))</f>
        <v/>
      </c>
      <c r="X641">
        <f>Q641*R641*S641*T641*U641*V641*W641*--($C641&lt;&gt;"")</f>
        <v/>
      </c>
    </row>
    <row r="642">
      <c r="A642" s="15" t="n">
        <v>6</v>
      </c>
      <c r="B642" s="15" t="inlineStr">
        <is>
          <t>37923</t>
        </is>
      </c>
      <c r="C642" s="15" t="inlineStr">
        <is>
          <t>1659/26/08</t>
        </is>
      </c>
      <c r="D642" s="15" t="inlineStr">
        <is>
          <t>Energya El Sewedy Helal International Limited – Ke</t>
        </is>
      </c>
      <c r="E642" s="15" t="inlineStr">
        <is>
          <t>CC</t>
        </is>
      </c>
      <c r="F642" s="15" t="inlineStr">
        <is>
          <t>300/500 V 2X0.5</t>
        </is>
      </c>
      <c r="G642" s="15" t="inlineStr">
        <is>
          <t>CO03</t>
        </is>
      </c>
      <c r="H642" s="15" t="inlineStr">
        <is>
          <t>Air coil 90 m</t>
        </is>
      </c>
      <c r="I642" s="15" t="inlineStr">
        <is>
          <t>OK</t>
        </is>
      </c>
      <c r="J642" s="15" t="inlineStr">
        <is>
          <t>C</t>
        </is>
      </c>
      <c r="K642" s="15" t="inlineStr">
        <is>
          <t>Y</t>
        </is>
      </c>
      <c r="L642" s="15" t="n">
        <v>8640</v>
      </c>
      <c r="M642" s="16" t="n">
        <v>0.06912</v>
      </c>
      <c r="N642" s="16" t="n">
        <v>0</v>
      </c>
      <c r="O642" s="16" t="n">
        <v>0</v>
      </c>
      <c r="P642" s="16" t="n">
        <v>0.06912</v>
      </c>
      <c r="Q642">
        <f>--($A642=IF('الداشبورد'!$B$5="الكل",$A642,'الداشبورد'!$B$5))</f>
        <v/>
      </c>
      <c r="R642">
        <f>--($E642=IF('الداشبورد'!$B$6="الكل",$E642,'الداشبورد'!$B$6))</f>
        <v/>
      </c>
      <c r="S642">
        <f>--($K642=IF('الداشبورد'!$B$7="الكل",$K642,IF('الداشبورد'!$B$7="تصدير","Y","N")))</f>
        <v/>
      </c>
      <c r="T642">
        <f>--($J642=IF('الداشبورد'!$B$8="الكل",$J642,IF('الداشبورد'!$B$8="AL","A","C")))</f>
        <v/>
      </c>
      <c r="U642">
        <f>--($I642=IF('الداشبورد'!$B$9="الكل",$I642,IF('الداشبورد'!$B$9="بدون حالة","P",'الداشبورد'!$B$9)))</f>
        <v/>
      </c>
      <c r="V642">
        <f>--($D642=IF('الداشبورد'!$B$10="الكل",$D642,'الداشبورد'!$B$10))</f>
        <v/>
      </c>
      <c r="W642">
        <f>--($G642=IF('الداشبورد'!$B$11="الكل",$G642,'الداشبورد'!$B$11))</f>
        <v/>
      </c>
      <c r="X642">
        <f>Q642*R642*S642*T642*U642*V642*W642*--($C642&lt;&gt;"")</f>
        <v/>
      </c>
    </row>
    <row r="643">
      <c r="A643" s="15" t="n">
        <v>6</v>
      </c>
      <c r="B643" s="15" t="inlineStr">
        <is>
          <t>P184785</t>
        </is>
      </c>
      <c r="C643" s="15" t="inlineStr">
        <is>
          <t>1385/26/10</t>
        </is>
      </c>
      <c r="D643" s="15" t="inlineStr">
        <is>
          <t>الشركة العربية للصناعة والتجارة الدولية</t>
        </is>
      </c>
      <c r="E643" s="15" t="inlineStr">
        <is>
          <t>LV</t>
        </is>
      </c>
      <c r="F643" s="15" t="inlineStr">
        <is>
          <t>0.6/1 KV 4*35</t>
        </is>
      </c>
      <c r="G643" s="15" t="inlineStr">
        <is>
          <t>EX13</t>
        </is>
      </c>
      <c r="H643" s="15" t="inlineStr">
        <is>
          <t>Wooden Drums</t>
        </is>
      </c>
      <c r="I643" s="15" t="inlineStr">
        <is>
          <t>OK</t>
        </is>
      </c>
      <c r="J643" s="15" t="inlineStr">
        <is>
          <t>A</t>
        </is>
      </c>
      <c r="K643" s="15" t="inlineStr">
        <is>
          <t>N</t>
        </is>
      </c>
      <c r="L643" s="15" t="n">
        <v>2034</v>
      </c>
      <c r="M643" s="16" t="n">
        <v>0.7383419999999999</v>
      </c>
      <c r="N643" s="16" t="n">
        <v>0</v>
      </c>
      <c r="O643" s="16" t="n">
        <v>0</v>
      </c>
      <c r="P643" s="16" t="n">
        <v>0.7383419999999999</v>
      </c>
      <c r="Q643">
        <f>--($A643=IF('الداشبورد'!$B$5="الكل",$A643,'الداشبورد'!$B$5))</f>
        <v/>
      </c>
      <c r="R643">
        <f>--($E643=IF('الداشبورد'!$B$6="الكل",$E643,'الداشبورد'!$B$6))</f>
        <v/>
      </c>
      <c r="S643">
        <f>--($K643=IF('الداشبورد'!$B$7="الكل",$K643,IF('الداشبورد'!$B$7="تصدير","Y","N")))</f>
        <v/>
      </c>
      <c r="T643">
        <f>--($J643=IF('الداشبورد'!$B$8="الكل",$J643,IF('الداشبورد'!$B$8="AL","A","C")))</f>
        <v/>
      </c>
      <c r="U643">
        <f>--($I643=IF('الداشبورد'!$B$9="الكل",$I643,IF('الداشبورد'!$B$9="بدون حالة","P",'الداشبورد'!$B$9)))</f>
        <v/>
      </c>
      <c r="V643">
        <f>--($D643=IF('الداشبورد'!$B$10="الكل",$D643,'الداشبورد'!$B$10))</f>
        <v/>
      </c>
      <c r="W643">
        <f>--($G643=IF('الداشبورد'!$B$11="الكل",$G643,'الداشبورد'!$B$11))</f>
        <v/>
      </c>
      <c r="X643">
        <f>Q643*R643*S643*T643*U643*V643*W643*--($C643&lt;&gt;"")</f>
        <v/>
      </c>
    </row>
    <row r="644">
      <c r="A644" s="15" t="n">
        <v>6</v>
      </c>
      <c r="B644" s="15" t="inlineStr">
        <is>
          <t>P184862</t>
        </is>
      </c>
      <c r="C644" s="15" t="inlineStr">
        <is>
          <t>1385/26/10</t>
        </is>
      </c>
      <c r="D644" s="15" t="inlineStr">
        <is>
          <t>الشركة العربية للصناعة والتجارة الدولية</t>
        </is>
      </c>
      <c r="E644" s="15" t="inlineStr">
        <is>
          <t>LV</t>
        </is>
      </c>
      <c r="F644" s="15" t="inlineStr">
        <is>
          <t>0.6/1 KV 4*35</t>
        </is>
      </c>
      <c r="G644" s="15" t="inlineStr">
        <is>
          <t>EX13</t>
        </is>
      </c>
      <c r="H644" s="15" t="inlineStr">
        <is>
          <t>Wooden Drums</t>
        </is>
      </c>
      <c r="I644" s="15" t="inlineStr">
        <is>
          <t>OK</t>
        </is>
      </c>
      <c r="J644" s="15" t="inlineStr">
        <is>
          <t>A</t>
        </is>
      </c>
      <c r="K644" s="15" t="inlineStr">
        <is>
          <t>N</t>
        </is>
      </c>
      <c r="L644" s="15" t="n">
        <v>2069</v>
      </c>
      <c r="M644" s="16" t="n">
        <v>0.751047</v>
      </c>
      <c r="N644" s="16" t="n">
        <v>0</v>
      </c>
      <c r="O644" s="16" t="n">
        <v>0</v>
      </c>
      <c r="P644" s="16" t="n">
        <v>0.751047</v>
      </c>
      <c r="Q644">
        <f>--($A644=IF('الداشبورد'!$B$5="الكل",$A644,'الداشبورد'!$B$5))</f>
        <v/>
      </c>
      <c r="R644">
        <f>--($E644=IF('الداشبورد'!$B$6="الكل",$E644,'الداشبورد'!$B$6))</f>
        <v/>
      </c>
      <c r="S644">
        <f>--($K644=IF('الداشبورد'!$B$7="الكل",$K644,IF('الداشبورد'!$B$7="تصدير","Y","N")))</f>
        <v/>
      </c>
      <c r="T644">
        <f>--($J644=IF('الداشبورد'!$B$8="الكل",$J644,IF('الداشبورد'!$B$8="AL","A","C")))</f>
        <v/>
      </c>
      <c r="U644">
        <f>--($I644=IF('الداشبورد'!$B$9="الكل",$I644,IF('الداشبورد'!$B$9="بدون حالة","P",'الداشبورد'!$B$9)))</f>
        <v/>
      </c>
      <c r="V644">
        <f>--($D644=IF('الداشبورد'!$B$10="الكل",$D644,'الداشبورد'!$B$10))</f>
        <v/>
      </c>
      <c r="W644">
        <f>--($G644=IF('الداشبورد'!$B$11="الكل",$G644,'الداشبورد'!$B$11))</f>
        <v/>
      </c>
      <c r="X644">
        <f>Q644*R644*S644*T644*U644*V644*W644*--($C644&lt;&gt;"")</f>
        <v/>
      </c>
    </row>
    <row r="645">
      <c r="A645" s="15" t="n">
        <v>6</v>
      </c>
      <c r="B645" s="15" t="inlineStr">
        <is>
          <t>P183945</t>
        </is>
      </c>
      <c r="C645" s="15" t="inlineStr">
        <is>
          <t>1431/26/12</t>
        </is>
      </c>
      <c r="D645" s="15" t="inlineStr">
        <is>
          <t>Faber Kabel</t>
        </is>
      </c>
      <c r="E645" s="15" t="inlineStr">
        <is>
          <t>LV</t>
        </is>
      </c>
      <c r="F645" s="15" t="inlineStr">
        <is>
          <t>0.6/1 KV 5X240</t>
        </is>
      </c>
      <c r="G645" s="15" t="inlineStr">
        <is>
          <t>RW01</t>
        </is>
      </c>
      <c r="H645" s="15" t="inlineStr">
        <is>
          <t>Wooden Drums</t>
        </is>
      </c>
      <c r="I645" s="15" t="inlineStr">
        <is>
          <t>OK</t>
        </is>
      </c>
      <c r="J645" s="15" t="inlineStr">
        <is>
          <t>A</t>
        </is>
      </c>
      <c r="K645" s="15" t="inlineStr">
        <is>
          <t>Y</t>
        </is>
      </c>
      <c r="L645" s="15" t="n">
        <v>520</v>
      </c>
      <c r="M645" s="16" t="n">
        <v>1.67648</v>
      </c>
      <c r="N645" s="16" t="n">
        <v>0</v>
      </c>
      <c r="O645" s="16" t="n">
        <v>0</v>
      </c>
      <c r="P645" s="16" t="n">
        <v>1.67648</v>
      </c>
      <c r="Q645">
        <f>--($A645=IF('الداشبورد'!$B$5="الكل",$A645,'الداشبورد'!$B$5))</f>
        <v/>
      </c>
      <c r="R645">
        <f>--($E645=IF('الداشبورد'!$B$6="الكل",$E645,'الداشبورد'!$B$6))</f>
        <v/>
      </c>
      <c r="S645">
        <f>--($K645=IF('الداشبورد'!$B$7="الكل",$K645,IF('الداشبورد'!$B$7="تصدير","Y","N")))</f>
        <v/>
      </c>
      <c r="T645">
        <f>--($J645=IF('الداشبورد'!$B$8="الكل",$J645,IF('الداشبورد'!$B$8="AL","A","C")))</f>
        <v/>
      </c>
      <c r="U645">
        <f>--($I645=IF('الداشبورد'!$B$9="الكل",$I645,IF('الداشبورد'!$B$9="بدون حالة","P",'الداشبورد'!$B$9)))</f>
        <v/>
      </c>
      <c r="V645">
        <f>--($D645=IF('الداشبورد'!$B$10="الكل",$D645,'الداشبورد'!$B$10))</f>
        <v/>
      </c>
      <c r="W645">
        <f>--($G645=IF('الداشبورد'!$B$11="الكل",$G645,'الداشبورد'!$B$11))</f>
        <v/>
      </c>
      <c r="X645">
        <f>Q645*R645*S645*T645*U645*V645*W645*--($C645&lt;&gt;"")</f>
        <v/>
      </c>
    </row>
    <row r="646">
      <c r="A646" s="15" t="n">
        <v>6</v>
      </c>
      <c r="B646" s="15" t="inlineStr">
        <is>
          <t>37921</t>
        </is>
      </c>
      <c r="C646" s="15" t="inlineStr">
        <is>
          <t>1659/26/13</t>
        </is>
      </c>
      <c r="D646" s="15" t="inlineStr">
        <is>
          <t>Energya El Sewedy Helal International Limited – Ke</t>
        </is>
      </c>
      <c r="E646" s="15" t="inlineStr">
        <is>
          <t>CC</t>
        </is>
      </c>
      <c r="F646" s="15" t="inlineStr">
        <is>
          <t>300/500 V 2X1.5</t>
        </is>
      </c>
      <c r="G646" s="15" t="inlineStr">
        <is>
          <t>CO03</t>
        </is>
      </c>
      <c r="H646" s="15" t="inlineStr">
        <is>
          <t>Air coil 90 m</t>
        </is>
      </c>
      <c r="I646" s="15" t="inlineStr">
        <is>
          <t>OK</t>
        </is>
      </c>
      <c r="J646" s="15" t="inlineStr">
        <is>
          <t>C</t>
        </is>
      </c>
      <c r="K646" s="15" t="inlineStr">
        <is>
          <t>Y</t>
        </is>
      </c>
      <c r="L646" s="15" t="n">
        <v>4950</v>
      </c>
      <c r="M646" s="16" t="n">
        <v>0.1188</v>
      </c>
      <c r="N646" s="16" t="n">
        <v>0</v>
      </c>
      <c r="O646" s="16" t="n">
        <v>0</v>
      </c>
      <c r="P646" s="16" t="n">
        <v>0.1188</v>
      </c>
      <c r="Q646">
        <f>--($A646=IF('الداشبورد'!$B$5="الكل",$A646,'الداشبورد'!$B$5))</f>
        <v/>
      </c>
      <c r="R646">
        <f>--($E646=IF('الداشبورد'!$B$6="الكل",$E646,'الداشبورد'!$B$6))</f>
        <v/>
      </c>
      <c r="S646">
        <f>--($K646=IF('الداشبورد'!$B$7="الكل",$K646,IF('الداشبورد'!$B$7="تصدير","Y","N")))</f>
        <v/>
      </c>
      <c r="T646">
        <f>--($J646=IF('الداشبورد'!$B$8="الكل",$J646,IF('الداشبورد'!$B$8="AL","A","C")))</f>
        <v/>
      </c>
      <c r="U646">
        <f>--($I646=IF('الداشبورد'!$B$9="الكل",$I646,IF('الداشبورد'!$B$9="بدون حالة","P",'الداشبورد'!$B$9)))</f>
        <v/>
      </c>
      <c r="V646">
        <f>--($D646=IF('الداشبورد'!$B$10="الكل",$D646,'الداشبورد'!$B$10))</f>
        <v/>
      </c>
      <c r="W646">
        <f>--($G646=IF('الداشبورد'!$B$11="الكل",$G646,'الداشبورد'!$B$11))</f>
        <v/>
      </c>
      <c r="X646">
        <f>Q646*R646*S646*T646*U646*V646*W646*--($C646&lt;&gt;"")</f>
        <v/>
      </c>
    </row>
    <row r="647">
      <c r="A647" s="15" t="n">
        <v>6</v>
      </c>
      <c r="B647" s="15" t="inlineStr">
        <is>
          <t>37920</t>
        </is>
      </c>
      <c r="C647" s="15" t="inlineStr">
        <is>
          <t>1659/26/13</t>
        </is>
      </c>
      <c r="D647" s="15" t="inlineStr">
        <is>
          <t>Energya El Sewedy Helal International Limited – Ke</t>
        </is>
      </c>
      <c r="E647" s="15" t="inlineStr">
        <is>
          <t>CC</t>
        </is>
      </c>
      <c r="F647" s="15" t="inlineStr">
        <is>
          <t>300/500 V 2X1.5</t>
        </is>
      </c>
      <c r="G647" s="15" t="inlineStr">
        <is>
          <t>CO03</t>
        </is>
      </c>
      <c r="H647" s="15" t="inlineStr">
        <is>
          <t>Air coil 90 m</t>
        </is>
      </c>
      <c r="I647" s="15" t="inlineStr">
        <is>
          <t>OK</t>
        </is>
      </c>
      <c r="J647" s="15" t="inlineStr">
        <is>
          <t>C</t>
        </is>
      </c>
      <c r="K647" s="15" t="inlineStr">
        <is>
          <t>Y</t>
        </is>
      </c>
      <c r="L647" s="15" t="n">
        <v>5400</v>
      </c>
      <c r="M647" s="16" t="n">
        <v>0.1296</v>
      </c>
      <c r="N647" s="16" t="n">
        <v>0</v>
      </c>
      <c r="O647" s="16" t="n">
        <v>0</v>
      </c>
      <c r="P647" s="16" t="n">
        <v>0.1296</v>
      </c>
      <c r="Q647">
        <f>--($A647=IF('الداشبورد'!$B$5="الكل",$A647,'الداشبورد'!$B$5))</f>
        <v/>
      </c>
      <c r="R647">
        <f>--($E647=IF('الداشبورد'!$B$6="الكل",$E647,'الداشبورد'!$B$6))</f>
        <v/>
      </c>
      <c r="S647">
        <f>--($K647=IF('الداشبورد'!$B$7="الكل",$K647,IF('الداشبورد'!$B$7="تصدير","Y","N")))</f>
        <v/>
      </c>
      <c r="T647">
        <f>--($J647=IF('الداشبورد'!$B$8="الكل",$J647,IF('الداشبورد'!$B$8="AL","A","C")))</f>
        <v/>
      </c>
      <c r="U647">
        <f>--($I647=IF('الداشبورد'!$B$9="الكل",$I647,IF('الداشبورد'!$B$9="بدون حالة","P",'الداشبورد'!$B$9)))</f>
        <v/>
      </c>
      <c r="V647">
        <f>--($D647=IF('الداشبورد'!$B$10="الكل",$D647,'الداشبورد'!$B$10))</f>
        <v/>
      </c>
      <c r="W647">
        <f>--($G647=IF('الداشبورد'!$B$11="الكل",$G647,'الداشبورد'!$B$11))</f>
        <v/>
      </c>
      <c r="X647">
        <f>Q647*R647*S647*T647*U647*V647*W647*--($C647&lt;&gt;"")</f>
        <v/>
      </c>
    </row>
    <row r="648">
      <c r="A648" s="15" t="n">
        <v>6</v>
      </c>
      <c r="B648" s="15" t="inlineStr">
        <is>
          <t>H184897</t>
        </is>
      </c>
      <c r="C648" s="15" t="inlineStr">
        <is>
          <t>1549/26/11</t>
        </is>
      </c>
      <c r="D648" s="15" t="inlineStr">
        <is>
          <t>Next Technologies Limited</t>
        </is>
      </c>
      <c r="E648" s="15" t="inlineStr">
        <is>
          <t>LV</t>
        </is>
      </c>
      <c r="F648" s="15" t="inlineStr">
        <is>
          <t>0.6/1 KV 4X120</t>
        </is>
      </c>
      <c r="G648" s="15" t="inlineStr">
        <is>
          <t>EX08</t>
        </is>
      </c>
      <c r="H648" s="15" t="inlineStr">
        <is>
          <t>Wooden Drums</t>
        </is>
      </c>
      <c r="I648" s="15" t="inlineStr">
        <is>
          <t>OK</t>
        </is>
      </c>
      <c r="J648" s="15" t="inlineStr">
        <is>
          <t>C</t>
        </is>
      </c>
      <c r="K648" s="15" t="inlineStr">
        <is>
          <t>Y</t>
        </is>
      </c>
      <c r="L648" s="15" t="n">
        <v>131</v>
      </c>
      <c r="M648" s="16" t="n">
        <v>0.5439120000000001</v>
      </c>
      <c r="N648" s="16" t="n">
        <v>0</v>
      </c>
      <c r="O648" s="16" t="n">
        <v>0</v>
      </c>
      <c r="P648" s="16" t="n">
        <v>0.5439120000000001</v>
      </c>
      <c r="Q648">
        <f>--($A648=IF('الداشبورد'!$B$5="الكل",$A648,'الداشبورد'!$B$5))</f>
        <v/>
      </c>
      <c r="R648">
        <f>--($E648=IF('الداشبورد'!$B$6="الكل",$E648,'الداشبورد'!$B$6))</f>
        <v/>
      </c>
      <c r="S648">
        <f>--($K648=IF('الداشبورد'!$B$7="الكل",$K648,IF('الداشبورد'!$B$7="تصدير","Y","N")))</f>
        <v/>
      </c>
      <c r="T648">
        <f>--($J648=IF('الداشبورد'!$B$8="الكل",$J648,IF('الداشبورد'!$B$8="AL","A","C")))</f>
        <v/>
      </c>
      <c r="U648">
        <f>--($I648=IF('الداشبورد'!$B$9="الكل",$I648,IF('الداشبورد'!$B$9="بدون حالة","P",'الداشبورد'!$B$9)))</f>
        <v/>
      </c>
      <c r="V648">
        <f>--($D648=IF('الداشبورد'!$B$10="الكل",$D648,'الداشبورد'!$B$10))</f>
        <v/>
      </c>
      <c r="W648">
        <f>--($G648=IF('الداشبورد'!$B$11="الكل",$G648,'الداشبورد'!$B$11))</f>
        <v/>
      </c>
      <c r="X648">
        <f>Q648*R648*S648*T648*U648*V648*W648*--($C648&lt;&gt;"")</f>
        <v/>
      </c>
    </row>
    <row r="649">
      <c r="A649" s="15" t="n">
        <v>6</v>
      </c>
      <c r="B649" s="15" t="inlineStr">
        <is>
          <t>J184825</t>
        </is>
      </c>
      <c r="C649" s="15" t="inlineStr">
        <is>
          <t>1663/26/02</t>
        </is>
      </c>
      <c r="D649" s="15" t="inlineStr">
        <is>
          <t>مؤسسة جبريل هانى جبريل احمد</t>
        </is>
      </c>
      <c r="E649" s="15" t="inlineStr">
        <is>
          <t>LV</t>
        </is>
      </c>
      <c r="F649" s="15" t="inlineStr">
        <is>
          <t>0.6/1 KV 5X4</t>
        </is>
      </c>
      <c r="G649" s="15" t="inlineStr">
        <is>
          <t>EX14</t>
        </is>
      </c>
      <c r="H649" s="15" t="inlineStr">
        <is>
          <t>Wooden Drums</t>
        </is>
      </c>
      <c r="I649" s="15" t="inlineStr">
        <is>
          <t>OK</t>
        </is>
      </c>
      <c r="J649" s="15" t="inlineStr">
        <is>
          <t>C</t>
        </is>
      </c>
      <c r="K649" s="15" t="inlineStr">
        <is>
          <t>N</t>
        </is>
      </c>
      <c r="L649" s="15" t="n">
        <v>5050</v>
      </c>
      <c r="M649" s="16" t="n">
        <v>0.8989</v>
      </c>
      <c r="N649" s="16" t="n">
        <v>0</v>
      </c>
      <c r="O649" s="16" t="n">
        <v>0</v>
      </c>
      <c r="P649" s="16" t="n">
        <v>0.8989</v>
      </c>
      <c r="Q649">
        <f>--($A649=IF('الداشبورد'!$B$5="الكل",$A649,'الداشبورد'!$B$5))</f>
        <v/>
      </c>
      <c r="R649">
        <f>--($E649=IF('الداشبورد'!$B$6="الكل",$E649,'الداشبورد'!$B$6))</f>
        <v/>
      </c>
      <c r="S649">
        <f>--($K649=IF('الداشبورد'!$B$7="الكل",$K649,IF('الداشبورد'!$B$7="تصدير","Y","N")))</f>
        <v/>
      </c>
      <c r="T649">
        <f>--($J649=IF('الداشبورد'!$B$8="الكل",$J649,IF('الداشبورد'!$B$8="AL","A","C")))</f>
        <v/>
      </c>
      <c r="U649">
        <f>--($I649=IF('الداشبورد'!$B$9="الكل",$I649,IF('الداشبورد'!$B$9="بدون حالة","P",'الداشبورد'!$B$9)))</f>
        <v/>
      </c>
      <c r="V649">
        <f>--($D649=IF('الداشبورد'!$B$10="الكل",$D649,'الداشبورد'!$B$10))</f>
        <v/>
      </c>
      <c r="W649">
        <f>--($G649=IF('الداشبورد'!$B$11="الكل",$G649,'الداشبورد'!$B$11))</f>
        <v/>
      </c>
      <c r="X649">
        <f>Q649*R649*S649*T649*U649*V649*W649*--($C649&lt;&gt;"")</f>
        <v/>
      </c>
    </row>
    <row r="650">
      <c r="A650" s="15" t="n">
        <v>6</v>
      </c>
      <c r="B650" s="15" t="inlineStr">
        <is>
          <t>J184817</t>
        </is>
      </c>
      <c r="C650" s="15" t="inlineStr">
        <is>
          <t>1663/26/02</t>
        </is>
      </c>
      <c r="D650" s="15" t="inlineStr">
        <is>
          <t>مؤسسة جبريل هانى جبريل احمد</t>
        </is>
      </c>
      <c r="E650" s="15" t="inlineStr">
        <is>
          <t>LV</t>
        </is>
      </c>
      <c r="F650" s="15" t="inlineStr">
        <is>
          <t>0.6/1 KV 5X4</t>
        </is>
      </c>
      <c r="G650" s="15" t="inlineStr">
        <is>
          <t>EX14</t>
        </is>
      </c>
      <c r="H650" s="15" t="inlineStr">
        <is>
          <t>Wooden Drums</t>
        </is>
      </c>
      <c r="I650" s="15" t="inlineStr">
        <is>
          <t>OK</t>
        </is>
      </c>
      <c r="J650" s="15" t="inlineStr">
        <is>
          <t>C</t>
        </is>
      </c>
      <c r="K650" s="15" t="inlineStr">
        <is>
          <t>N</t>
        </is>
      </c>
      <c r="L650" s="15" t="n">
        <v>4987</v>
      </c>
      <c r="M650" s="16" t="n">
        <v>0.887686</v>
      </c>
      <c r="N650" s="16" t="n">
        <v>0</v>
      </c>
      <c r="O650" s="16" t="n">
        <v>0</v>
      </c>
      <c r="P650" s="16" t="n">
        <v>0.887686</v>
      </c>
      <c r="Q650">
        <f>--($A650=IF('الداشبورد'!$B$5="الكل",$A650,'الداشبورد'!$B$5))</f>
        <v/>
      </c>
      <c r="R650">
        <f>--($E650=IF('الداشبورد'!$B$6="الكل",$E650,'الداشبورد'!$B$6))</f>
        <v/>
      </c>
      <c r="S650">
        <f>--($K650=IF('الداشبورد'!$B$7="الكل",$K650,IF('الداشبورد'!$B$7="تصدير","Y","N")))</f>
        <v/>
      </c>
      <c r="T650">
        <f>--($J650=IF('الداشبورد'!$B$8="الكل",$J650,IF('الداشبورد'!$B$8="AL","A","C")))</f>
        <v/>
      </c>
      <c r="U650">
        <f>--($I650=IF('الداشبورد'!$B$9="الكل",$I650,IF('الداشبورد'!$B$9="بدون حالة","P",'الداشبورد'!$B$9)))</f>
        <v/>
      </c>
      <c r="V650">
        <f>--($D650=IF('الداشبورد'!$B$10="الكل",$D650,'الداشبورد'!$B$10))</f>
        <v/>
      </c>
      <c r="W650">
        <f>--($G650=IF('الداشبورد'!$B$11="الكل",$G650,'الداشبورد'!$B$11))</f>
        <v/>
      </c>
      <c r="X650">
        <f>Q650*R650*S650*T650*U650*V650*W650*--($C650&lt;&gt;"")</f>
        <v/>
      </c>
    </row>
    <row r="651">
      <c r="A651" s="15" t="n">
        <v>6</v>
      </c>
      <c r="B651" s="15" t="inlineStr">
        <is>
          <t>G184791</t>
        </is>
      </c>
      <c r="C651" s="15" t="inlineStr">
        <is>
          <t>1663/26/02</t>
        </is>
      </c>
      <c r="D651" s="15" t="inlineStr">
        <is>
          <t>مؤسسة جبريل هانى جبريل احمد</t>
        </is>
      </c>
      <c r="E651" s="15" t="inlineStr">
        <is>
          <t>LV</t>
        </is>
      </c>
      <c r="F651" s="15" t="inlineStr">
        <is>
          <t>0.6/1 KV 5X4</t>
        </is>
      </c>
      <c r="G651" s="15" t="inlineStr">
        <is>
          <t>EX14</t>
        </is>
      </c>
      <c r="H651" s="15" t="inlineStr">
        <is>
          <t>Wooden Drums</t>
        </is>
      </c>
      <c r="I651" s="15" t="inlineStr">
        <is>
          <t>P</t>
        </is>
      </c>
      <c r="J651" s="15" t="inlineStr">
        <is>
          <t>C</t>
        </is>
      </c>
      <c r="K651" s="15" t="inlineStr">
        <is>
          <t>N</t>
        </is>
      </c>
      <c r="L651" s="15" t="n">
        <v>716</v>
      </c>
      <c r="M651" s="16" t="n">
        <v>0.127448</v>
      </c>
      <c r="N651" s="16" t="n">
        <v>0</v>
      </c>
      <c r="O651" s="16" t="n">
        <v>0</v>
      </c>
      <c r="P651" s="16" t="n">
        <v>0.127448</v>
      </c>
      <c r="Q651">
        <f>--($A651=IF('الداشبورد'!$B$5="الكل",$A651,'الداشبورد'!$B$5))</f>
        <v/>
      </c>
      <c r="R651">
        <f>--($E651=IF('الداشبورد'!$B$6="الكل",$E651,'الداشبورد'!$B$6))</f>
        <v/>
      </c>
      <c r="S651">
        <f>--($K651=IF('الداشبورد'!$B$7="الكل",$K651,IF('الداشبورد'!$B$7="تصدير","Y","N")))</f>
        <v/>
      </c>
      <c r="T651">
        <f>--($J651=IF('الداشبورد'!$B$8="الكل",$J651,IF('الداشبورد'!$B$8="AL","A","C")))</f>
        <v/>
      </c>
      <c r="U651">
        <f>--($I651=IF('الداشبورد'!$B$9="الكل",$I651,IF('الداشبورد'!$B$9="بدون حالة","P",'الداشبورد'!$B$9)))</f>
        <v/>
      </c>
      <c r="V651">
        <f>--($D651=IF('الداشبورد'!$B$10="الكل",$D651,'الداشبورد'!$B$10))</f>
        <v/>
      </c>
      <c r="W651">
        <f>--($G651=IF('الداشبورد'!$B$11="الكل",$G651,'الداشبورد'!$B$11))</f>
        <v/>
      </c>
      <c r="X651">
        <f>Q651*R651*S651*T651*U651*V651*W651*--($C651&lt;&gt;"")</f>
        <v/>
      </c>
    </row>
    <row r="652">
      <c r="A652" s="15" t="n">
        <v>6</v>
      </c>
      <c r="B652" s="15" t="inlineStr">
        <is>
          <t>J184359</t>
        </is>
      </c>
      <c r="C652" s="15" t="inlineStr">
        <is>
          <t>1761/26/11</t>
        </is>
      </c>
      <c r="D652" s="15" t="inlineStr">
        <is>
          <t>دار العالمية للتشييد والبناء</t>
        </is>
      </c>
      <c r="E652" s="15" t="inlineStr">
        <is>
          <t>CC</t>
        </is>
      </c>
      <c r="F652" s="15" t="inlineStr">
        <is>
          <t>0.6/1 KV 3X3</t>
        </is>
      </c>
      <c r="G652" s="15" t="inlineStr">
        <is>
          <t>EX14</t>
        </is>
      </c>
      <c r="H652" s="15" t="inlineStr">
        <is>
          <t>Wooden Drums</t>
        </is>
      </c>
      <c r="I652" s="15" t="inlineStr">
        <is>
          <t>OK</t>
        </is>
      </c>
      <c r="J652" s="15" t="inlineStr">
        <is>
          <t>C</t>
        </is>
      </c>
      <c r="K652" s="15" t="inlineStr">
        <is>
          <t>N</t>
        </is>
      </c>
      <c r="L652" s="15" t="n">
        <v>5049</v>
      </c>
      <c r="M652" s="16" t="n">
        <v>0.398871</v>
      </c>
      <c r="N652" s="16" t="n">
        <v>0</v>
      </c>
      <c r="O652" s="16" t="n">
        <v>0</v>
      </c>
      <c r="P652" s="16" t="n">
        <v>0.398871</v>
      </c>
      <c r="Q652">
        <f>--($A652=IF('الداشبورد'!$B$5="الكل",$A652,'الداشبورد'!$B$5))</f>
        <v/>
      </c>
      <c r="R652">
        <f>--($E652=IF('الداشبورد'!$B$6="الكل",$E652,'الداشبورد'!$B$6))</f>
        <v/>
      </c>
      <c r="S652">
        <f>--($K652=IF('الداشبورد'!$B$7="الكل",$K652,IF('الداشبورد'!$B$7="تصدير","Y","N")))</f>
        <v/>
      </c>
      <c r="T652">
        <f>--($J652=IF('الداشبورد'!$B$8="الكل",$J652,IF('الداشبورد'!$B$8="AL","A","C")))</f>
        <v/>
      </c>
      <c r="U652">
        <f>--($I652=IF('الداشبورد'!$B$9="الكل",$I652,IF('الداشبورد'!$B$9="بدون حالة","P",'الداشبورد'!$B$9)))</f>
        <v/>
      </c>
      <c r="V652">
        <f>--($D652=IF('الداشبورد'!$B$10="الكل",$D652,'الداشبورد'!$B$10))</f>
        <v/>
      </c>
      <c r="W652">
        <f>--($G652=IF('الداشبورد'!$B$11="الكل",$G652,'الداشبورد'!$B$11))</f>
        <v/>
      </c>
      <c r="X652">
        <f>Q652*R652*S652*T652*U652*V652*W652*--($C652&lt;&gt;"")</f>
        <v/>
      </c>
    </row>
    <row r="653">
      <c r="A653" s="15" t="n">
        <v>4</v>
      </c>
      <c r="B653" s="15" t="inlineStr">
        <is>
          <t>P184598</t>
        </is>
      </c>
      <c r="C653" s="15" t="inlineStr">
        <is>
          <t>1200/26/03</t>
        </is>
      </c>
      <c r="D653" s="15" t="inlineStr">
        <is>
          <t>INSELL</t>
        </is>
      </c>
      <c r="E653" s="15" t="inlineStr">
        <is>
          <t>MV</t>
        </is>
      </c>
      <c r="F653" s="15" t="inlineStr">
        <is>
          <t>12/20 KV 1X150/25</t>
        </is>
      </c>
      <c r="G653" s="15" t="inlineStr">
        <is>
          <t>EX05</t>
        </is>
      </c>
      <c r="H653" s="15" t="inlineStr">
        <is>
          <t>Wooden Drums</t>
        </is>
      </c>
      <c r="I653" s="15" t="inlineStr">
        <is>
          <t>OK</t>
        </is>
      </c>
      <c r="J653" s="15" t="inlineStr">
        <is>
          <t>A</t>
        </is>
      </c>
      <c r="K653" s="15" t="inlineStr">
        <is>
          <t>Y</t>
        </is>
      </c>
      <c r="L653" s="15" t="n">
        <v>2001</v>
      </c>
      <c r="M653" s="16" t="n">
        <v>0.78039</v>
      </c>
      <c r="N653" s="16" t="n">
        <v>0.906453</v>
      </c>
      <c r="O653" s="16" t="n">
        <v>0</v>
      </c>
      <c r="P653" s="16" t="n">
        <v>1.686843</v>
      </c>
      <c r="Q653">
        <f>--($A653=IF('الداشبورد'!$B$5="الكل",$A653,'الداشبورد'!$B$5))</f>
        <v/>
      </c>
      <c r="R653">
        <f>--($E653=IF('الداشبورد'!$B$6="الكل",$E653,'الداشبورد'!$B$6))</f>
        <v/>
      </c>
      <c r="S653">
        <f>--($K653=IF('الداشبورد'!$B$7="الكل",$K653,IF('الداشبورد'!$B$7="تصدير","Y","N")))</f>
        <v/>
      </c>
      <c r="T653">
        <f>--($J653=IF('الداشبورد'!$B$8="الكل",$J653,IF('الداشبورد'!$B$8="AL","A","C")))</f>
        <v/>
      </c>
      <c r="U653">
        <f>--($I653=IF('الداشبورد'!$B$9="الكل",$I653,IF('الداشبورد'!$B$9="بدون حالة","P",'الداشبورد'!$B$9)))</f>
        <v/>
      </c>
      <c r="V653">
        <f>--($D653=IF('الداشبورد'!$B$10="الكل",$D653,'الداشبورد'!$B$10))</f>
        <v/>
      </c>
      <c r="W653">
        <f>--($G653=IF('الداشبورد'!$B$11="الكل",$G653,'الداشبورد'!$B$11))</f>
        <v/>
      </c>
      <c r="X653">
        <f>Q653*R653*S653*T653*U653*V653*W653*--($C653&lt;&gt;"")</f>
        <v/>
      </c>
    </row>
    <row r="654">
      <c r="A654" s="15" t="n">
        <v>2</v>
      </c>
      <c r="B654" s="15" t="inlineStr">
        <is>
          <t>S184292</t>
        </is>
      </c>
      <c r="C654" s="15" t="inlineStr">
        <is>
          <t>1279/26/01</t>
        </is>
      </c>
      <c r="D654" s="15" t="inlineStr">
        <is>
          <t>Eland Cables</t>
        </is>
      </c>
      <c r="E654" s="15" t="inlineStr">
        <is>
          <t>MV</t>
        </is>
      </c>
      <c r="F654" s="15" t="inlineStr">
        <is>
          <t>19/33 KV 3X1X185</t>
        </is>
      </c>
      <c r="G654" s="15" t="inlineStr">
        <is>
          <t>RW01</t>
        </is>
      </c>
      <c r="H654" s="15" t="inlineStr">
        <is>
          <t>Wooden Drums</t>
        </is>
      </c>
      <c r="I654" s="15" t="inlineStr">
        <is>
          <t>OK</t>
        </is>
      </c>
      <c r="J654" s="15" t="inlineStr">
        <is>
          <t>A</t>
        </is>
      </c>
      <c r="K654" s="15" t="inlineStr">
        <is>
          <t>Y</t>
        </is>
      </c>
      <c r="L654" s="15" t="n">
        <v>510</v>
      </c>
      <c r="M654" s="16" t="n">
        <v>0.73185</v>
      </c>
      <c r="N654" s="16" t="n">
        <v>0.48858</v>
      </c>
      <c r="O654" s="16" t="n">
        <v>0</v>
      </c>
      <c r="P654" s="16" t="n">
        <v>1.22043</v>
      </c>
      <c r="Q654">
        <f>--($A654=IF('الداشبورد'!$B$5="الكل",$A654,'الداشبورد'!$B$5))</f>
        <v/>
      </c>
      <c r="R654">
        <f>--($E654=IF('الداشبورد'!$B$6="الكل",$E654,'الداشبورد'!$B$6))</f>
        <v/>
      </c>
      <c r="S654">
        <f>--($K654=IF('الداشبورد'!$B$7="الكل",$K654,IF('الداشبورد'!$B$7="تصدير","Y","N")))</f>
        <v/>
      </c>
      <c r="T654">
        <f>--($J654=IF('الداشبورد'!$B$8="الكل",$J654,IF('الداشبورد'!$B$8="AL","A","C")))</f>
        <v/>
      </c>
      <c r="U654">
        <f>--($I654=IF('الداشبورد'!$B$9="الكل",$I654,IF('الداشبورد'!$B$9="بدون حالة","P",'الداشبورد'!$B$9)))</f>
        <v/>
      </c>
      <c r="V654">
        <f>--($D654=IF('الداشبورد'!$B$10="الكل",$D654,'الداشبورد'!$B$10))</f>
        <v/>
      </c>
      <c r="W654">
        <f>--($G654=IF('الداشبورد'!$B$11="الكل",$G654,'الداشبورد'!$B$11))</f>
        <v/>
      </c>
      <c r="X654">
        <f>Q654*R654*S654*T654*U654*V654*W654*--($C654&lt;&gt;"")</f>
        <v/>
      </c>
    </row>
    <row r="655">
      <c r="A655" s="15" t="n">
        <v>3</v>
      </c>
      <c r="B655" s="15" t="inlineStr">
        <is>
          <t>A184876</t>
        </is>
      </c>
      <c r="C655" s="15" t="inlineStr">
        <is>
          <t>1550/26/21</t>
        </is>
      </c>
      <c r="D655" s="15" t="inlineStr">
        <is>
          <t>Master Power Systems  Ltd</t>
        </is>
      </c>
      <c r="E655" s="15" t="inlineStr">
        <is>
          <t>LV</t>
        </is>
      </c>
      <c r="F655" s="15" t="inlineStr">
        <is>
          <t>450/750 V 1X70</t>
        </is>
      </c>
      <c r="G655" s="15" t="inlineStr">
        <is>
          <t>EX01</t>
        </is>
      </c>
      <c r="H655" s="15" t="inlineStr">
        <is>
          <t>Wooden Drums</t>
        </is>
      </c>
      <c r="I655" s="15" t="inlineStr">
        <is>
          <t>OK</t>
        </is>
      </c>
      <c r="J655" s="15" t="inlineStr">
        <is>
          <t>A</t>
        </is>
      </c>
      <c r="K655" s="15" t="inlineStr">
        <is>
          <t>Y</t>
        </is>
      </c>
      <c r="L655" s="15" t="n">
        <v>147</v>
      </c>
      <c r="M655" s="16" t="n">
        <v>0.025578</v>
      </c>
      <c r="N655" s="16" t="n">
        <v>0</v>
      </c>
      <c r="O655" s="16" t="n">
        <v>0</v>
      </c>
      <c r="P655" s="16" t="n">
        <v>0.025578</v>
      </c>
      <c r="Q655">
        <f>--($A655=IF('الداشبورد'!$B$5="الكل",$A655,'الداشبورد'!$B$5))</f>
        <v/>
      </c>
      <c r="R655">
        <f>--($E655=IF('الداشبورد'!$B$6="الكل",$E655,'الداشبورد'!$B$6))</f>
        <v/>
      </c>
      <c r="S655">
        <f>--($K655=IF('الداشبورد'!$B$7="الكل",$K655,IF('الداشبورد'!$B$7="تصدير","Y","N")))</f>
        <v/>
      </c>
      <c r="T655">
        <f>--($J655=IF('الداشبورد'!$B$8="الكل",$J655,IF('الداشبورد'!$B$8="AL","A","C")))</f>
        <v/>
      </c>
      <c r="U655">
        <f>--($I655=IF('الداشبورد'!$B$9="الكل",$I655,IF('الداشبورد'!$B$9="بدون حالة","P",'الداشبورد'!$B$9)))</f>
        <v/>
      </c>
      <c r="V655">
        <f>--($D655=IF('الداشبورد'!$B$10="الكل",$D655,'الداشبورد'!$B$10))</f>
        <v/>
      </c>
      <c r="W655">
        <f>--($G655=IF('الداشبورد'!$B$11="الكل",$G655,'الداشبورد'!$B$11))</f>
        <v/>
      </c>
      <c r="X655">
        <f>Q655*R655*S655*T655*U655*V655*W655*--($C655&lt;&gt;"")</f>
        <v/>
      </c>
    </row>
    <row r="656">
      <c r="A656" s="15" t="n">
        <v>6</v>
      </c>
      <c r="B656" s="15" t="inlineStr">
        <is>
          <t>37922</t>
        </is>
      </c>
      <c r="C656" s="15" t="inlineStr">
        <is>
          <t>1659/26/14</t>
        </is>
      </c>
      <c r="D656" s="15" t="inlineStr">
        <is>
          <t>Energya El Sewedy Helal International Limited – Ke</t>
        </is>
      </c>
      <c r="E656" s="15" t="inlineStr">
        <is>
          <t>LV</t>
        </is>
      </c>
      <c r="F656" s="15" t="inlineStr">
        <is>
          <t>300/500 V 2X2.5</t>
        </is>
      </c>
      <c r="G656" s="15" t="inlineStr">
        <is>
          <t>CO03</t>
        </is>
      </c>
      <c r="H656" s="15" t="inlineStr">
        <is>
          <t>Air coil 90 m</t>
        </is>
      </c>
      <c r="I656" s="15" t="inlineStr">
        <is>
          <t>OK</t>
        </is>
      </c>
      <c r="J656" s="15" t="inlineStr">
        <is>
          <t>C</t>
        </is>
      </c>
      <c r="K656" s="15" t="inlineStr">
        <is>
          <t>Y</t>
        </is>
      </c>
      <c r="L656" s="15" t="n">
        <v>3780</v>
      </c>
      <c r="M656" s="16" t="n">
        <v>0.15876</v>
      </c>
      <c r="N656" s="16" t="n">
        <v>0</v>
      </c>
      <c r="O656" s="16" t="n">
        <v>0</v>
      </c>
      <c r="P656" s="16" t="n">
        <v>0.15876</v>
      </c>
      <c r="Q656">
        <f>--($A656=IF('الداشبورد'!$B$5="الكل",$A656,'الداشبورد'!$B$5))</f>
        <v/>
      </c>
      <c r="R656">
        <f>--($E656=IF('الداشبورد'!$B$6="الكل",$E656,'الداشبورد'!$B$6))</f>
        <v/>
      </c>
      <c r="S656">
        <f>--($K656=IF('الداشبورد'!$B$7="الكل",$K656,IF('الداشبورد'!$B$7="تصدير","Y","N")))</f>
        <v/>
      </c>
      <c r="T656">
        <f>--($J656=IF('الداشبورد'!$B$8="الكل",$J656,IF('الداشبورد'!$B$8="AL","A","C")))</f>
        <v/>
      </c>
      <c r="U656">
        <f>--($I656=IF('الداشبورد'!$B$9="الكل",$I656,IF('الداشبورد'!$B$9="بدون حالة","P",'الداشبورد'!$B$9)))</f>
        <v/>
      </c>
      <c r="V656">
        <f>--($D656=IF('الداشبورد'!$B$10="الكل",$D656,'الداشبورد'!$B$10))</f>
        <v/>
      </c>
      <c r="W656">
        <f>--($G656=IF('الداشبورد'!$B$11="الكل",$G656,'الداشبورد'!$B$11))</f>
        <v/>
      </c>
      <c r="X656">
        <f>Q656*R656*S656*T656*U656*V656*W656*--($C656&lt;&gt;"")</f>
        <v/>
      </c>
    </row>
    <row r="657">
      <c r="A657" s="15" t="n">
        <v>5</v>
      </c>
      <c r="B657" s="15" t="inlineStr">
        <is>
          <t>G184663</t>
        </is>
      </c>
      <c r="C657" s="15" t="inlineStr">
        <is>
          <t>645/26/02</t>
        </is>
      </c>
      <c r="D657" s="15" t="inlineStr">
        <is>
          <t>Vigo trgovina d.o.o.</t>
        </is>
      </c>
      <c r="E657" s="15" t="inlineStr">
        <is>
          <t>LV</t>
        </is>
      </c>
      <c r="F657" s="15" t="inlineStr">
        <is>
          <t>0.6/1 KV 4X50</t>
        </is>
      </c>
      <c r="G657" s="15" t="inlineStr">
        <is>
          <t>EX03</t>
        </is>
      </c>
      <c r="H657" s="15" t="inlineStr">
        <is>
          <t>Wooden Drums</t>
        </is>
      </c>
      <c r="I657" s="15" t="inlineStr">
        <is>
          <t>OK</t>
        </is>
      </c>
      <c r="J657" s="15" t="inlineStr">
        <is>
          <t>A</t>
        </is>
      </c>
      <c r="K657" s="15" t="inlineStr">
        <is>
          <t>Y</t>
        </is>
      </c>
      <c r="L657" s="15" t="n">
        <v>510</v>
      </c>
      <c r="M657" s="16" t="n">
        <v>0.24174</v>
      </c>
      <c r="N657" s="16" t="n">
        <v>0</v>
      </c>
      <c r="O657" s="16" t="n">
        <v>0</v>
      </c>
      <c r="P657" s="16" t="n">
        <v>0.24174</v>
      </c>
      <c r="Q657">
        <f>--($A657=IF('الداشبورد'!$B$5="الكل",$A657,'الداشبورد'!$B$5))</f>
        <v/>
      </c>
      <c r="R657">
        <f>--($E657=IF('الداشبورد'!$B$6="الكل",$E657,'الداشبورد'!$B$6))</f>
        <v/>
      </c>
      <c r="S657">
        <f>--($K657=IF('الداشبورد'!$B$7="الكل",$K657,IF('الداشبورد'!$B$7="تصدير","Y","N")))</f>
        <v/>
      </c>
      <c r="T657">
        <f>--($J657=IF('الداشبورد'!$B$8="الكل",$J657,IF('الداشبورد'!$B$8="AL","A","C")))</f>
        <v/>
      </c>
      <c r="U657">
        <f>--($I657=IF('الداشبورد'!$B$9="الكل",$I657,IF('الداشبورد'!$B$9="بدون حالة","P",'الداشبورد'!$B$9)))</f>
        <v/>
      </c>
      <c r="V657">
        <f>--($D657=IF('الداشبورد'!$B$10="الكل",$D657,'الداشبورد'!$B$10))</f>
        <v/>
      </c>
      <c r="W657">
        <f>--($G657=IF('الداشبورد'!$B$11="الكل",$G657,'الداشبورد'!$B$11))</f>
        <v/>
      </c>
      <c r="X657">
        <f>Q657*R657*S657*T657*U657*V657*W657*--($C657&lt;&gt;"")</f>
        <v/>
      </c>
    </row>
    <row r="658">
      <c r="A658" s="15" t="n">
        <v>7</v>
      </c>
      <c r="B658" s="15" t="inlineStr">
        <is>
          <t>SS493</t>
        </is>
      </c>
      <c r="C658" s="15" t="inlineStr">
        <is>
          <t>1448/26/01</t>
        </is>
      </c>
      <c r="D658" s="15" t="inlineStr">
        <is>
          <t>Eland Cables</t>
        </is>
      </c>
      <c r="E658" s="15" t="inlineStr">
        <is>
          <t>MV</t>
        </is>
      </c>
      <c r="F658" s="15" t="inlineStr">
        <is>
          <t>12.7/22 KV 3X240</t>
        </is>
      </c>
      <c r="G658" s="15" t="inlineStr">
        <is>
          <t>EX04</t>
        </is>
      </c>
      <c r="H658" s="15" t="inlineStr">
        <is>
          <t>Wooden Drums</t>
        </is>
      </c>
      <c r="I658" s="15" t="inlineStr">
        <is>
          <t>OK</t>
        </is>
      </c>
      <c r="J658" s="15" t="inlineStr">
        <is>
          <t>C</t>
        </is>
      </c>
      <c r="K658" s="15" t="inlineStr">
        <is>
          <t>Y</t>
        </is>
      </c>
      <c r="L658" s="15" t="n">
        <v>561</v>
      </c>
      <c r="M658" s="16" t="n">
        <v>3.558984000000001</v>
      </c>
      <c r="N658" s="16" t="n">
        <v>0</v>
      </c>
      <c r="O658" s="16" t="n">
        <v>0</v>
      </c>
      <c r="P658" s="16" t="n">
        <v>3.558984000000001</v>
      </c>
      <c r="Q658">
        <f>--($A658=IF('الداشبورد'!$B$5="الكل",$A658,'الداشبورد'!$B$5))</f>
        <v/>
      </c>
      <c r="R658">
        <f>--($E658=IF('الداشبورد'!$B$6="الكل",$E658,'الداشبورد'!$B$6))</f>
        <v/>
      </c>
      <c r="S658">
        <f>--($K658=IF('الداشبورد'!$B$7="الكل",$K658,IF('الداشبورد'!$B$7="تصدير","Y","N")))</f>
        <v/>
      </c>
      <c r="T658">
        <f>--($J658=IF('الداشبورد'!$B$8="الكل",$J658,IF('الداشبورد'!$B$8="AL","A","C")))</f>
        <v/>
      </c>
      <c r="U658">
        <f>--($I658=IF('الداشبورد'!$B$9="الكل",$I658,IF('الداشبورد'!$B$9="بدون حالة","P",'الداشبورد'!$B$9)))</f>
        <v/>
      </c>
      <c r="V658">
        <f>--($D658=IF('الداشبورد'!$B$10="الكل",$D658,'الداشبورد'!$B$10))</f>
        <v/>
      </c>
      <c r="W658">
        <f>--($G658=IF('الداشبورد'!$B$11="الكل",$G658,'الداشبورد'!$B$11))</f>
        <v/>
      </c>
      <c r="X658">
        <f>Q658*R658*S658*T658*U658*V658*W658*--($C658&lt;&gt;"")</f>
        <v/>
      </c>
    </row>
    <row r="659">
      <c r="A659" s="15" t="n">
        <v>5</v>
      </c>
      <c r="B659" s="15" t="inlineStr">
        <is>
          <t>Q184202</t>
        </is>
      </c>
      <c r="C659" s="15" t="inlineStr">
        <is>
          <t>1200/26/04</t>
        </is>
      </c>
      <c r="D659" s="15" t="inlineStr">
        <is>
          <t>INSELL</t>
        </is>
      </c>
      <c r="E659" s="15" t="inlineStr">
        <is>
          <t>MV</t>
        </is>
      </c>
      <c r="F659" s="15" t="inlineStr">
        <is>
          <t>12/20 KV 1X240/50</t>
        </is>
      </c>
      <c r="G659" s="15" t="inlineStr">
        <is>
          <t>EX05</t>
        </is>
      </c>
      <c r="H659" s="15" t="inlineStr">
        <is>
          <t>Wooden Drums</t>
        </is>
      </c>
      <c r="I659" s="15" t="inlineStr">
        <is>
          <t>OK</t>
        </is>
      </c>
      <c r="J659" s="15" t="inlineStr">
        <is>
          <t>A</t>
        </is>
      </c>
      <c r="K659" s="15" t="inlineStr">
        <is>
          <t>Y</t>
        </is>
      </c>
      <c r="L659" s="15" t="n">
        <v>2005</v>
      </c>
      <c r="M659" s="16" t="n">
        <v>1.25513</v>
      </c>
      <c r="N659" s="16" t="n">
        <v>0.908265</v>
      </c>
      <c r="O659" s="16" t="n">
        <v>0</v>
      </c>
      <c r="P659" s="16" t="n">
        <v>2.163395</v>
      </c>
      <c r="Q659">
        <f>--($A659=IF('الداشبورد'!$B$5="الكل",$A659,'الداشبورد'!$B$5))</f>
        <v/>
      </c>
      <c r="R659">
        <f>--($E659=IF('الداشبورد'!$B$6="الكل",$E659,'الداشبورد'!$B$6))</f>
        <v/>
      </c>
      <c r="S659">
        <f>--($K659=IF('الداشبورد'!$B$7="الكل",$K659,IF('الداشبورد'!$B$7="تصدير","Y","N")))</f>
        <v/>
      </c>
      <c r="T659">
        <f>--($J659=IF('الداشبورد'!$B$8="الكل",$J659,IF('الداشبورد'!$B$8="AL","A","C")))</f>
        <v/>
      </c>
      <c r="U659">
        <f>--($I659=IF('الداشبورد'!$B$9="الكل",$I659,IF('الداشبورد'!$B$9="بدون حالة","P",'الداشبورد'!$B$9)))</f>
        <v/>
      </c>
      <c r="V659">
        <f>--($D659=IF('الداشبورد'!$B$10="الكل",$D659,'الداشبورد'!$B$10))</f>
        <v/>
      </c>
      <c r="W659">
        <f>--($G659=IF('الداشبورد'!$B$11="الكل",$G659,'الداشبورد'!$B$11))</f>
        <v/>
      </c>
      <c r="X659">
        <f>Q659*R659*S659*T659*U659*V659*W659*--($C659&lt;&gt;"")</f>
        <v/>
      </c>
    </row>
    <row r="660">
      <c r="A660" s="15" t="n">
        <v>5</v>
      </c>
      <c r="B660" s="15" t="inlineStr">
        <is>
          <t>P184724</t>
        </is>
      </c>
      <c r="C660" s="15" t="inlineStr">
        <is>
          <t>1410/26/05</t>
        </is>
      </c>
      <c r="D660" s="15" t="inlineStr">
        <is>
          <t>Sadacavi</t>
        </is>
      </c>
      <c r="E660" s="15" t="inlineStr">
        <is>
          <t>MV</t>
        </is>
      </c>
      <c r="F660" s="15" t="inlineStr">
        <is>
          <t>12/20 KV 1X240</t>
        </is>
      </c>
      <c r="G660" s="15" t="inlineStr">
        <is>
          <t>EX06</t>
        </is>
      </c>
      <c r="H660" s="15" t="inlineStr">
        <is>
          <t>Wooden Drums</t>
        </is>
      </c>
      <c r="I660" s="15" t="inlineStr">
        <is>
          <t>OK</t>
        </is>
      </c>
      <c r="J660" s="15" t="inlineStr">
        <is>
          <t>A</t>
        </is>
      </c>
      <c r="K660" s="15" t="inlineStr">
        <is>
          <t>Y</t>
        </is>
      </c>
      <c r="L660" s="15" t="n">
        <v>1437</v>
      </c>
      <c r="M660" s="16" t="n">
        <v>0.899562</v>
      </c>
      <c r="N660" s="16" t="n">
        <v>0</v>
      </c>
      <c r="O660" s="16" t="n">
        <v>0</v>
      </c>
      <c r="P660" s="16" t="n">
        <v>0.899562</v>
      </c>
      <c r="Q660">
        <f>--($A660=IF('الداشبورد'!$B$5="الكل",$A660,'الداشبورد'!$B$5))</f>
        <v/>
      </c>
      <c r="R660">
        <f>--($E660=IF('الداشبورد'!$B$6="الكل",$E660,'الداشبورد'!$B$6))</f>
        <v/>
      </c>
      <c r="S660">
        <f>--($K660=IF('الداشبورد'!$B$7="الكل",$K660,IF('الداشبورد'!$B$7="تصدير","Y","N")))</f>
        <v/>
      </c>
      <c r="T660">
        <f>--($J660=IF('الداشبورد'!$B$8="الكل",$J660,IF('الداشبورد'!$B$8="AL","A","C")))</f>
        <v/>
      </c>
      <c r="U660">
        <f>--($I660=IF('الداشبورد'!$B$9="الكل",$I660,IF('الداشبورد'!$B$9="بدون حالة","P",'الداشبورد'!$B$9)))</f>
        <v/>
      </c>
      <c r="V660">
        <f>--($D660=IF('الداشبورد'!$B$10="الكل",$D660,'الداشبورد'!$B$10))</f>
        <v/>
      </c>
      <c r="W660">
        <f>--($G660=IF('الداشبورد'!$B$11="الكل",$G660,'الداشبورد'!$B$11))</f>
        <v/>
      </c>
      <c r="X660">
        <f>Q660*R660*S660*T660*U660*V660*W660*--($C660&lt;&gt;"")</f>
        <v/>
      </c>
    </row>
    <row r="661">
      <c r="A661" s="15" t="n">
        <v>6</v>
      </c>
      <c r="B661" s="15" t="inlineStr">
        <is>
          <t>V184882</t>
        </is>
      </c>
      <c r="C661" s="15" t="inlineStr">
        <is>
          <t>1101/26/01</t>
        </is>
      </c>
      <c r="D661" s="15" t="inlineStr">
        <is>
          <t>شركة مصر العليا لتوزيع الكهرباء</t>
        </is>
      </c>
      <c r="E661" s="15" t="inlineStr">
        <is>
          <t>MV</t>
        </is>
      </c>
      <c r="F661" s="15" t="inlineStr">
        <is>
          <t>12/20KV 3X300</t>
        </is>
      </c>
      <c r="G661" s="15" t="inlineStr">
        <is>
          <t>EX04</t>
        </is>
      </c>
      <c r="H661" s="15" t="inlineStr">
        <is>
          <t>Wooden Drums</t>
        </is>
      </c>
      <c r="I661" s="15" t="inlineStr">
        <is>
          <t>OK</t>
        </is>
      </c>
      <c r="J661" s="15" t="inlineStr">
        <is>
          <t>A</t>
        </is>
      </c>
      <c r="K661" s="15" t="inlineStr">
        <is>
          <t>N</t>
        </is>
      </c>
      <c r="L661" s="15" t="n">
        <v>4020</v>
      </c>
      <c r="M661" s="16" t="n">
        <v>9.523380000000001</v>
      </c>
      <c r="N661" s="16" t="n">
        <v>0</v>
      </c>
      <c r="O661" s="16" t="n">
        <v>0</v>
      </c>
      <c r="P661" s="16" t="n">
        <v>9.523380000000001</v>
      </c>
      <c r="Q661">
        <f>--($A661=IF('الداشبورد'!$B$5="الكل",$A661,'الداشبورد'!$B$5))</f>
        <v/>
      </c>
      <c r="R661">
        <f>--($E661=IF('الداشبورد'!$B$6="الكل",$E661,'الداشبورد'!$B$6))</f>
        <v/>
      </c>
      <c r="S661">
        <f>--($K661=IF('الداشبورد'!$B$7="الكل",$K661,IF('الداشبورد'!$B$7="تصدير","Y","N")))</f>
        <v/>
      </c>
      <c r="T661">
        <f>--($J661=IF('الداشبورد'!$B$8="الكل",$J661,IF('الداشبورد'!$B$8="AL","A","C")))</f>
        <v/>
      </c>
      <c r="U661">
        <f>--($I661=IF('الداشبورد'!$B$9="الكل",$I661,IF('الداشبورد'!$B$9="بدون حالة","P",'الداشبورد'!$B$9)))</f>
        <v/>
      </c>
      <c r="V661">
        <f>--($D661=IF('الداشبورد'!$B$10="الكل",$D661,'الداشبورد'!$B$10))</f>
        <v/>
      </c>
      <c r="W661">
        <f>--($G661=IF('الداشبورد'!$B$11="الكل",$G661,'الداشبورد'!$B$11))</f>
        <v/>
      </c>
      <c r="X661">
        <f>Q661*R661*S661*T661*U661*V661*W661*--($C661&lt;&gt;"")</f>
        <v/>
      </c>
    </row>
    <row r="662">
      <c r="A662" s="15" t="n">
        <v>6</v>
      </c>
      <c r="B662" s="15" t="inlineStr">
        <is>
          <t>D182164</t>
        </is>
      </c>
      <c r="C662" s="15" t="inlineStr">
        <is>
          <t>1447/26/07</t>
        </is>
      </c>
      <c r="D662" s="15" t="inlineStr">
        <is>
          <t>Faber Kabel</t>
        </is>
      </c>
      <c r="E662" s="15" t="inlineStr">
        <is>
          <t>CC</t>
        </is>
      </c>
      <c r="F662" s="15" t="inlineStr">
        <is>
          <t>0.6/1 KV 4X2.5/2.5</t>
        </is>
      </c>
      <c r="G662" s="15" t="inlineStr">
        <is>
          <t>EX012</t>
        </is>
      </c>
      <c r="H662" s="15" t="inlineStr">
        <is>
          <t>Wooden Drums</t>
        </is>
      </c>
      <c r="I662" s="15" t="inlineStr">
        <is>
          <t>OK</t>
        </is>
      </c>
      <c r="J662" s="15" t="inlineStr">
        <is>
          <t>C</t>
        </is>
      </c>
      <c r="K662" s="15" t="inlineStr">
        <is>
          <t>Y</t>
        </is>
      </c>
      <c r="L662" s="15" t="n">
        <v>524</v>
      </c>
      <c r="M662" s="16" t="n">
        <v>0.045588</v>
      </c>
      <c r="N662" s="16" t="n">
        <v>0.0131</v>
      </c>
      <c r="O662" s="16" t="n">
        <v>0</v>
      </c>
      <c r="P662" s="16" t="n">
        <v>0.058688</v>
      </c>
      <c r="Q662">
        <f>--($A662=IF('الداشبورد'!$B$5="الكل",$A662,'الداشبورد'!$B$5))</f>
        <v/>
      </c>
      <c r="R662">
        <f>--($E662=IF('الداشبورد'!$B$6="الكل",$E662,'الداشبورد'!$B$6))</f>
        <v/>
      </c>
      <c r="S662">
        <f>--($K662=IF('الداشبورد'!$B$7="الكل",$K662,IF('الداشبورد'!$B$7="تصدير","Y","N")))</f>
        <v/>
      </c>
      <c r="T662">
        <f>--($J662=IF('الداشبورد'!$B$8="الكل",$J662,IF('الداشبورد'!$B$8="AL","A","C")))</f>
        <v/>
      </c>
      <c r="U662">
        <f>--($I662=IF('الداشبورد'!$B$9="الكل",$I662,IF('الداشبورد'!$B$9="بدون حالة","P",'الداشبورد'!$B$9)))</f>
        <v/>
      </c>
      <c r="V662">
        <f>--($D662=IF('الداشبورد'!$B$10="الكل",$D662,'الداشبورد'!$B$10))</f>
        <v/>
      </c>
      <c r="W662">
        <f>--($G662=IF('الداشبورد'!$B$11="الكل",$G662,'الداشبورد'!$B$11))</f>
        <v/>
      </c>
      <c r="X662">
        <f>Q662*R662*S662*T662*U662*V662*W662*--($C662&lt;&gt;"")</f>
        <v/>
      </c>
    </row>
    <row r="663">
      <c r="A663" s="15" t="n">
        <v>6</v>
      </c>
      <c r="B663" s="15" t="inlineStr">
        <is>
          <t>D182170</t>
        </is>
      </c>
      <c r="C663" s="15" t="inlineStr">
        <is>
          <t>1447/26/07</t>
        </is>
      </c>
      <c r="D663" s="15" t="inlineStr">
        <is>
          <t>Faber Kabel</t>
        </is>
      </c>
      <c r="E663" s="15" t="inlineStr">
        <is>
          <t>CC</t>
        </is>
      </c>
      <c r="F663" s="15" t="inlineStr">
        <is>
          <t>0.6/1 KV 4X2.5/2.5</t>
        </is>
      </c>
      <c r="G663" s="15" t="inlineStr">
        <is>
          <t>EX012</t>
        </is>
      </c>
      <c r="H663" s="15" t="inlineStr">
        <is>
          <t>Wooden Drums</t>
        </is>
      </c>
      <c r="I663" s="15" t="inlineStr">
        <is>
          <t>OK</t>
        </is>
      </c>
      <c r="J663" s="15" t="inlineStr">
        <is>
          <t>C</t>
        </is>
      </c>
      <c r="K663" s="15" t="inlineStr">
        <is>
          <t>Y</t>
        </is>
      </c>
      <c r="L663" s="15" t="n">
        <v>510</v>
      </c>
      <c r="M663" s="16" t="n">
        <v>0.04437</v>
      </c>
      <c r="N663" s="16" t="n">
        <v>0.01275</v>
      </c>
      <c r="O663" s="16" t="n">
        <v>0</v>
      </c>
      <c r="P663" s="16" t="n">
        <v>0.05712</v>
      </c>
      <c r="Q663">
        <f>--($A663=IF('الداشبورد'!$B$5="الكل",$A663,'الداشبورد'!$B$5))</f>
        <v/>
      </c>
      <c r="R663">
        <f>--($E663=IF('الداشبورد'!$B$6="الكل",$E663,'الداشبورد'!$B$6))</f>
        <v/>
      </c>
      <c r="S663">
        <f>--($K663=IF('الداشبورد'!$B$7="الكل",$K663,IF('الداشبورد'!$B$7="تصدير","Y","N")))</f>
        <v/>
      </c>
      <c r="T663">
        <f>--($J663=IF('الداشبورد'!$B$8="الكل",$J663,IF('الداشبورد'!$B$8="AL","A","C")))</f>
        <v/>
      </c>
      <c r="U663">
        <f>--($I663=IF('الداشبورد'!$B$9="الكل",$I663,IF('الداشبورد'!$B$9="بدون حالة","P",'الداشبورد'!$B$9)))</f>
        <v/>
      </c>
      <c r="V663">
        <f>--($D663=IF('الداشبورد'!$B$10="الكل",$D663,'الداشبورد'!$B$10))</f>
        <v/>
      </c>
      <c r="W663">
        <f>--($G663=IF('الداشبورد'!$B$11="الكل",$G663,'الداشبورد'!$B$11))</f>
        <v/>
      </c>
      <c r="X663">
        <f>Q663*R663*S663*T663*U663*V663*W663*--($C663&lt;&gt;"")</f>
        <v/>
      </c>
    </row>
    <row r="664">
      <c r="A664" s="15" t="n">
        <v>6</v>
      </c>
      <c r="B664" s="15" t="inlineStr">
        <is>
          <t>D182160</t>
        </is>
      </c>
      <c r="C664" s="15" t="inlineStr">
        <is>
          <t>1447/26/07</t>
        </is>
      </c>
      <c r="D664" s="15" t="inlineStr">
        <is>
          <t>Faber Kabel</t>
        </is>
      </c>
      <c r="E664" s="15" t="inlineStr">
        <is>
          <t>CC</t>
        </is>
      </c>
      <c r="F664" s="15" t="inlineStr">
        <is>
          <t>0.6/1 KV 4X2.5/2.5</t>
        </is>
      </c>
      <c r="G664" s="15" t="inlineStr">
        <is>
          <t>EX012</t>
        </is>
      </c>
      <c r="H664" s="15" t="inlineStr">
        <is>
          <t>Wooden Drums</t>
        </is>
      </c>
      <c r="I664" s="15" t="inlineStr">
        <is>
          <t>OK</t>
        </is>
      </c>
      <c r="J664" s="15" t="inlineStr">
        <is>
          <t>C</t>
        </is>
      </c>
      <c r="K664" s="15" t="inlineStr">
        <is>
          <t>Y</t>
        </is>
      </c>
      <c r="L664" s="15" t="n">
        <v>511</v>
      </c>
      <c r="M664" s="16" t="n">
        <v>0.044457</v>
      </c>
      <c r="N664" s="16" t="n">
        <v>0.012775</v>
      </c>
      <c r="O664" s="16" t="n">
        <v>0</v>
      </c>
      <c r="P664" s="16" t="n">
        <v>0.057232</v>
      </c>
      <c r="Q664">
        <f>--($A664=IF('الداشبورد'!$B$5="الكل",$A664,'الداشبورد'!$B$5))</f>
        <v/>
      </c>
      <c r="R664">
        <f>--($E664=IF('الداشبورد'!$B$6="الكل",$E664,'الداشبورد'!$B$6))</f>
        <v/>
      </c>
      <c r="S664">
        <f>--($K664=IF('الداشبورد'!$B$7="الكل",$K664,IF('الداشبورد'!$B$7="تصدير","Y","N")))</f>
        <v/>
      </c>
      <c r="T664">
        <f>--($J664=IF('الداشبورد'!$B$8="الكل",$J664,IF('الداشبورد'!$B$8="AL","A","C")))</f>
        <v/>
      </c>
      <c r="U664">
        <f>--($I664=IF('الداشبورد'!$B$9="الكل",$I664,IF('الداشبورد'!$B$9="بدون حالة","P",'الداشبورد'!$B$9)))</f>
        <v/>
      </c>
      <c r="V664">
        <f>--($D664=IF('الداشبورد'!$B$10="الكل",$D664,'الداشبورد'!$B$10))</f>
        <v/>
      </c>
      <c r="W664">
        <f>--($G664=IF('الداشبورد'!$B$11="الكل",$G664,'الداشبورد'!$B$11))</f>
        <v/>
      </c>
      <c r="X664">
        <f>Q664*R664*S664*T664*U664*V664*W664*--($C664&lt;&gt;"")</f>
        <v/>
      </c>
    </row>
    <row r="665">
      <c r="A665" s="15" t="n">
        <v>6</v>
      </c>
      <c r="B665" s="15" t="inlineStr">
        <is>
          <t>D182151</t>
        </is>
      </c>
      <c r="C665" s="15" t="inlineStr">
        <is>
          <t>1447/26/07</t>
        </is>
      </c>
      <c r="D665" s="15" t="inlineStr">
        <is>
          <t>Faber Kabel</t>
        </is>
      </c>
      <c r="E665" s="15" t="inlineStr">
        <is>
          <t>CC</t>
        </is>
      </c>
      <c r="F665" s="15" t="inlineStr">
        <is>
          <t>0.6/1 KV 4X2.5/2.5</t>
        </is>
      </c>
      <c r="G665" s="15" t="inlineStr">
        <is>
          <t>EX012</t>
        </is>
      </c>
      <c r="H665" s="15" t="inlineStr">
        <is>
          <t>Wooden Drums</t>
        </is>
      </c>
      <c r="I665" s="15" t="inlineStr">
        <is>
          <t>OK</t>
        </is>
      </c>
      <c r="J665" s="15" t="inlineStr">
        <is>
          <t>C</t>
        </is>
      </c>
      <c r="K665" s="15" t="inlineStr">
        <is>
          <t>Y</t>
        </is>
      </c>
      <c r="L665" s="15" t="n">
        <v>505</v>
      </c>
      <c r="M665" s="16" t="n">
        <v>0.04393499999999999</v>
      </c>
      <c r="N665" s="16" t="n">
        <v>0.012625</v>
      </c>
      <c r="O665" s="16" t="n">
        <v>0</v>
      </c>
      <c r="P665" s="16" t="n">
        <v>0.05656</v>
      </c>
      <c r="Q665">
        <f>--($A665=IF('الداشبورد'!$B$5="الكل",$A665,'الداشبورد'!$B$5))</f>
        <v/>
      </c>
      <c r="R665">
        <f>--($E665=IF('الداشبورد'!$B$6="الكل",$E665,'الداشبورد'!$B$6))</f>
        <v/>
      </c>
      <c r="S665">
        <f>--($K665=IF('الداشبورد'!$B$7="الكل",$K665,IF('الداشبورد'!$B$7="تصدير","Y","N")))</f>
        <v/>
      </c>
      <c r="T665">
        <f>--($J665=IF('الداشبورد'!$B$8="الكل",$J665,IF('الداشبورد'!$B$8="AL","A","C")))</f>
        <v/>
      </c>
      <c r="U665">
        <f>--($I665=IF('الداشبورد'!$B$9="الكل",$I665,IF('الداشبورد'!$B$9="بدون حالة","P",'الداشبورد'!$B$9)))</f>
        <v/>
      </c>
      <c r="V665">
        <f>--($D665=IF('الداشبورد'!$B$10="الكل",$D665,'الداشبورد'!$B$10))</f>
        <v/>
      </c>
      <c r="W665">
        <f>--($G665=IF('الداشبورد'!$B$11="الكل",$G665,'الداشبورد'!$B$11))</f>
        <v/>
      </c>
      <c r="X665">
        <f>Q665*R665*S665*T665*U665*V665*W665*--($C665&lt;&gt;"")</f>
        <v/>
      </c>
    </row>
    <row r="666">
      <c r="A666" s="15" t="n">
        <v>6</v>
      </c>
      <c r="B666" s="15" t="inlineStr">
        <is>
          <t>D182178</t>
        </is>
      </c>
      <c r="C666" s="15" t="inlineStr">
        <is>
          <t>1447/26/07</t>
        </is>
      </c>
      <c r="D666" s="15" t="inlineStr">
        <is>
          <t>Faber Kabel</t>
        </is>
      </c>
      <c r="E666" s="15" t="inlineStr">
        <is>
          <t>CC</t>
        </is>
      </c>
      <c r="F666" s="15" t="inlineStr">
        <is>
          <t>0.6/1 KV 4X2.5/2.5</t>
        </is>
      </c>
      <c r="G666" s="15" t="inlineStr">
        <is>
          <t>EX012</t>
        </is>
      </c>
      <c r="H666" s="15" t="inlineStr">
        <is>
          <t>Wooden Drums</t>
        </is>
      </c>
      <c r="I666" s="15" t="inlineStr">
        <is>
          <t>OK</t>
        </is>
      </c>
      <c r="J666" s="15" t="inlineStr">
        <is>
          <t>C</t>
        </is>
      </c>
      <c r="K666" s="15" t="inlineStr">
        <is>
          <t>Y</t>
        </is>
      </c>
      <c r="L666" s="15" t="n">
        <v>509</v>
      </c>
      <c r="M666" s="16" t="n">
        <v>0.044283</v>
      </c>
      <c r="N666" s="16" t="n">
        <v>0.012725</v>
      </c>
      <c r="O666" s="16" t="n">
        <v>0</v>
      </c>
      <c r="P666" s="16" t="n">
        <v>0.057008</v>
      </c>
      <c r="Q666">
        <f>--($A666=IF('الداشبورد'!$B$5="الكل",$A666,'الداشبورد'!$B$5))</f>
        <v/>
      </c>
      <c r="R666">
        <f>--($E666=IF('الداشبورد'!$B$6="الكل",$E666,'الداشبورد'!$B$6))</f>
        <v/>
      </c>
      <c r="S666">
        <f>--($K666=IF('الداشبورد'!$B$7="الكل",$K666,IF('الداشبورد'!$B$7="تصدير","Y","N")))</f>
        <v/>
      </c>
      <c r="T666">
        <f>--($J666=IF('الداشبورد'!$B$8="الكل",$J666,IF('الداشبورد'!$B$8="AL","A","C")))</f>
        <v/>
      </c>
      <c r="U666">
        <f>--($I666=IF('الداشبورد'!$B$9="الكل",$I666,IF('الداشبورد'!$B$9="بدون حالة","P",'الداشبورد'!$B$9)))</f>
        <v/>
      </c>
      <c r="V666">
        <f>--($D666=IF('الداشبورد'!$B$10="الكل",$D666,'الداشبورد'!$B$10))</f>
        <v/>
      </c>
      <c r="W666">
        <f>--($G666=IF('الداشبورد'!$B$11="الكل",$G666,'الداشبورد'!$B$11))</f>
        <v/>
      </c>
      <c r="X666">
        <f>Q666*R666*S666*T666*U666*V666*W666*--($C666&lt;&gt;"")</f>
        <v/>
      </c>
    </row>
    <row r="667">
      <c r="A667" s="15" t="n">
        <v>6</v>
      </c>
      <c r="B667" s="15" t="inlineStr">
        <is>
          <t>G184660</t>
        </is>
      </c>
      <c r="C667" s="15" t="inlineStr">
        <is>
          <t>645/26/02</t>
        </is>
      </c>
      <c r="D667" s="15" t="inlineStr">
        <is>
          <t>Vigo trgovina d.o.o.</t>
        </is>
      </c>
      <c r="E667" s="15" t="inlineStr">
        <is>
          <t>LV</t>
        </is>
      </c>
      <c r="F667" s="15" t="inlineStr">
        <is>
          <t>0.6/1 KV 4X50</t>
        </is>
      </c>
      <c r="G667" s="15" t="inlineStr">
        <is>
          <t>EX03</t>
        </is>
      </c>
      <c r="H667" s="15" t="inlineStr">
        <is>
          <t>Wooden Drums</t>
        </is>
      </c>
      <c r="I667" s="15" t="inlineStr">
        <is>
          <t>OK</t>
        </is>
      </c>
      <c r="J667" s="15" t="inlineStr">
        <is>
          <t>A</t>
        </is>
      </c>
      <c r="K667" s="15" t="inlineStr">
        <is>
          <t>Y</t>
        </is>
      </c>
      <c r="L667" s="15" t="n">
        <v>516</v>
      </c>
      <c r="M667" s="16" t="n">
        <v>0.244584</v>
      </c>
      <c r="N667" s="16" t="n">
        <v>0</v>
      </c>
      <c r="O667" s="16" t="n">
        <v>0</v>
      </c>
      <c r="P667" s="16" t="n">
        <v>0.244584</v>
      </c>
      <c r="Q667">
        <f>--($A667=IF('الداشبورد'!$B$5="الكل",$A667,'الداشبورد'!$B$5))</f>
        <v/>
      </c>
      <c r="R667">
        <f>--($E667=IF('الداشبورد'!$B$6="الكل",$E667,'الداشبورد'!$B$6))</f>
        <v/>
      </c>
      <c r="S667">
        <f>--($K667=IF('الداشبورد'!$B$7="الكل",$K667,IF('الداشبورد'!$B$7="تصدير","Y","N")))</f>
        <v/>
      </c>
      <c r="T667">
        <f>--($J667=IF('الداشبورد'!$B$8="الكل",$J667,IF('الداشبورد'!$B$8="AL","A","C")))</f>
        <v/>
      </c>
      <c r="U667">
        <f>--($I667=IF('الداشبورد'!$B$9="الكل",$I667,IF('الداشبورد'!$B$9="بدون حالة","P",'الداشبورد'!$B$9)))</f>
        <v/>
      </c>
      <c r="V667">
        <f>--($D667=IF('الداشبورد'!$B$10="الكل",$D667,'الداشبورد'!$B$10))</f>
        <v/>
      </c>
      <c r="W667">
        <f>--($G667=IF('الداشبورد'!$B$11="الكل",$G667,'الداشبورد'!$B$11))</f>
        <v/>
      </c>
      <c r="X667">
        <f>Q667*R667*S667*T667*U667*V667*W667*--($C667&lt;&gt;"")</f>
        <v/>
      </c>
    </row>
    <row r="668">
      <c r="A668" s="15" t="n">
        <v>4</v>
      </c>
      <c r="B668" s="15" t="inlineStr">
        <is>
          <t>C10.</t>
        </is>
      </c>
      <c r="C668" s="15" t="inlineStr">
        <is>
          <t>730/26/02</t>
        </is>
      </c>
      <c r="D668" s="15" t="inlineStr">
        <is>
          <t>VLG RO S.R.L.</t>
        </is>
      </c>
      <c r="E668" s="15" t="inlineStr">
        <is>
          <t>MV</t>
        </is>
      </c>
      <c r="F668" s="15" t="inlineStr">
        <is>
          <t>12/20 KV 1X150/25</t>
        </is>
      </c>
      <c r="G668" s="15" t="inlineStr">
        <is>
          <t>EX05</t>
        </is>
      </c>
      <c r="H668" s="15" t="inlineStr">
        <is>
          <t>Wooden Drums</t>
        </is>
      </c>
      <c r="I668" s="15" t="inlineStr">
        <is>
          <t>Hold</t>
        </is>
      </c>
      <c r="J668" s="15" t="inlineStr">
        <is>
          <t>A</t>
        </is>
      </c>
      <c r="K668" s="15" t="inlineStr">
        <is>
          <t>Y</t>
        </is>
      </c>
      <c r="L668" s="15" t="n">
        <v>990</v>
      </c>
      <c r="M668" s="16" t="n">
        <v>0.3861</v>
      </c>
      <c r="N668" s="16" t="n">
        <v>0.2277</v>
      </c>
      <c r="O668" s="16" t="n">
        <v>0</v>
      </c>
      <c r="P668" s="16" t="n">
        <v>0.6138</v>
      </c>
      <c r="Q668">
        <f>--($A668=IF('الداشبورد'!$B$5="الكل",$A668,'الداشبورد'!$B$5))</f>
        <v/>
      </c>
      <c r="R668">
        <f>--($E668=IF('الداشبورد'!$B$6="الكل",$E668,'الداشبورد'!$B$6))</f>
        <v/>
      </c>
      <c r="S668">
        <f>--($K668=IF('الداشبورد'!$B$7="الكل",$K668,IF('الداشبورد'!$B$7="تصدير","Y","N")))</f>
        <v/>
      </c>
      <c r="T668">
        <f>--($J668=IF('الداشبورد'!$B$8="الكل",$J668,IF('الداشبورد'!$B$8="AL","A","C")))</f>
        <v/>
      </c>
      <c r="U668">
        <f>--($I668=IF('الداشبورد'!$B$9="الكل",$I668,IF('الداشبورد'!$B$9="بدون حالة","P",'الداشبورد'!$B$9)))</f>
        <v/>
      </c>
      <c r="V668">
        <f>--($D668=IF('الداشبورد'!$B$10="الكل",$D668,'الداشبورد'!$B$10))</f>
        <v/>
      </c>
      <c r="W668">
        <f>--($G668=IF('الداشبورد'!$B$11="الكل",$G668,'الداشبورد'!$B$11))</f>
        <v/>
      </c>
      <c r="X668">
        <f>Q668*R668*S668*T668*U668*V668*W668*--($C668&lt;&gt;"")</f>
        <v/>
      </c>
    </row>
    <row r="669">
      <c r="A669" s="15" t="n">
        <v>5</v>
      </c>
      <c r="B669" s="15" t="inlineStr">
        <is>
          <t>SS-508</t>
        </is>
      </c>
      <c r="C669" s="15" t="inlineStr">
        <is>
          <t>1296/26/01</t>
        </is>
      </c>
      <c r="D669" s="15" t="inlineStr">
        <is>
          <t>Eland Cables</t>
        </is>
      </c>
      <c r="E669" s="15" t="inlineStr">
        <is>
          <t>MV</t>
        </is>
      </c>
      <c r="F669" s="15" t="inlineStr">
        <is>
          <t>6.35/11 KV 3X120</t>
        </is>
      </c>
      <c r="G669" s="15" t="inlineStr">
        <is>
          <t>EX04</t>
        </is>
      </c>
      <c r="H669" s="15" t="inlineStr">
        <is>
          <t>Iron Drums</t>
        </is>
      </c>
      <c r="I669" s="15" t="inlineStr">
        <is>
          <t>OK</t>
        </is>
      </c>
      <c r="J669" s="15" t="inlineStr">
        <is>
          <t>C</t>
        </is>
      </c>
      <c r="K669" s="15" t="inlineStr">
        <is>
          <t>Y</t>
        </is>
      </c>
      <c r="L669" s="15" t="n">
        <v>1021</v>
      </c>
      <c r="M669" s="16" t="n">
        <v>3.174289</v>
      </c>
      <c r="N669" s="16" t="n">
        <v>0</v>
      </c>
      <c r="O669" s="16" t="n">
        <v>0</v>
      </c>
      <c r="P669" s="16" t="n">
        <v>3.174289</v>
      </c>
      <c r="Q669">
        <f>--($A669=IF('الداشبورد'!$B$5="الكل",$A669,'الداشبورد'!$B$5))</f>
        <v/>
      </c>
      <c r="R669">
        <f>--($E669=IF('الداشبورد'!$B$6="الكل",$E669,'الداشبورد'!$B$6))</f>
        <v/>
      </c>
      <c r="S669">
        <f>--($K669=IF('الداشبورد'!$B$7="الكل",$K669,IF('الداشبورد'!$B$7="تصدير","Y","N")))</f>
        <v/>
      </c>
      <c r="T669">
        <f>--($J669=IF('الداشبورد'!$B$8="الكل",$J669,IF('الداشبورد'!$B$8="AL","A","C")))</f>
        <v/>
      </c>
      <c r="U669">
        <f>--($I669=IF('الداشبورد'!$B$9="الكل",$I669,IF('الداشبورد'!$B$9="بدون حالة","P",'الداشبورد'!$B$9)))</f>
        <v/>
      </c>
      <c r="V669">
        <f>--($D669=IF('الداشبورد'!$B$10="الكل",$D669,'الداشبورد'!$B$10))</f>
        <v/>
      </c>
      <c r="W669">
        <f>--($G669=IF('الداشبورد'!$B$11="الكل",$G669,'الداشبورد'!$B$11))</f>
        <v/>
      </c>
      <c r="X669">
        <f>Q669*R669*S669*T669*U669*V669*W669*--($C669&lt;&gt;"")</f>
        <v/>
      </c>
    </row>
    <row r="670">
      <c r="A670" s="15" t="n">
        <v>5</v>
      </c>
      <c r="B670" s="15" t="inlineStr">
        <is>
          <t>M184630</t>
        </is>
      </c>
      <c r="C670" s="15" t="inlineStr">
        <is>
          <t>1385/26/11</t>
        </is>
      </c>
      <c r="D670" s="15" t="inlineStr">
        <is>
          <t>الشركة العربية للصناعة والتجارة الدولية</t>
        </is>
      </c>
      <c r="E670" s="15" t="inlineStr">
        <is>
          <t>LV</t>
        </is>
      </c>
      <c r="F670" s="15" t="inlineStr">
        <is>
          <t>0.6/1 KV 4*25</t>
        </is>
      </c>
      <c r="G670" s="15" t="inlineStr">
        <is>
          <t>EX13</t>
        </is>
      </c>
      <c r="H670" s="15" t="inlineStr">
        <is>
          <t>Wooden Drums</t>
        </is>
      </c>
      <c r="I670" s="15" t="inlineStr">
        <is>
          <t>OK</t>
        </is>
      </c>
      <c r="J670" s="15" t="inlineStr">
        <is>
          <t>A</t>
        </is>
      </c>
      <c r="K670" s="15" t="inlineStr">
        <is>
          <t>N</t>
        </is>
      </c>
      <c r="L670" s="15" t="n">
        <v>2010</v>
      </c>
      <c r="M670" s="16" t="n">
        <v>0.51858</v>
      </c>
      <c r="N670" s="16" t="n">
        <v>0</v>
      </c>
      <c r="O670" s="16" t="n">
        <v>0</v>
      </c>
      <c r="P670" s="16" t="n">
        <v>0.51858</v>
      </c>
      <c r="Q670">
        <f>--($A670=IF('الداشبورد'!$B$5="الكل",$A670,'الداشبورد'!$B$5))</f>
        <v/>
      </c>
      <c r="R670">
        <f>--($E670=IF('الداشبورد'!$B$6="الكل",$E670,'الداشبورد'!$B$6))</f>
        <v/>
      </c>
      <c r="S670">
        <f>--($K670=IF('الداشبورد'!$B$7="الكل",$K670,IF('الداشبورد'!$B$7="تصدير","Y","N")))</f>
        <v/>
      </c>
      <c r="T670">
        <f>--($J670=IF('الداشبورد'!$B$8="الكل",$J670,IF('الداشبورد'!$B$8="AL","A","C")))</f>
        <v/>
      </c>
      <c r="U670">
        <f>--($I670=IF('الداشبورد'!$B$9="الكل",$I670,IF('الداشبورد'!$B$9="بدون حالة","P",'الداشبورد'!$B$9)))</f>
        <v/>
      </c>
      <c r="V670">
        <f>--($D670=IF('الداشبورد'!$B$10="الكل",$D670,'الداشبورد'!$B$10))</f>
        <v/>
      </c>
      <c r="W670">
        <f>--($G670=IF('الداشبورد'!$B$11="الكل",$G670,'الداشبورد'!$B$11))</f>
        <v/>
      </c>
      <c r="X670">
        <f>Q670*R670*S670*T670*U670*V670*W670*--($C670&lt;&gt;"")</f>
        <v/>
      </c>
    </row>
    <row r="671">
      <c r="A671" s="15" t="n">
        <v>3</v>
      </c>
      <c r="B671" s="15" t="inlineStr">
        <is>
          <t>SS-504</t>
        </is>
      </c>
      <c r="C671" s="15" t="inlineStr">
        <is>
          <t>1296/26/01</t>
        </is>
      </c>
      <c r="D671" s="15" t="inlineStr">
        <is>
          <t>Eland Cables</t>
        </is>
      </c>
      <c r="E671" s="15" t="inlineStr">
        <is>
          <t>MV</t>
        </is>
      </c>
      <c r="F671" s="15" t="inlineStr">
        <is>
          <t>6.35/11 KV 3X120</t>
        </is>
      </c>
      <c r="G671" s="15" t="inlineStr">
        <is>
          <t>EX09</t>
        </is>
      </c>
      <c r="H671" s="15" t="inlineStr">
        <is>
          <t>Iron Drums</t>
        </is>
      </c>
      <c r="I671" s="15" t="inlineStr">
        <is>
          <t>OK</t>
        </is>
      </c>
      <c r="J671" s="15" t="inlineStr">
        <is>
          <t>C</t>
        </is>
      </c>
      <c r="K671" s="15" t="inlineStr">
        <is>
          <t>Y</t>
        </is>
      </c>
      <c r="L671" s="15" t="n">
        <v>1026</v>
      </c>
      <c r="M671" s="16" t="n">
        <v>3.189834</v>
      </c>
      <c r="N671" s="16" t="n">
        <v>0</v>
      </c>
      <c r="O671" s="16" t="n">
        <v>0</v>
      </c>
      <c r="P671" s="16" t="n">
        <v>3.189834</v>
      </c>
      <c r="Q671">
        <f>--($A671=IF('الداشبورد'!$B$5="الكل",$A671,'الداشبورد'!$B$5))</f>
        <v/>
      </c>
      <c r="R671">
        <f>--($E671=IF('الداشبورد'!$B$6="الكل",$E671,'الداشبورد'!$B$6))</f>
        <v/>
      </c>
      <c r="S671">
        <f>--($K671=IF('الداشبورد'!$B$7="الكل",$K671,IF('الداشبورد'!$B$7="تصدير","Y","N")))</f>
        <v/>
      </c>
      <c r="T671">
        <f>--($J671=IF('الداشبورد'!$B$8="الكل",$J671,IF('الداشبورد'!$B$8="AL","A","C")))</f>
        <v/>
      </c>
      <c r="U671">
        <f>--($I671=IF('الداشبورد'!$B$9="الكل",$I671,IF('الداشبورد'!$B$9="بدون حالة","P",'الداشبورد'!$B$9)))</f>
        <v/>
      </c>
      <c r="V671">
        <f>--($D671=IF('الداشبورد'!$B$10="الكل",$D671,'الداشبورد'!$B$10))</f>
        <v/>
      </c>
      <c r="W671">
        <f>--($G671=IF('الداشبورد'!$B$11="الكل",$G671,'الداشبورد'!$B$11))</f>
        <v/>
      </c>
      <c r="X671">
        <f>Q671*R671*S671*T671*U671*V671*W671*--($C671&lt;&gt;"")</f>
        <v/>
      </c>
    </row>
    <row r="672">
      <c r="A672" s="15" t="n">
        <v>4</v>
      </c>
      <c r="B672" s="15" t="inlineStr">
        <is>
          <t>M184502</t>
        </is>
      </c>
      <c r="C672" s="15" t="inlineStr">
        <is>
          <t>730/26/02</t>
        </is>
      </c>
      <c r="D672" s="15" t="inlineStr">
        <is>
          <t>VLG RO S.R.L.</t>
        </is>
      </c>
      <c r="E672" s="15" t="inlineStr">
        <is>
          <t>MV</t>
        </is>
      </c>
      <c r="F672" s="15" t="inlineStr">
        <is>
          <t>12/20 KV 1X150/25</t>
        </is>
      </c>
      <c r="G672" s="15" t="inlineStr">
        <is>
          <t>EX05</t>
        </is>
      </c>
      <c r="H672" s="15" t="inlineStr">
        <is>
          <t>Wooden Drums</t>
        </is>
      </c>
      <c r="I672" s="15" t="inlineStr">
        <is>
          <t>OK</t>
        </is>
      </c>
      <c r="J672" s="15" t="inlineStr">
        <is>
          <t>A</t>
        </is>
      </c>
      <c r="K672" s="15" t="inlineStr">
        <is>
          <t>Y</t>
        </is>
      </c>
      <c r="L672" s="15" t="n">
        <v>1005</v>
      </c>
      <c r="M672" s="16" t="n">
        <v>0.39195</v>
      </c>
      <c r="N672" s="16" t="n">
        <v>0.23115</v>
      </c>
      <c r="O672" s="16" t="n">
        <v>0</v>
      </c>
      <c r="P672" s="16" t="n">
        <v>0.6231</v>
      </c>
      <c r="Q672">
        <f>--($A672=IF('الداشبورد'!$B$5="الكل",$A672,'الداشبورد'!$B$5))</f>
        <v/>
      </c>
      <c r="R672">
        <f>--($E672=IF('الداشبورد'!$B$6="الكل",$E672,'الداشبورد'!$B$6))</f>
        <v/>
      </c>
      <c r="S672">
        <f>--($K672=IF('الداشبورد'!$B$7="الكل",$K672,IF('الداشبورد'!$B$7="تصدير","Y","N")))</f>
        <v/>
      </c>
      <c r="T672">
        <f>--($J672=IF('الداشبورد'!$B$8="الكل",$J672,IF('الداشبورد'!$B$8="AL","A","C")))</f>
        <v/>
      </c>
      <c r="U672">
        <f>--($I672=IF('الداشبورد'!$B$9="الكل",$I672,IF('الداشبورد'!$B$9="بدون حالة","P",'الداشبورد'!$B$9)))</f>
        <v/>
      </c>
      <c r="V672">
        <f>--($D672=IF('الداشبورد'!$B$10="الكل",$D672,'الداشبورد'!$B$10))</f>
        <v/>
      </c>
      <c r="W672">
        <f>--($G672=IF('الداشبورد'!$B$11="الكل",$G672,'الداشبورد'!$B$11))</f>
        <v/>
      </c>
      <c r="X672">
        <f>Q672*R672*S672*T672*U672*V672*W672*--($C672&lt;&gt;"")</f>
        <v/>
      </c>
    </row>
    <row r="673">
      <c r="A673" s="15" t="n">
        <v>1</v>
      </c>
      <c r="B673" s="15" t="inlineStr">
        <is>
          <t>R184581</t>
        </is>
      </c>
      <c r="C673" s="15" t="inlineStr">
        <is>
          <t>1385/26/03</t>
        </is>
      </c>
      <c r="D673" s="15" t="inlineStr">
        <is>
          <t>الشركة العربية للصناعة والتجارة الدولية</t>
        </is>
      </c>
      <c r="E673" s="15" t="inlineStr">
        <is>
          <t>LV</t>
        </is>
      </c>
      <c r="F673" s="15" t="inlineStr">
        <is>
          <t>0.6/1 KV 3*240+120</t>
        </is>
      </c>
      <c r="G673" s="15" t="inlineStr">
        <is>
          <t>EX07</t>
        </is>
      </c>
      <c r="H673" s="15" t="inlineStr">
        <is>
          <t>Wooden Drums</t>
        </is>
      </c>
      <c r="I673" s="15" t="inlineStr">
        <is>
          <t>OK</t>
        </is>
      </c>
      <c r="J673" s="15" t="inlineStr">
        <is>
          <t>A</t>
        </is>
      </c>
      <c r="K673" s="15" t="inlineStr">
        <is>
          <t>N</t>
        </is>
      </c>
      <c r="L673" s="15" t="n">
        <v>1005</v>
      </c>
      <c r="M673" s="16" t="n">
        <v>2.207985</v>
      </c>
      <c r="N673" s="16" t="n">
        <v>0</v>
      </c>
      <c r="O673" s="16" t="n">
        <v>0</v>
      </c>
      <c r="P673" s="16" t="n">
        <v>2.207985</v>
      </c>
      <c r="Q673">
        <f>--($A673=IF('الداشبورد'!$B$5="الكل",$A673,'الداشبورد'!$B$5))</f>
        <v/>
      </c>
      <c r="R673">
        <f>--($E673=IF('الداشبورد'!$B$6="الكل",$E673,'الداشبورد'!$B$6))</f>
        <v/>
      </c>
      <c r="S673">
        <f>--($K673=IF('الداشبورد'!$B$7="الكل",$K673,IF('الداشبورد'!$B$7="تصدير","Y","N")))</f>
        <v/>
      </c>
      <c r="T673">
        <f>--($J673=IF('الداشبورد'!$B$8="الكل",$J673,IF('الداشبورد'!$B$8="AL","A","C")))</f>
        <v/>
      </c>
      <c r="U673">
        <f>--($I673=IF('الداشبورد'!$B$9="الكل",$I673,IF('الداشبورد'!$B$9="بدون حالة","P",'الداشبورد'!$B$9)))</f>
        <v/>
      </c>
      <c r="V673">
        <f>--($D673=IF('الداشبورد'!$B$10="الكل",$D673,'الداشبورد'!$B$10))</f>
        <v/>
      </c>
      <c r="W673">
        <f>--($G673=IF('الداشبورد'!$B$11="الكل",$G673,'الداشبورد'!$B$11))</f>
        <v/>
      </c>
      <c r="X673">
        <f>Q673*R673*S673*T673*U673*V673*W673*--($C673&lt;&gt;"")</f>
        <v/>
      </c>
    </row>
    <row r="674">
      <c r="A674" s="15" t="n">
        <v>5</v>
      </c>
      <c r="B674" s="15" t="inlineStr">
        <is>
          <t>P184722</t>
        </is>
      </c>
      <c r="C674" s="15" t="inlineStr">
        <is>
          <t>1431/26/09</t>
        </is>
      </c>
      <c r="D674" s="15" t="inlineStr">
        <is>
          <t>Faber Kabel</t>
        </is>
      </c>
      <c r="E674" s="15" t="inlineStr">
        <is>
          <t>LV</t>
        </is>
      </c>
      <c r="F674" s="15" t="inlineStr">
        <is>
          <t>0.6/1 KV 5X120</t>
        </is>
      </c>
      <c r="G674" s="15" t="inlineStr">
        <is>
          <t>EX03</t>
        </is>
      </c>
      <c r="H674" s="15" t="inlineStr">
        <is>
          <t>Wooden Drums</t>
        </is>
      </c>
      <c r="I674" s="15" t="inlineStr">
        <is>
          <t>OK</t>
        </is>
      </c>
      <c r="J674" s="15" t="inlineStr">
        <is>
          <t>A</t>
        </is>
      </c>
      <c r="K674" s="15" t="inlineStr">
        <is>
          <t>Y</t>
        </is>
      </c>
      <c r="L674" s="15" t="n">
        <v>1033</v>
      </c>
      <c r="M674" s="16" t="n">
        <v>1.675526</v>
      </c>
      <c r="N674" s="16" t="n">
        <v>0</v>
      </c>
      <c r="O674" s="16" t="n">
        <v>0</v>
      </c>
      <c r="P674" s="16" t="n">
        <v>1.675526</v>
      </c>
      <c r="Q674">
        <f>--($A674=IF('الداشبورد'!$B$5="الكل",$A674,'الداشبورد'!$B$5))</f>
        <v/>
      </c>
      <c r="R674">
        <f>--($E674=IF('الداشبورد'!$B$6="الكل",$E674,'الداشبورد'!$B$6))</f>
        <v/>
      </c>
      <c r="S674">
        <f>--($K674=IF('الداشبورد'!$B$7="الكل",$K674,IF('الداشبورد'!$B$7="تصدير","Y","N")))</f>
        <v/>
      </c>
      <c r="T674">
        <f>--($J674=IF('الداشبورد'!$B$8="الكل",$J674,IF('الداشبورد'!$B$8="AL","A","C")))</f>
        <v/>
      </c>
      <c r="U674">
        <f>--($I674=IF('الداشبورد'!$B$9="الكل",$I674,IF('الداشبورد'!$B$9="بدون حالة","P",'الداشبورد'!$B$9)))</f>
        <v/>
      </c>
      <c r="V674">
        <f>--($D674=IF('الداشبورد'!$B$10="الكل",$D674,'الداشبورد'!$B$10))</f>
        <v/>
      </c>
      <c r="W674">
        <f>--($G674=IF('الداشبورد'!$B$11="الكل",$G674,'الداشبورد'!$B$11))</f>
        <v/>
      </c>
      <c r="X674">
        <f>Q674*R674*S674*T674*U674*V674*W674*--($C674&lt;&gt;"")</f>
        <v/>
      </c>
    </row>
    <row r="675">
      <c r="A675" s="15" t="n">
        <v>5</v>
      </c>
      <c r="B675" s="15" t="inlineStr">
        <is>
          <t>R184632</t>
        </is>
      </c>
      <c r="C675" s="15" t="inlineStr">
        <is>
          <t>1237/26/02</t>
        </is>
      </c>
      <c r="D675" s="15" t="inlineStr">
        <is>
          <t>Al Jawad- Cote D'ivoire</t>
        </is>
      </c>
      <c r="E675" s="15" t="inlineStr">
        <is>
          <t>MV</t>
        </is>
      </c>
      <c r="F675" s="15" t="inlineStr">
        <is>
          <t>18/30KV 3*1*240</t>
        </is>
      </c>
      <c r="G675" s="15" t="inlineStr">
        <is>
          <t>RW01</t>
        </is>
      </c>
      <c r="H675" s="15" t="inlineStr">
        <is>
          <t>Wooden Drums</t>
        </is>
      </c>
      <c r="I675" s="15" t="inlineStr">
        <is>
          <t>OK</t>
        </is>
      </c>
      <c r="J675" s="15" t="inlineStr">
        <is>
          <t>A</t>
        </is>
      </c>
      <c r="K675" s="15" t="inlineStr">
        <is>
          <t>Y</t>
        </is>
      </c>
      <c r="L675" s="15" t="n">
        <v>605</v>
      </c>
      <c r="M675" s="16" t="n">
        <v>1.131955</v>
      </c>
      <c r="N675" s="16" t="n">
        <v>0</v>
      </c>
      <c r="O675" s="16" t="n">
        <v>0</v>
      </c>
      <c r="P675" s="16" t="n">
        <v>1.131955</v>
      </c>
      <c r="Q675">
        <f>--($A675=IF('الداشبورد'!$B$5="الكل",$A675,'الداشبورد'!$B$5))</f>
        <v/>
      </c>
      <c r="R675">
        <f>--($E675=IF('الداشبورد'!$B$6="الكل",$E675,'الداشبورد'!$B$6))</f>
        <v/>
      </c>
      <c r="S675">
        <f>--($K675=IF('الداشبورد'!$B$7="الكل",$K675,IF('الداشبورد'!$B$7="تصدير","Y","N")))</f>
        <v/>
      </c>
      <c r="T675">
        <f>--($J675=IF('الداشبورد'!$B$8="الكل",$J675,IF('الداشبورد'!$B$8="AL","A","C")))</f>
        <v/>
      </c>
      <c r="U675">
        <f>--($I675=IF('الداشبورد'!$B$9="الكل",$I675,IF('الداشبورد'!$B$9="بدون حالة","P",'الداشبورد'!$B$9)))</f>
        <v/>
      </c>
      <c r="V675">
        <f>--($D675=IF('الداشبورد'!$B$10="الكل",$D675,'الداشبورد'!$B$10))</f>
        <v/>
      </c>
      <c r="W675">
        <f>--($G675=IF('الداشبورد'!$B$11="الكل",$G675,'الداشبورد'!$B$11))</f>
        <v/>
      </c>
      <c r="X675">
        <f>Q675*R675*S675*T675*U675*V675*W675*--($C675&lt;&gt;"")</f>
        <v/>
      </c>
    </row>
    <row r="676">
      <c r="A676" s="15" t="n">
        <v>6</v>
      </c>
      <c r="B676" s="15" t="inlineStr">
        <is>
          <t>I184874</t>
        </is>
      </c>
      <c r="C676" s="15" t="inlineStr">
        <is>
          <t>1464/26/02</t>
        </is>
      </c>
      <c r="D676" s="15" t="inlineStr">
        <is>
          <t>Eland Cables</t>
        </is>
      </c>
      <c r="E676" s="15" t="inlineStr">
        <is>
          <t>MV</t>
        </is>
      </c>
      <c r="F676" s="15" t="inlineStr">
        <is>
          <t>20.8/36kv 1*70</t>
        </is>
      </c>
      <c r="G676" s="15" t="inlineStr">
        <is>
          <t>EX05</t>
        </is>
      </c>
      <c r="H676" s="15" t="inlineStr">
        <is>
          <t>Wooden Drums</t>
        </is>
      </c>
      <c r="I676" s="15" t="inlineStr">
        <is>
          <t>OK</t>
        </is>
      </c>
      <c r="J676" s="15" t="inlineStr">
        <is>
          <t>C</t>
        </is>
      </c>
      <c r="K676" s="15" t="inlineStr">
        <is>
          <t>Y</t>
        </is>
      </c>
      <c r="L676" s="15" t="n">
        <v>526</v>
      </c>
      <c r="M676" s="16" t="n">
        <v>0.308236</v>
      </c>
      <c r="N676" s="16" t="n">
        <v>0.07679599999999999</v>
      </c>
      <c r="O676" s="16" t="n">
        <v>0</v>
      </c>
      <c r="P676" s="16" t="n">
        <v>0.385032</v>
      </c>
      <c r="Q676">
        <f>--($A676=IF('الداشبورد'!$B$5="الكل",$A676,'الداشبورد'!$B$5))</f>
        <v/>
      </c>
      <c r="R676">
        <f>--($E676=IF('الداشبورد'!$B$6="الكل",$E676,'الداشبورد'!$B$6))</f>
        <v/>
      </c>
      <c r="S676">
        <f>--($K676=IF('الداشبورد'!$B$7="الكل",$K676,IF('الداشبورد'!$B$7="تصدير","Y","N")))</f>
        <v/>
      </c>
      <c r="T676">
        <f>--($J676=IF('الداشبورد'!$B$8="الكل",$J676,IF('الداشبورد'!$B$8="AL","A","C")))</f>
        <v/>
      </c>
      <c r="U676">
        <f>--($I676=IF('الداشبورد'!$B$9="الكل",$I676,IF('الداشبورد'!$B$9="بدون حالة","P",'الداشبورد'!$B$9)))</f>
        <v/>
      </c>
      <c r="V676">
        <f>--($D676=IF('الداشبورد'!$B$10="الكل",$D676,'الداشبورد'!$B$10))</f>
        <v/>
      </c>
      <c r="W676">
        <f>--($G676=IF('الداشبورد'!$B$11="الكل",$G676,'الداشبورد'!$B$11))</f>
        <v/>
      </c>
      <c r="X676">
        <f>Q676*R676*S676*T676*U676*V676*W676*--($C676&lt;&gt;"")</f>
        <v/>
      </c>
    </row>
    <row r="677">
      <c r="A677" s="15" t="n">
        <v>6</v>
      </c>
      <c r="B677" s="15" t="inlineStr">
        <is>
          <t>J184777</t>
        </is>
      </c>
      <c r="C677" s="15" t="inlineStr">
        <is>
          <t>836/26/01</t>
        </is>
      </c>
      <c r="D677" s="15" t="inlineStr">
        <is>
          <t>Faber Kabel</t>
        </is>
      </c>
      <c r="E677" s="15" t="inlineStr">
        <is>
          <t>LV</t>
        </is>
      </c>
      <c r="F677" s="15" t="inlineStr">
        <is>
          <t>0.6/1 KV 4X50</t>
        </is>
      </c>
      <c r="G677" s="15" t="inlineStr">
        <is>
          <t>EX03</t>
        </is>
      </c>
      <c r="H677" s="15" t="inlineStr">
        <is>
          <t>Wooden Drums</t>
        </is>
      </c>
      <c r="I677" s="15" t="inlineStr">
        <is>
          <t>OK</t>
        </is>
      </c>
      <c r="J677" s="15" t="inlineStr">
        <is>
          <t>A</t>
        </is>
      </c>
      <c r="K677" s="15" t="inlineStr">
        <is>
          <t>Y</t>
        </is>
      </c>
      <c r="L677" s="15" t="n">
        <v>1035</v>
      </c>
      <c r="M677" s="16" t="n">
        <v>0.49059</v>
      </c>
      <c r="N677" s="16" t="n">
        <v>0</v>
      </c>
      <c r="O677" s="16" t="n">
        <v>0</v>
      </c>
      <c r="P677" s="16" t="n">
        <v>0.49059</v>
      </c>
      <c r="Q677">
        <f>--($A677=IF('الداشبورد'!$B$5="الكل",$A677,'الداشبورد'!$B$5))</f>
        <v/>
      </c>
      <c r="R677">
        <f>--($E677=IF('الداشبورد'!$B$6="الكل",$E677,'الداشبورد'!$B$6))</f>
        <v/>
      </c>
      <c r="S677">
        <f>--($K677=IF('الداشبورد'!$B$7="الكل",$K677,IF('الداشبورد'!$B$7="تصدير","Y","N")))</f>
        <v/>
      </c>
      <c r="T677">
        <f>--($J677=IF('الداشبورد'!$B$8="الكل",$J677,IF('الداشبورد'!$B$8="AL","A","C")))</f>
        <v/>
      </c>
      <c r="U677">
        <f>--($I677=IF('الداشبورد'!$B$9="الكل",$I677,IF('الداشبورد'!$B$9="بدون حالة","P",'الداشبورد'!$B$9)))</f>
        <v/>
      </c>
      <c r="V677">
        <f>--($D677=IF('الداشبورد'!$B$10="الكل",$D677,'الداشبورد'!$B$10))</f>
        <v/>
      </c>
      <c r="W677">
        <f>--($G677=IF('الداشبورد'!$B$11="الكل",$G677,'الداشبورد'!$B$11))</f>
        <v/>
      </c>
      <c r="X677">
        <f>Q677*R677*S677*T677*U677*V677*W677*--($C677&lt;&gt;"")</f>
        <v/>
      </c>
    </row>
    <row r="678">
      <c r="A678" s="15" t="n">
        <v>6</v>
      </c>
      <c r="B678" s="15" t="inlineStr">
        <is>
          <t>J184776</t>
        </is>
      </c>
      <c r="C678" s="15" t="inlineStr">
        <is>
          <t>836/26/01</t>
        </is>
      </c>
      <c r="D678" s="15" t="inlineStr">
        <is>
          <t>Faber Kabel</t>
        </is>
      </c>
      <c r="E678" s="15" t="inlineStr">
        <is>
          <t>LV</t>
        </is>
      </c>
      <c r="F678" s="15" t="inlineStr">
        <is>
          <t>0.6/1 KV 4X50</t>
        </is>
      </c>
      <c r="G678" s="15" t="inlineStr">
        <is>
          <t>EX03</t>
        </is>
      </c>
      <c r="H678" s="15" t="inlineStr">
        <is>
          <t>Wooden Drums</t>
        </is>
      </c>
      <c r="I678" s="15" t="inlineStr">
        <is>
          <t>OK</t>
        </is>
      </c>
      <c r="J678" s="15" t="inlineStr">
        <is>
          <t>A</t>
        </is>
      </c>
      <c r="K678" s="15" t="inlineStr">
        <is>
          <t>Y</t>
        </is>
      </c>
      <c r="L678" s="15" t="n">
        <v>1035</v>
      </c>
      <c r="M678" s="16" t="n">
        <v>0.49059</v>
      </c>
      <c r="N678" s="16" t="n">
        <v>0</v>
      </c>
      <c r="O678" s="16" t="n">
        <v>0</v>
      </c>
      <c r="P678" s="16" t="n">
        <v>0.49059</v>
      </c>
      <c r="Q678">
        <f>--($A678=IF('الداشبورد'!$B$5="الكل",$A678,'الداشبورد'!$B$5))</f>
        <v/>
      </c>
      <c r="R678">
        <f>--($E678=IF('الداشبورد'!$B$6="الكل",$E678,'الداشبورد'!$B$6))</f>
        <v/>
      </c>
      <c r="S678">
        <f>--($K678=IF('الداشبورد'!$B$7="الكل",$K678,IF('الداشبورد'!$B$7="تصدير","Y","N")))</f>
        <v/>
      </c>
      <c r="T678">
        <f>--($J678=IF('الداشبورد'!$B$8="الكل",$J678,IF('الداشبورد'!$B$8="AL","A","C")))</f>
        <v/>
      </c>
      <c r="U678">
        <f>--($I678=IF('الداشبورد'!$B$9="الكل",$I678,IF('الداشبورد'!$B$9="بدون حالة","P",'الداشبورد'!$B$9)))</f>
        <v/>
      </c>
      <c r="V678">
        <f>--($D678=IF('الداشبورد'!$B$10="الكل",$D678,'الداشبورد'!$B$10))</f>
        <v/>
      </c>
      <c r="W678">
        <f>--($G678=IF('الداشبورد'!$B$11="الكل",$G678,'الداشبورد'!$B$11))</f>
        <v/>
      </c>
      <c r="X678">
        <f>Q678*R678*S678*T678*U678*V678*W678*--($C678&lt;&gt;"")</f>
        <v/>
      </c>
    </row>
    <row r="679">
      <c r="A679" s="15" t="n">
        <v>6</v>
      </c>
      <c r="B679" s="15" t="inlineStr">
        <is>
          <t>M184838</t>
        </is>
      </c>
      <c r="C679" s="15" t="inlineStr">
        <is>
          <t>837/26/03</t>
        </is>
      </c>
      <c r="D679" s="15" t="inlineStr">
        <is>
          <t>Faber Kabel</t>
        </is>
      </c>
      <c r="E679" s="15" t="inlineStr">
        <is>
          <t>LV</t>
        </is>
      </c>
      <c r="F679" s="15" t="inlineStr">
        <is>
          <t>600/1000 4X185</t>
        </is>
      </c>
      <c r="G679" s="15" t="inlineStr">
        <is>
          <t>EX03</t>
        </is>
      </c>
      <c r="H679" s="15" t="inlineStr">
        <is>
          <t>Wooden Drums</t>
        </is>
      </c>
      <c r="I679" s="15" t="inlineStr">
        <is>
          <t>OK</t>
        </is>
      </c>
      <c r="J679" s="15" t="inlineStr">
        <is>
          <t>A</t>
        </is>
      </c>
      <c r="K679" s="15" t="inlineStr">
        <is>
          <t>Y</t>
        </is>
      </c>
      <c r="L679" s="15" t="n">
        <v>512</v>
      </c>
      <c r="M679" s="16" t="n">
        <v>0.953856</v>
      </c>
      <c r="N679" s="16" t="n">
        <v>0</v>
      </c>
      <c r="O679" s="16" t="n">
        <v>0</v>
      </c>
      <c r="P679" s="16" t="n">
        <v>0.953856</v>
      </c>
      <c r="Q679">
        <f>--($A679=IF('الداشبورد'!$B$5="الكل",$A679,'الداشبورد'!$B$5))</f>
        <v/>
      </c>
      <c r="R679">
        <f>--($E679=IF('الداشبورد'!$B$6="الكل",$E679,'الداشبورد'!$B$6))</f>
        <v/>
      </c>
      <c r="S679">
        <f>--($K679=IF('الداشبورد'!$B$7="الكل",$K679,IF('الداشبورد'!$B$7="تصدير","Y","N")))</f>
        <v/>
      </c>
      <c r="T679">
        <f>--($J679=IF('الداشبورد'!$B$8="الكل",$J679,IF('الداشبورد'!$B$8="AL","A","C")))</f>
        <v/>
      </c>
      <c r="U679">
        <f>--($I679=IF('الداشبورد'!$B$9="الكل",$I679,IF('الداشبورد'!$B$9="بدون حالة","P",'الداشبورد'!$B$9)))</f>
        <v/>
      </c>
      <c r="V679">
        <f>--($D679=IF('الداشبورد'!$B$10="الكل",$D679,'الداشبورد'!$B$10))</f>
        <v/>
      </c>
      <c r="W679">
        <f>--($G679=IF('الداشبورد'!$B$11="الكل",$G679,'الداشبورد'!$B$11))</f>
        <v/>
      </c>
      <c r="X679">
        <f>Q679*R679*S679*T679*U679*V679*W679*--($C679&lt;&gt;"")</f>
        <v/>
      </c>
    </row>
    <row r="680">
      <c r="A680" s="15" t="n">
        <v>6</v>
      </c>
      <c r="B680" s="15" t="inlineStr">
        <is>
          <t>J184775</t>
        </is>
      </c>
      <c r="C680" s="15" t="inlineStr">
        <is>
          <t>836/26/01</t>
        </is>
      </c>
      <c r="D680" s="15" t="inlineStr">
        <is>
          <t>Faber Kabel</t>
        </is>
      </c>
      <c r="E680" s="15" t="inlineStr">
        <is>
          <t>LV</t>
        </is>
      </c>
      <c r="F680" s="15" t="inlineStr">
        <is>
          <t>0.6/1 KV 4X50</t>
        </is>
      </c>
      <c r="G680" s="15" t="inlineStr">
        <is>
          <t>EX03</t>
        </is>
      </c>
      <c r="H680" s="15" t="inlineStr">
        <is>
          <t>Wooden Drums</t>
        </is>
      </c>
      <c r="I680" s="15" t="inlineStr">
        <is>
          <t>OK</t>
        </is>
      </c>
      <c r="J680" s="15" t="inlineStr">
        <is>
          <t>A</t>
        </is>
      </c>
      <c r="K680" s="15" t="inlineStr">
        <is>
          <t>Y</t>
        </is>
      </c>
      <c r="L680" s="15" t="n">
        <v>1020</v>
      </c>
      <c r="M680" s="16" t="n">
        <v>0.48348</v>
      </c>
      <c r="N680" s="16" t="n">
        <v>0</v>
      </c>
      <c r="O680" s="16" t="n">
        <v>0</v>
      </c>
      <c r="P680" s="16" t="n">
        <v>0.48348</v>
      </c>
      <c r="Q680">
        <f>--($A680=IF('الداشبورد'!$B$5="الكل",$A680,'الداشبورد'!$B$5))</f>
        <v/>
      </c>
      <c r="R680">
        <f>--($E680=IF('الداشبورد'!$B$6="الكل",$E680,'الداشبورد'!$B$6))</f>
        <v/>
      </c>
      <c r="S680">
        <f>--($K680=IF('الداشبورد'!$B$7="الكل",$K680,IF('الداشبورد'!$B$7="تصدير","Y","N")))</f>
        <v/>
      </c>
      <c r="T680">
        <f>--($J680=IF('الداشبورد'!$B$8="الكل",$J680,IF('الداشبورد'!$B$8="AL","A","C")))</f>
        <v/>
      </c>
      <c r="U680">
        <f>--($I680=IF('الداشبورد'!$B$9="الكل",$I680,IF('الداشبورد'!$B$9="بدون حالة","P",'الداشبورد'!$B$9)))</f>
        <v/>
      </c>
      <c r="V680">
        <f>--($D680=IF('الداشبورد'!$B$10="الكل",$D680,'الداشبورد'!$B$10))</f>
        <v/>
      </c>
      <c r="W680">
        <f>--($G680=IF('الداشبورد'!$B$11="الكل",$G680,'الداشبورد'!$B$11))</f>
        <v/>
      </c>
      <c r="X680">
        <f>Q680*R680*S680*T680*U680*V680*W680*--($C680&lt;&gt;"")</f>
        <v/>
      </c>
    </row>
    <row r="681">
      <c r="A681" s="15" t="n">
        <v>6</v>
      </c>
      <c r="B681" s="15" t="inlineStr">
        <is>
          <t>M184848</t>
        </is>
      </c>
      <c r="C681" s="15" t="inlineStr">
        <is>
          <t>837/26/03</t>
        </is>
      </c>
      <c r="D681" s="15" t="inlineStr">
        <is>
          <t>Faber Kabel</t>
        </is>
      </c>
      <c r="E681" s="15" t="inlineStr">
        <is>
          <t>LV</t>
        </is>
      </c>
      <c r="F681" s="15" t="inlineStr">
        <is>
          <t>600/1000 4X185</t>
        </is>
      </c>
      <c r="G681" s="15" t="inlineStr">
        <is>
          <t>EX03</t>
        </is>
      </c>
      <c r="H681" s="15" t="inlineStr">
        <is>
          <t>Wooden Drums</t>
        </is>
      </c>
      <c r="I681" s="15" t="inlineStr">
        <is>
          <t>OK</t>
        </is>
      </c>
      <c r="J681" s="15" t="inlineStr">
        <is>
          <t>A</t>
        </is>
      </c>
      <c r="K681" s="15" t="inlineStr">
        <is>
          <t>Y</t>
        </is>
      </c>
      <c r="L681" s="15" t="n">
        <v>512</v>
      </c>
      <c r="M681" s="16" t="n">
        <v>0.953856</v>
      </c>
      <c r="N681" s="16" t="n">
        <v>0</v>
      </c>
      <c r="O681" s="16" t="n">
        <v>0</v>
      </c>
      <c r="P681" s="16" t="n">
        <v>0.953856</v>
      </c>
      <c r="Q681">
        <f>--($A681=IF('الداشبورد'!$B$5="الكل",$A681,'الداشبورد'!$B$5))</f>
        <v/>
      </c>
      <c r="R681">
        <f>--($E681=IF('الداشبورد'!$B$6="الكل",$E681,'الداشبورد'!$B$6))</f>
        <v/>
      </c>
      <c r="S681">
        <f>--($K681=IF('الداشبورد'!$B$7="الكل",$K681,IF('الداشبورد'!$B$7="تصدير","Y","N")))</f>
        <v/>
      </c>
      <c r="T681">
        <f>--($J681=IF('الداشبورد'!$B$8="الكل",$J681,IF('الداشبورد'!$B$8="AL","A","C")))</f>
        <v/>
      </c>
      <c r="U681">
        <f>--($I681=IF('الداشبورد'!$B$9="الكل",$I681,IF('الداشبورد'!$B$9="بدون حالة","P",'الداشبورد'!$B$9)))</f>
        <v/>
      </c>
      <c r="V681">
        <f>--($D681=IF('الداشبورد'!$B$10="الكل",$D681,'الداشبورد'!$B$10))</f>
        <v/>
      </c>
      <c r="W681">
        <f>--($G681=IF('الداشبورد'!$B$11="الكل",$G681,'الداشبورد'!$B$11))</f>
        <v/>
      </c>
      <c r="X681">
        <f>Q681*R681*S681*T681*U681*V681*W681*--($C681&lt;&gt;"")</f>
        <v/>
      </c>
    </row>
    <row r="682">
      <c r="A682" s="15" t="n">
        <v>6</v>
      </c>
      <c r="B682" s="15" t="inlineStr">
        <is>
          <t>Q183932</t>
        </is>
      </c>
      <c r="C682" s="15" t="inlineStr">
        <is>
          <t>1200/26/04</t>
        </is>
      </c>
      <c r="D682" s="15" t="inlineStr">
        <is>
          <t>INSELL</t>
        </is>
      </c>
      <c r="E682" s="15" t="inlineStr">
        <is>
          <t>MV</t>
        </is>
      </c>
      <c r="F682" s="15" t="inlineStr">
        <is>
          <t>12/20 KV 1X240/50</t>
        </is>
      </c>
      <c r="G682" s="15" t="inlineStr">
        <is>
          <t>EX06</t>
        </is>
      </c>
      <c r="H682" s="15" t="inlineStr">
        <is>
          <t>Wooden Drums</t>
        </is>
      </c>
      <c r="I682" s="15" t="inlineStr">
        <is>
          <t>OK</t>
        </is>
      </c>
      <c r="J682" s="15" t="inlineStr">
        <is>
          <t>A</t>
        </is>
      </c>
      <c r="K682" s="15" t="inlineStr">
        <is>
          <t>Y</t>
        </is>
      </c>
      <c r="L682" s="15" t="n">
        <v>2035</v>
      </c>
      <c r="M682" s="16" t="n">
        <v>1.27391</v>
      </c>
      <c r="N682" s="16" t="n">
        <v>0.921855</v>
      </c>
      <c r="O682" s="16" t="n">
        <v>0</v>
      </c>
      <c r="P682" s="16" t="n">
        <v>2.195765</v>
      </c>
      <c r="Q682">
        <f>--($A682=IF('الداشبورد'!$B$5="الكل",$A682,'الداشبورد'!$B$5))</f>
        <v/>
      </c>
      <c r="R682">
        <f>--($E682=IF('الداشبورد'!$B$6="الكل",$E682,'الداشبورد'!$B$6))</f>
        <v/>
      </c>
      <c r="S682">
        <f>--($K682=IF('الداشبورد'!$B$7="الكل",$K682,IF('الداشبورد'!$B$7="تصدير","Y","N")))</f>
        <v/>
      </c>
      <c r="T682">
        <f>--($J682=IF('الداشبورد'!$B$8="الكل",$J682,IF('الداشبورد'!$B$8="AL","A","C")))</f>
        <v/>
      </c>
      <c r="U682">
        <f>--($I682=IF('الداشبورد'!$B$9="الكل",$I682,IF('الداشبورد'!$B$9="بدون حالة","P",'الداشبورد'!$B$9)))</f>
        <v/>
      </c>
      <c r="V682">
        <f>--($D682=IF('الداشبورد'!$B$10="الكل",$D682,'الداشبورد'!$B$10))</f>
        <v/>
      </c>
      <c r="W682">
        <f>--($G682=IF('الداشبورد'!$B$11="الكل",$G682,'الداشبورد'!$B$11))</f>
        <v/>
      </c>
      <c r="X682">
        <f>Q682*R682*S682*T682*U682*V682*W682*--($C682&lt;&gt;"")</f>
        <v/>
      </c>
    </row>
    <row r="683">
      <c r="A683" s="15" t="n">
        <v>6</v>
      </c>
      <c r="B683" s="15" t="inlineStr">
        <is>
          <t>M184820</t>
        </is>
      </c>
      <c r="C683" s="15" t="inlineStr">
        <is>
          <t>1219/26/15</t>
        </is>
      </c>
      <c r="D683" s="15" t="inlineStr">
        <is>
          <t>Faber Kabel</t>
        </is>
      </c>
      <c r="E683" s="15" t="inlineStr">
        <is>
          <t>LV</t>
        </is>
      </c>
      <c r="F683" s="15" t="inlineStr">
        <is>
          <t>600/1000 4X185</t>
        </is>
      </c>
      <c r="G683" s="15" t="inlineStr">
        <is>
          <t>EX03</t>
        </is>
      </c>
      <c r="H683" s="15" t="inlineStr">
        <is>
          <t>Wooden Drums</t>
        </is>
      </c>
      <c r="I683" s="15" t="inlineStr">
        <is>
          <t>OK</t>
        </is>
      </c>
      <c r="J683" s="15" t="inlineStr">
        <is>
          <t>A</t>
        </is>
      </c>
      <c r="K683" s="15" t="inlineStr">
        <is>
          <t>Y</t>
        </is>
      </c>
      <c r="L683" s="15" t="n">
        <v>507</v>
      </c>
      <c r="M683" s="16" t="n">
        <v>0.944541</v>
      </c>
      <c r="N683" s="16" t="n">
        <v>0</v>
      </c>
      <c r="O683" s="16" t="n">
        <v>0</v>
      </c>
      <c r="P683" s="16" t="n">
        <v>0.944541</v>
      </c>
      <c r="Q683">
        <f>--($A683=IF('الداشبورد'!$B$5="الكل",$A683,'الداشبورد'!$B$5))</f>
        <v/>
      </c>
      <c r="R683">
        <f>--($E683=IF('الداشبورد'!$B$6="الكل",$E683,'الداشبورد'!$B$6))</f>
        <v/>
      </c>
      <c r="S683">
        <f>--($K683=IF('الداشبورد'!$B$7="الكل",$K683,IF('الداشبورد'!$B$7="تصدير","Y","N")))</f>
        <v/>
      </c>
      <c r="T683">
        <f>--($J683=IF('الداشبورد'!$B$8="الكل",$J683,IF('الداشبورد'!$B$8="AL","A","C")))</f>
        <v/>
      </c>
      <c r="U683">
        <f>--($I683=IF('الداشبورد'!$B$9="الكل",$I683,IF('الداشبورد'!$B$9="بدون حالة","P",'الداشبورد'!$B$9)))</f>
        <v/>
      </c>
      <c r="V683">
        <f>--($D683=IF('الداشبورد'!$B$10="الكل",$D683,'الداشبورد'!$B$10))</f>
        <v/>
      </c>
      <c r="W683">
        <f>--($G683=IF('الداشبورد'!$B$11="الكل",$G683,'الداشبورد'!$B$11))</f>
        <v/>
      </c>
      <c r="X683">
        <f>Q683*R683*S683*T683*U683*V683*W683*--($C683&lt;&gt;"")</f>
        <v/>
      </c>
    </row>
    <row r="684">
      <c r="A684" s="15" t="n">
        <v>6</v>
      </c>
      <c r="B684" s="15" t="inlineStr">
        <is>
          <t>M184837</t>
        </is>
      </c>
      <c r="C684" s="15" t="inlineStr">
        <is>
          <t>837/26/03</t>
        </is>
      </c>
      <c r="D684" s="15" t="inlineStr">
        <is>
          <t>Faber Kabel</t>
        </is>
      </c>
      <c r="E684" s="15" t="inlineStr">
        <is>
          <t>LV</t>
        </is>
      </c>
      <c r="F684" s="15" t="inlineStr">
        <is>
          <t>600/1000 4X185</t>
        </is>
      </c>
      <c r="G684" s="15" t="inlineStr">
        <is>
          <t>EX03</t>
        </is>
      </c>
      <c r="H684" s="15" t="inlineStr">
        <is>
          <t>Wooden Drums</t>
        </is>
      </c>
      <c r="I684" s="15" t="inlineStr">
        <is>
          <t>OK</t>
        </is>
      </c>
      <c r="J684" s="15" t="inlineStr">
        <is>
          <t>A</t>
        </is>
      </c>
      <c r="K684" s="15" t="inlineStr">
        <is>
          <t>Y</t>
        </is>
      </c>
      <c r="L684" s="15" t="n">
        <v>520</v>
      </c>
      <c r="M684" s="16" t="n">
        <v>0.96876</v>
      </c>
      <c r="N684" s="16" t="n">
        <v>0</v>
      </c>
      <c r="O684" s="16" t="n">
        <v>0</v>
      </c>
      <c r="P684" s="16" t="n">
        <v>0.96876</v>
      </c>
      <c r="Q684">
        <f>--($A684=IF('الداشبورد'!$B$5="الكل",$A684,'الداشبورد'!$B$5))</f>
        <v/>
      </c>
      <c r="R684">
        <f>--($E684=IF('الداشبورد'!$B$6="الكل",$E684,'الداشبورد'!$B$6))</f>
        <v/>
      </c>
      <c r="S684">
        <f>--($K684=IF('الداشبورد'!$B$7="الكل",$K684,IF('الداشبورد'!$B$7="تصدير","Y","N")))</f>
        <v/>
      </c>
      <c r="T684">
        <f>--($J684=IF('الداشبورد'!$B$8="الكل",$J684,IF('الداشبورد'!$B$8="AL","A","C")))</f>
        <v/>
      </c>
      <c r="U684">
        <f>--($I684=IF('الداشبورد'!$B$9="الكل",$I684,IF('الداشبورد'!$B$9="بدون حالة","P",'الداشبورد'!$B$9)))</f>
        <v/>
      </c>
      <c r="V684">
        <f>--($D684=IF('الداشبورد'!$B$10="الكل",$D684,'الداشبورد'!$B$10))</f>
        <v/>
      </c>
      <c r="W684">
        <f>--($G684=IF('الداشبورد'!$B$11="الكل",$G684,'الداشبورد'!$B$11))</f>
        <v/>
      </c>
      <c r="X684">
        <f>Q684*R684*S684*T684*U684*V684*W684*--($C684&lt;&gt;"")</f>
        <v/>
      </c>
    </row>
    <row r="685">
      <c r="A685" s="15" t="n">
        <v>3</v>
      </c>
      <c r="B685" s="15" t="inlineStr">
        <is>
          <t>I184405</t>
        </is>
      </c>
      <c r="C685" s="15" t="inlineStr">
        <is>
          <t>1403/26/03</t>
        </is>
      </c>
      <c r="D685" s="15" t="inlineStr">
        <is>
          <t>Eland Cables</t>
        </is>
      </c>
      <c r="E685" s="15" t="inlineStr">
        <is>
          <t>MV</t>
        </is>
      </c>
      <c r="F685" s="15" t="inlineStr">
        <is>
          <t>6.35/11 KV 1X300</t>
        </is>
      </c>
      <c r="G685" s="15" t="inlineStr">
        <is>
          <t>EX09</t>
        </is>
      </c>
      <c r="H685" s="15" t="inlineStr">
        <is>
          <t>Wooden Drums</t>
        </is>
      </c>
      <c r="I685" s="15" t="inlineStr">
        <is>
          <t>OK</t>
        </is>
      </c>
      <c r="J685" s="15" t="inlineStr">
        <is>
          <t>C</t>
        </is>
      </c>
      <c r="K685" s="15" t="inlineStr">
        <is>
          <t>Y</t>
        </is>
      </c>
      <c r="L685" s="15" t="n">
        <v>517</v>
      </c>
      <c r="M685" s="16" t="n">
        <v>1.341615</v>
      </c>
      <c r="N685" s="16" t="n">
        <v>0</v>
      </c>
      <c r="O685" s="16" t="n">
        <v>0.188705</v>
      </c>
      <c r="P685" s="16" t="n">
        <v>1.53032</v>
      </c>
      <c r="Q685">
        <f>--($A685=IF('الداشبورد'!$B$5="الكل",$A685,'الداشبورد'!$B$5))</f>
        <v/>
      </c>
      <c r="R685">
        <f>--($E685=IF('الداشبورد'!$B$6="الكل",$E685,'الداشبورد'!$B$6))</f>
        <v/>
      </c>
      <c r="S685">
        <f>--($K685=IF('الداشبورد'!$B$7="الكل",$K685,IF('الداشبورد'!$B$7="تصدير","Y","N")))</f>
        <v/>
      </c>
      <c r="T685">
        <f>--($J685=IF('الداشبورد'!$B$8="الكل",$J685,IF('الداشبورد'!$B$8="AL","A","C")))</f>
        <v/>
      </c>
      <c r="U685">
        <f>--($I685=IF('الداشبورد'!$B$9="الكل",$I685,IF('الداشبورد'!$B$9="بدون حالة","P",'الداشبورد'!$B$9)))</f>
        <v/>
      </c>
      <c r="V685">
        <f>--($D685=IF('الداشبورد'!$B$10="الكل",$D685,'الداشبورد'!$B$10))</f>
        <v/>
      </c>
      <c r="W685">
        <f>--($G685=IF('الداشبورد'!$B$11="الكل",$G685,'الداشبورد'!$B$11))</f>
        <v/>
      </c>
      <c r="X685">
        <f>Q685*R685*S685*T685*U685*V685*W685*--($C685&lt;&gt;"")</f>
        <v/>
      </c>
    </row>
    <row r="686">
      <c r="A686" s="15" t="n">
        <v>7</v>
      </c>
      <c r="B686" s="15" t="inlineStr">
        <is>
          <t>M172084</t>
        </is>
      </c>
      <c r="C686" s="15" t="inlineStr">
        <is>
          <t>1979/26/12</t>
        </is>
      </c>
      <c r="D686" s="15" t="inlineStr">
        <is>
          <t>ايجيتك للتوريدات العموميه</t>
        </is>
      </c>
      <c r="E686" s="15" t="inlineStr">
        <is>
          <t>LV</t>
        </is>
      </c>
      <c r="F686" s="15" t="inlineStr">
        <is>
          <t>300/500 V 4X35</t>
        </is>
      </c>
      <c r="G686" s="15" t="inlineStr">
        <is>
          <t>RW01</t>
        </is>
      </c>
      <c r="H686" s="15" t="inlineStr">
        <is>
          <t>Wooden Drums</t>
        </is>
      </c>
      <c r="I686" s="15" t="inlineStr">
        <is>
          <t>OK</t>
        </is>
      </c>
      <c r="J686" s="15" t="inlineStr">
        <is>
          <t>C</t>
        </is>
      </c>
      <c r="K686" s="15" t="inlineStr">
        <is>
          <t>N</t>
        </is>
      </c>
      <c r="L686" s="15" t="n">
        <v>1029</v>
      </c>
      <c r="M686" s="16" t="n">
        <v>1.21422</v>
      </c>
      <c r="N686" s="16" t="n">
        <v>0</v>
      </c>
      <c r="O686" s="16" t="n">
        <v>0</v>
      </c>
      <c r="P686" s="16" t="n">
        <v>1.21422</v>
      </c>
      <c r="Q686">
        <f>--($A686=IF('الداشبورد'!$B$5="الكل",$A686,'الداشبورد'!$B$5))</f>
        <v/>
      </c>
      <c r="R686">
        <f>--($E686=IF('الداشبورد'!$B$6="الكل",$E686,'الداشبورد'!$B$6))</f>
        <v/>
      </c>
      <c r="S686">
        <f>--($K686=IF('الداشبورد'!$B$7="الكل",$K686,IF('الداشبورد'!$B$7="تصدير","Y","N")))</f>
        <v/>
      </c>
      <c r="T686">
        <f>--($J686=IF('الداشبورد'!$B$8="الكل",$J686,IF('الداشبورد'!$B$8="AL","A","C")))</f>
        <v/>
      </c>
      <c r="U686">
        <f>--($I686=IF('الداشبورد'!$B$9="الكل",$I686,IF('الداشبورد'!$B$9="بدون حالة","P",'الداشبورد'!$B$9)))</f>
        <v/>
      </c>
      <c r="V686">
        <f>--($D686=IF('الداشبورد'!$B$10="الكل",$D686,'الداشبورد'!$B$10))</f>
        <v/>
      </c>
      <c r="W686">
        <f>--($G686=IF('الداشبورد'!$B$11="الكل",$G686,'الداشبورد'!$B$11))</f>
        <v/>
      </c>
      <c r="X686">
        <f>Q686*R686*S686*T686*U686*V686*W686*--($C686&lt;&gt;"")</f>
        <v/>
      </c>
    </row>
    <row r="687">
      <c r="A687" s="15" t="n">
        <v>7</v>
      </c>
      <c r="B687" s="15" t="inlineStr">
        <is>
          <t>H162016</t>
        </is>
      </c>
      <c r="C687" s="15" t="inlineStr">
        <is>
          <t>1979/26/09</t>
        </is>
      </c>
      <c r="D687" s="15" t="inlineStr">
        <is>
          <t>ايجيتك للتوريدات العموميه</t>
        </is>
      </c>
      <c r="E687" s="15" t="inlineStr">
        <is>
          <t>LV</t>
        </is>
      </c>
      <c r="F687" s="15" t="inlineStr">
        <is>
          <t>300/500 V 4X10</t>
        </is>
      </c>
      <c r="G687" s="15" t="inlineStr">
        <is>
          <t>RW01</t>
        </is>
      </c>
      <c r="H687" s="15" t="inlineStr">
        <is>
          <t>Wooden Drums</t>
        </is>
      </c>
      <c r="I687" s="15" t="inlineStr">
        <is>
          <t>OK</t>
        </is>
      </c>
      <c r="J687" s="15" t="inlineStr">
        <is>
          <t>C</t>
        </is>
      </c>
      <c r="K687" s="15" t="inlineStr">
        <is>
          <t>N</t>
        </is>
      </c>
      <c r="L687" s="15" t="n">
        <v>2013</v>
      </c>
      <c r="M687" s="16" t="n">
        <v>0.666303</v>
      </c>
      <c r="N687" s="16" t="n">
        <v>0</v>
      </c>
      <c r="O687" s="16" t="n">
        <v>0</v>
      </c>
      <c r="P687" s="16" t="n">
        <v>0.666303</v>
      </c>
      <c r="Q687">
        <f>--($A687=IF('الداشبورد'!$B$5="الكل",$A687,'الداشبورد'!$B$5))</f>
        <v/>
      </c>
      <c r="R687">
        <f>--($E687=IF('الداشبورد'!$B$6="الكل",$E687,'الداشبورد'!$B$6))</f>
        <v/>
      </c>
      <c r="S687">
        <f>--($K687=IF('الداشبورد'!$B$7="الكل",$K687,IF('الداشبورد'!$B$7="تصدير","Y","N")))</f>
        <v/>
      </c>
      <c r="T687">
        <f>--($J687=IF('الداشبورد'!$B$8="الكل",$J687,IF('الداشبورد'!$B$8="AL","A","C")))</f>
        <v/>
      </c>
      <c r="U687">
        <f>--($I687=IF('الداشبورد'!$B$9="الكل",$I687,IF('الداشبورد'!$B$9="بدون حالة","P",'الداشبورد'!$B$9)))</f>
        <v/>
      </c>
      <c r="V687">
        <f>--($D687=IF('الداشبورد'!$B$10="الكل",$D687,'الداشبورد'!$B$10))</f>
        <v/>
      </c>
      <c r="W687">
        <f>--($G687=IF('الداشبورد'!$B$11="الكل",$G687,'الداشبورد'!$B$11))</f>
        <v/>
      </c>
      <c r="X687">
        <f>Q687*R687*S687*T687*U687*V687*W687*--($C687&lt;&gt;"")</f>
        <v/>
      </c>
    </row>
    <row r="688">
      <c r="A688" s="15" t="n">
        <v>6</v>
      </c>
      <c r="B688" s="15" t="inlineStr">
        <is>
          <t>G184695</t>
        </is>
      </c>
      <c r="C688" s="15" t="inlineStr">
        <is>
          <t>645/26/02</t>
        </is>
      </c>
      <c r="D688" s="15" t="inlineStr">
        <is>
          <t>Vigo trgovina d.o.o.</t>
        </is>
      </c>
      <c r="E688" s="15" t="inlineStr">
        <is>
          <t>LV</t>
        </is>
      </c>
      <c r="F688" s="15" t="inlineStr">
        <is>
          <t>0.6/1 KV 4X50</t>
        </is>
      </c>
      <c r="G688" s="15" t="inlineStr">
        <is>
          <t>EX03</t>
        </is>
      </c>
      <c r="H688" s="15" t="inlineStr">
        <is>
          <t>Wooden Drums</t>
        </is>
      </c>
      <c r="I688" s="15" t="inlineStr">
        <is>
          <t>OK</t>
        </is>
      </c>
      <c r="J688" s="15" t="inlineStr">
        <is>
          <t>A</t>
        </is>
      </c>
      <c r="K688" s="15" t="inlineStr">
        <is>
          <t>Y</t>
        </is>
      </c>
      <c r="L688" s="15" t="n">
        <v>510</v>
      </c>
      <c r="M688" s="16" t="n">
        <v>0.24174</v>
      </c>
      <c r="N688" s="16" t="n">
        <v>0</v>
      </c>
      <c r="O688" s="16" t="n">
        <v>0</v>
      </c>
      <c r="P688" s="16" t="n">
        <v>0.24174</v>
      </c>
      <c r="Q688">
        <f>--($A688=IF('الداشبورد'!$B$5="الكل",$A688,'الداشبورد'!$B$5))</f>
        <v/>
      </c>
      <c r="R688">
        <f>--($E688=IF('الداشبورد'!$B$6="الكل",$E688,'الداشبورد'!$B$6))</f>
        <v/>
      </c>
      <c r="S688">
        <f>--($K688=IF('الداشبورد'!$B$7="الكل",$K688,IF('الداشبورد'!$B$7="تصدير","Y","N")))</f>
        <v/>
      </c>
      <c r="T688">
        <f>--($J688=IF('الداشبورد'!$B$8="الكل",$J688,IF('الداشبورد'!$B$8="AL","A","C")))</f>
        <v/>
      </c>
      <c r="U688">
        <f>--($I688=IF('الداشبورد'!$B$9="الكل",$I688,IF('الداشبورد'!$B$9="بدون حالة","P",'الداشبورد'!$B$9)))</f>
        <v/>
      </c>
      <c r="V688">
        <f>--($D688=IF('الداشبورد'!$B$10="الكل",$D688,'الداشبورد'!$B$10))</f>
        <v/>
      </c>
      <c r="W688">
        <f>--($G688=IF('الداشبورد'!$B$11="الكل",$G688,'الداشبورد'!$B$11))</f>
        <v/>
      </c>
      <c r="X688">
        <f>Q688*R688*S688*T688*U688*V688*W688*--($C688&lt;&gt;"")</f>
        <v/>
      </c>
    </row>
    <row r="689">
      <c r="A689" s="15" t="n">
        <v>6</v>
      </c>
      <c r="B689" s="15" t="inlineStr">
        <is>
          <t>G184659</t>
        </is>
      </c>
      <c r="C689" s="15" t="inlineStr">
        <is>
          <t>645/26/02</t>
        </is>
      </c>
      <c r="D689" s="15" t="inlineStr">
        <is>
          <t>Vigo trgovina d.o.o.</t>
        </is>
      </c>
      <c r="E689" s="15" t="inlineStr">
        <is>
          <t>LV</t>
        </is>
      </c>
      <c r="F689" s="15" t="inlineStr">
        <is>
          <t>0.6/1 KV 4X50</t>
        </is>
      </c>
      <c r="G689" s="15" t="inlineStr">
        <is>
          <t>EX03</t>
        </is>
      </c>
      <c r="H689" s="15" t="inlineStr">
        <is>
          <t>Wooden Drums</t>
        </is>
      </c>
      <c r="I689" s="15" t="inlineStr">
        <is>
          <t>OK</t>
        </is>
      </c>
      <c r="J689" s="15" t="inlineStr">
        <is>
          <t>A</t>
        </is>
      </c>
      <c r="K689" s="15" t="inlineStr">
        <is>
          <t>Y</t>
        </is>
      </c>
      <c r="L689" s="15" t="n">
        <v>520</v>
      </c>
      <c r="M689" s="16" t="n">
        <v>0.24648</v>
      </c>
      <c r="N689" s="16" t="n">
        <v>0</v>
      </c>
      <c r="O689" s="16" t="n">
        <v>0</v>
      </c>
      <c r="P689" s="16" t="n">
        <v>0.24648</v>
      </c>
      <c r="Q689">
        <f>--($A689=IF('الداشبورد'!$B$5="الكل",$A689,'الداشبورد'!$B$5))</f>
        <v/>
      </c>
      <c r="R689">
        <f>--($E689=IF('الداشبورد'!$B$6="الكل",$E689,'الداشبورد'!$B$6))</f>
        <v/>
      </c>
      <c r="S689">
        <f>--($K689=IF('الداشبورد'!$B$7="الكل",$K689,IF('الداشبورد'!$B$7="تصدير","Y","N")))</f>
        <v/>
      </c>
      <c r="T689">
        <f>--($J689=IF('الداشبورد'!$B$8="الكل",$J689,IF('الداشبورد'!$B$8="AL","A","C")))</f>
        <v/>
      </c>
      <c r="U689">
        <f>--($I689=IF('الداشبورد'!$B$9="الكل",$I689,IF('الداشبورد'!$B$9="بدون حالة","P",'الداشبورد'!$B$9)))</f>
        <v/>
      </c>
      <c r="V689">
        <f>--($D689=IF('الداشبورد'!$B$10="الكل",$D689,'الداشبورد'!$B$10))</f>
        <v/>
      </c>
      <c r="W689">
        <f>--($G689=IF('الداشبورد'!$B$11="الكل",$G689,'الداشبورد'!$B$11))</f>
        <v/>
      </c>
      <c r="X689">
        <f>Q689*R689*S689*T689*U689*V689*W689*--($C689&lt;&gt;"")</f>
        <v/>
      </c>
    </row>
    <row r="690">
      <c r="A690" s="15" t="n">
        <v>6</v>
      </c>
      <c r="B690" s="15" t="inlineStr">
        <is>
          <t>G184765</t>
        </is>
      </c>
      <c r="C690" s="15" t="inlineStr">
        <is>
          <t>645/26/02</t>
        </is>
      </c>
      <c r="D690" s="15" t="inlineStr">
        <is>
          <t>Vigo trgovina d.o.o.</t>
        </is>
      </c>
      <c r="E690" s="15" t="inlineStr">
        <is>
          <t>LV</t>
        </is>
      </c>
      <c r="F690" s="15" t="inlineStr">
        <is>
          <t>0.6/1 KV 4X50</t>
        </is>
      </c>
      <c r="G690" s="15" t="inlineStr">
        <is>
          <t>EX03</t>
        </is>
      </c>
      <c r="H690" s="15" t="inlineStr">
        <is>
          <t>Wooden Drums</t>
        </is>
      </c>
      <c r="I690" s="15" t="inlineStr">
        <is>
          <t>OK</t>
        </is>
      </c>
      <c r="J690" s="15" t="inlineStr">
        <is>
          <t>A</t>
        </is>
      </c>
      <c r="K690" s="15" t="inlineStr">
        <is>
          <t>Y</t>
        </is>
      </c>
      <c r="L690" s="15" t="n">
        <v>517</v>
      </c>
      <c r="M690" s="16" t="n">
        <v>0.245058</v>
      </c>
      <c r="N690" s="16" t="n">
        <v>0</v>
      </c>
      <c r="O690" s="16" t="n">
        <v>0</v>
      </c>
      <c r="P690" s="16" t="n">
        <v>0.245058</v>
      </c>
      <c r="Q690">
        <f>--($A690=IF('الداشبورد'!$B$5="الكل",$A690,'الداشبورد'!$B$5))</f>
        <v/>
      </c>
      <c r="R690">
        <f>--($E690=IF('الداشبورد'!$B$6="الكل",$E690,'الداشبورد'!$B$6))</f>
        <v/>
      </c>
      <c r="S690">
        <f>--($K690=IF('الداشبورد'!$B$7="الكل",$K690,IF('الداشبورد'!$B$7="تصدير","Y","N")))</f>
        <v/>
      </c>
      <c r="T690">
        <f>--($J690=IF('الداشبورد'!$B$8="الكل",$J690,IF('الداشبورد'!$B$8="AL","A","C")))</f>
        <v/>
      </c>
      <c r="U690">
        <f>--($I690=IF('الداشبورد'!$B$9="الكل",$I690,IF('الداشبورد'!$B$9="بدون حالة","P",'الداشبورد'!$B$9)))</f>
        <v/>
      </c>
      <c r="V690">
        <f>--($D690=IF('الداشبورد'!$B$10="الكل",$D690,'الداشبورد'!$B$10))</f>
        <v/>
      </c>
      <c r="W690">
        <f>--($G690=IF('الداشبورد'!$B$11="الكل",$G690,'الداشبورد'!$B$11))</f>
        <v/>
      </c>
      <c r="X690">
        <f>Q690*R690*S690*T690*U690*V690*W690*--($C690&lt;&gt;"")</f>
        <v/>
      </c>
    </row>
    <row r="691">
      <c r="A691" s="15" t="n">
        <v>6</v>
      </c>
      <c r="B691" s="15" t="inlineStr">
        <is>
          <t>G184662</t>
        </is>
      </c>
      <c r="C691" s="15" t="inlineStr">
        <is>
          <t>645/26/02</t>
        </is>
      </c>
      <c r="D691" s="15" t="inlineStr">
        <is>
          <t>Vigo trgovina d.o.o.</t>
        </is>
      </c>
      <c r="E691" s="15" t="inlineStr">
        <is>
          <t>LV</t>
        </is>
      </c>
      <c r="F691" s="15" t="inlineStr">
        <is>
          <t>0.6/1 KV 4X50</t>
        </is>
      </c>
      <c r="G691" s="15" t="inlineStr">
        <is>
          <t>EX03</t>
        </is>
      </c>
      <c r="H691" s="15" t="inlineStr">
        <is>
          <t>Wooden Drums</t>
        </is>
      </c>
      <c r="I691" s="15" t="inlineStr">
        <is>
          <t>OK</t>
        </is>
      </c>
      <c r="J691" s="15" t="inlineStr">
        <is>
          <t>A</t>
        </is>
      </c>
      <c r="K691" s="15" t="inlineStr">
        <is>
          <t>Y</t>
        </is>
      </c>
      <c r="L691" s="15" t="n">
        <v>510</v>
      </c>
      <c r="M691" s="16" t="n">
        <v>0.24174</v>
      </c>
      <c r="N691" s="16" t="n">
        <v>0</v>
      </c>
      <c r="O691" s="16" t="n">
        <v>0</v>
      </c>
      <c r="P691" s="16" t="n">
        <v>0.24174</v>
      </c>
      <c r="Q691">
        <f>--($A691=IF('الداشبورد'!$B$5="الكل",$A691,'الداشبورد'!$B$5))</f>
        <v/>
      </c>
      <c r="R691">
        <f>--($E691=IF('الداشبورد'!$B$6="الكل",$E691,'الداشبورد'!$B$6))</f>
        <v/>
      </c>
      <c r="S691">
        <f>--($K691=IF('الداشبورد'!$B$7="الكل",$K691,IF('الداشبورد'!$B$7="تصدير","Y","N")))</f>
        <v/>
      </c>
      <c r="T691">
        <f>--($J691=IF('الداشبورد'!$B$8="الكل",$J691,IF('الداشبورد'!$B$8="AL","A","C")))</f>
        <v/>
      </c>
      <c r="U691">
        <f>--($I691=IF('الداشبورد'!$B$9="الكل",$I691,IF('الداشبورد'!$B$9="بدون حالة","P",'الداشبورد'!$B$9)))</f>
        <v/>
      </c>
      <c r="V691">
        <f>--($D691=IF('الداشبورد'!$B$10="الكل",$D691,'الداشبورد'!$B$10))</f>
        <v/>
      </c>
      <c r="W691">
        <f>--($G691=IF('الداشبورد'!$B$11="الكل",$G691,'الداشبورد'!$B$11))</f>
        <v/>
      </c>
      <c r="X691">
        <f>Q691*R691*S691*T691*U691*V691*W691*--($C691&lt;&gt;"")</f>
        <v/>
      </c>
    </row>
    <row r="692">
      <c r="A692" s="15" t="n">
        <v>5</v>
      </c>
      <c r="B692" s="15" t="inlineStr">
        <is>
          <t>M184668</t>
        </is>
      </c>
      <c r="C692" s="15" t="inlineStr">
        <is>
          <t>1385/26/11</t>
        </is>
      </c>
      <c r="D692" s="15" t="inlineStr">
        <is>
          <t>الشركة العربية للصناعة والتجارة الدولية</t>
        </is>
      </c>
      <c r="E692" s="15" t="inlineStr">
        <is>
          <t>LV</t>
        </is>
      </c>
      <c r="F692" s="15" t="inlineStr">
        <is>
          <t>0.6/1 KV 4*25</t>
        </is>
      </c>
      <c r="G692" s="15" t="inlineStr">
        <is>
          <t>EX13</t>
        </is>
      </c>
      <c r="H692" s="15" t="inlineStr">
        <is>
          <t>Wooden Drums</t>
        </is>
      </c>
      <c r="I692" s="15" t="inlineStr">
        <is>
          <t>OK</t>
        </is>
      </c>
      <c r="J692" s="15" t="inlineStr">
        <is>
          <t>A</t>
        </is>
      </c>
      <c r="K692" s="15" t="inlineStr">
        <is>
          <t>N</t>
        </is>
      </c>
      <c r="L692" s="15" t="n">
        <v>2020</v>
      </c>
      <c r="M692" s="16" t="n">
        <v>0.52116</v>
      </c>
      <c r="N692" s="16" t="n">
        <v>0</v>
      </c>
      <c r="O692" s="16" t="n">
        <v>0</v>
      </c>
      <c r="P692" s="16" t="n">
        <v>0.52116</v>
      </c>
      <c r="Q692">
        <f>--($A692=IF('الداشبورد'!$B$5="الكل",$A692,'الداشبورد'!$B$5))</f>
        <v/>
      </c>
      <c r="R692">
        <f>--($E692=IF('الداشبورد'!$B$6="الكل",$E692,'الداشبورد'!$B$6))</f>
        <v/>
      </c>
      <c r="S692">
        <f>--($K692=IF('الداشبورد'!$B$7="الكل",$K692,IF('الداشبورد'!$B$7="تصدير","Y","N")))</f>
        <v/>
      </c>
      <c r="T692">
        <f>--($J692=IF('الداشبورد'!$B$8="الكل",$J692,IF('الداشبورد'!$B$8="AL","A","C")))</f>
        <v/>
      </c>
      <c r="U692">
        <f>--($I692=IF('الداشبورد'!$B$9="الكل",$I692,IF('الداشبورد'!$B$9="بدون حالة","P",'الداشبورد'!$B$9)))</f>
        <v/>
      </c>
      <c r="V692">
        <f>--($D692=IF('الداشبورد'!$B$10="الكل",$D692,'الداشبورد'!$B$10))</f>
        <v/>
      </c>
      <c r="W692">
        <f>--($G692=IF('الداشبورد'!$B$11="الكل",$G692,'الداشبورد'!$B$11))</f>
        <v/>
      </c>
      <c r="X692">
        <f>Q692*R692*S692*T692*U692*V692*W692*--($C692&lt;&gt;"")</f>
        <v/>
      </c>
    </row>
    <row r="693">
      <c r="A693" s="15" t="n">
        <v>6</v>
      </c>
      <c r="B693" s="15" t="inlineStr">
        <is>
          <t>Z3S489</t>
        </is>
      </c>
      <c r="C693" s="15" t="inlineStr">
        <is>
          <t>1117/26/02</t>
        </is>
      </c>
      <c r="D693" s="15" t="inlineStr">
        <is>
          <t>Energya Power &amp; Telecom Solutions</t>
        </is>
      </c>
      <c r="E693" s="15" t="inlineStr">
        <is>
          <t>HV</t>
        </is>
      </c>
      <c r="F693" s="15" t="inlineStr">
        <is>
          <t>66KV 1X800 MM2</t>
        </is>
      </c>
      <c r="G693" s="15" t="inlineStr">
        <is>
          <t>EX06</t>
        </is>
      </c>
      <c r="H693" s="15" t="inlineStr">
        <is>
          <t>Iron Drums</t>
        </is>
      </c>
      <c r="I693" s="15" t="inlineStr">
        <is>
          <t>OK</t>
        </is>
      </c>
      <c r="J693" s="15" t="inlineStr">
        <is>
          <t>C</t>
        </is>
      </c>
      <c r="K693" s="15" t="inlineStr">
        <is>
          <t>N</t>
        </is>
      </c>
      <c r="L693" s="15" t="n">
        <v>737</v>
      </c>
      <c r="M693" s="16" t="n">
        <v>5.269550000000001</v>
      </c>
      <c r="N693" s="16" t="n">
        <v>0</v>
      </c>
      <c r="O693" s="16" t="n">
        <v>0</v>
      </c>
      <c r="P693" s="16" t="n">
        <v>5.269550000000001</v>
      </c>
      <c r="Q693">
        <f>--($A693=IF('الداشبورد'!$B$5="الكل",$A693,'الداشبورد'!$B$5))</f>
        <v/>
      </c>
      <c r="R693">
        <f>--($E693=IF('الداشبورد'!$B$6="الكل",$E693,'الداشبورد'!$B$6))</f>
        <v/>
      </c>
      <c r="S693">
        <f>--($K693=IF('الداشبورد'!$B$7="الكل",$K693,IF('الداشبورد'!$B$7="تصدير","Y","N")))</f>
        <v/>
      </c>
      <c r="T693">
        <f>--($J693=IF('الداشبورد'!$B$8="الكل",$J693,IF('الداشبورد'!$B$8="AL","A","C")))</f>
        <v/>
      </c>
      <c r="U693">
        <f>--($I693=IF('الداشبورد'!$B$9="الكل",$I693,IF('الداشبورد'!$B$9="بدون حالة","P",'الداشبورد'!$B$9)))</f>
        <v/>
      </c>
      <c r="V693">
        <f>--($D693=IF('الداشبورد'!$B$10="الكل",$D693,'الداشبورد'!$B$10))</f>
        <v/>
      </c>
      <c r="W693">
        <f>--($G693=IF('الداشبورد'!$B$11="الكل",$G693,'الداشبورد'!$B$11))</f>
        <v/>
      </c>
      <c r="X693">
        <f>Q693*R693*S693*T693*U693*V693*W693*--($C693&lt;&gt;"")</f>
        <v/>
      </c>
    </row>
    <row r="694">
      <c r="A694" s="15" t="n">
        <v>2</v>
      </c>
      <c r="B694" s="15" t="inlineStr">
        <is>
          <t>F184286</t>
        </is>
      </c>
      <c r="C694" s="15" t="inlineStr">
        <is>
          <t>1478/26/19</t>
        </is>
      </c>
      <c r="D694" s="15" t="inlineStr">
        <is>
          <t>Energya Power &amp; Telecom Solutions</t>
        </is>
      </c>
      <c r="E694" s="15" t="inlineStr">
        <is>
          <t>LV</t>
        </is>
      </c>
      <c r="F694" s="15" t="inlineStr">
        <is>
          <t>0.6/1 KV 3X35+16</t>
        </is>
      </c>
      <c r="G694" s="15" t="inlineStr">
        <is>
          <t>EX13</t>
        </is>
      </c>
      <c r="H694" s="15" t="inlineStr">
        <is>
          <t>Wooden Drums</t>
        </is>
      </c>
      <c r="I694" s="15" t="inlineStr">
        <is>
          <t>OK</t>
        </is>
      </c>
      <c r="J694" s="15" t="inlineStr">
        <is>
          <t>C</t>
        </is>
      </c>
      <c r="K694" s="15" t="inlineStr">
        <is>
          <t>N</t>
        </is>
      </c>
      <c r="L694" s="15" t="n">
        <v>82</v>
      </c>
      <c r="M694" s="16" t="n">
        <v>0.084214</v>
      </c>
      <c r="N694" s="16" t="n">
        <v>0</v>
      </c>
      <c r="O694" s="16" t="n">
        <v>0</v>
      </c>
      <c r="P694" s="16" t="n">
        <v>0.084214</v>
      </c>
      <c r="Q694">
        <f>--($A694=IF('الداشبورد'!$B$5="الكل",$A694,'الداشبورد'!$B$5))</f>
        <v/>
      </c>
      <c r="R694">
        <f>--($E694=IF('الداشبورد'!$B$6="الكل",$E694,'الداشبورد'!$B$6))</f>
        <v/>
      </c>
      <c r="S694">
        <f>--($K694=IF('الداشبورد'!$B$7="الكل",$K694,IF('الداشبورد'!$B$7="تصدير","Y","N")))</f>
        <v/>
      </c>
      <c r="T694">
        <f>--($J694=IF('الداشبورد'!$B$8="الكل",$J694,IF('الداشبورد'!$B$8="AL","A","C")))</f>
        <v/>
      </c>
      <c r="U694">
        <f>--($I694=IF('الداشبورد'!$B$9="الكل",$I694,IF('الداشبورد'!$B$9="بدون حالة","P",'الداشبورد'!$B$9)))</f>
        <v/>
      </c>
      <c r="V694">
        <f>--($D694=IF('الداشبورد'!$B$10="الكل",$D694,'الداشبورد'!$B$10))</f>
        <v/>
      </c>
      <c r="W694">
        <f>--($G694=IF('الداشبورد'!$B$11="الكل",$G694,'الداشبورد'!$B$11))</f>
        <v/>
      </c>
      <c r="X694">
        <f>Q694*R694*S694*T694*U694*V694*W694*--($C694&lt;&gt;"")</f>
        <v/>
      </c>
    </row>
    <row r="695">
      <c r="A695" s="15" t="n">
        <v>4</v>
      </c>
      <c r="B695" s="15" t="inlineStr">
        <is>
          <t>J184966</t>
        </is>
      </c>
      <c r="C695" s="15" t="inlineStr">
        <is>
          <t>828/26/15</t>
        </is>
      </c>
      <c r="D695" s="15" t="inlineStr">
        <is>
          <t>REMATEC CABLE SERVICE</t>
        </is>
      </c>
      <c r="E695" s="15" t="inlineStr">
        <is>
          <t>LV</t>
        </is>
      </c>
      <c r="F695" s="15" t="inlineStr">
        <is>
          <t>0.6/1 KV 5X16</t>
        </is>
      </c>
      <c r="G695" s="15" t="inlineStr">
        <is>
          <t>EX05</t>
        </is>
      </c>
      <c r="H695" s="15" t="inlineStr">
        <is>
          <t>Wooden Drums</t>
        </is>
      </c>
      <c r="I695" s="15" t="inlineStr">
        <is>
          <t>OK</t>
        </is>
      </c>
      <c r="J695" s="15" t="inlineStr">
        <is>
          <t>A</t>
        </is>
      </c>
      <c r="K695" s="15" t="inlineStr">
        <is>
          <t>Y</t>
        </is>
      </c>
      <c r="L695" s="15" t="n">
        <v>2100</v>
      </c>
      <c r="M695" s="16" t="n">
        <v>0.4430999999999999</v>
      </c>
      <c r="N695" s="16" t="n">
        <v>0</v>
      </c>
      <c r="O695" s="16" t="n">
        <v>0</v>
      </c>
      <c r="P695" s="16" t="n">
        <v>0.4430999999999999</v>
      </c>
      <c r="Q695">
        <f>--($A695=IF('الداشبورد'!$B$5="الكل",$A695,'الداشبورد'!$B$5))</f>
        <v/>
      </c>
      <c r="R695">
        <f>--($E695=IF('الداشبورد'!$B$6="الكل",$E695,'الداشبورد'!$B$6))</f>
        <v/>
      </c>
      <c r="S695">
        <f>--($K695=IF('الداشبورد'!$B$7="الكل",$K695,IF('الداشبورد'!$B$7="تصدير","Y","N")))</f>
        <v/>
      </c>
      <c r="T695">
        <f>--($J695=IF('الداشبورد'!$B$8="الكل",$J695,IF('الداشبورد'!$B$8="AL","A","C")))</f>
        <v/>
      </c>
      <c r="U695">
        <f>--($I695=IF('الداشبورد'!$B$9="الكل",$I695,IF('الداشبورد'!$B$9="بدون حالة","P",'الداشبورد'!$B$9)))</f>
        <v/>
      </c>
      <c r="V695">
        <f>--($D695=IF('الداشبورد'!$B$10="الكل",$D695,'الداشبورد'!$B$10))</f>
        <v/>
      </c>
      <c r="W695">
        <f>--($G695=IF('الداشبورد'!$B$11="الكل",$G695,'الداشبورد'!$B$11))</f>
        <v/>
      </c>
      <c r="X695">
        <f>Q695*R695*S695*T695*U695*V695*W695*--($C695&lt;&gt;"")</f>
        <v/>
      </c>
    </row>
    <row r="696">
      <c r="A696" s="15" t="n">
        <v>7</v>
      </c>
      <c r="B696" s="15" t="inlineStr">
        <is>
          <t>J184906</t>
        </is>
      </c>
      <c r="C696" s="15" t="inlineStr">
        <is>
          <t>825/26/11</t>
        </is>
      </c>
      <c r="D696" s="15" t="inlineStr">
        <is>
          <t>REMATEC CABLE SERVICE</t>
        </is>
      </c>
      <c r="E696" s="15" t="inlineStr">
        <is>
          <t>LV</t>
        </is>
      </c>
      <c r="F696" s="15" t="inlineStr">
        <is>
          <t>0.6/1 KV 5X16</t>
        </is>
      </c>
      <c r="G696" s="15" t="inlineStr">
        <is>
          <t>EX14</t>
        </is>
      </c>
      <c r="H696" s="15" t="inlineStr">
        <is>
          <t>Wooden Drums</t>
        </is>
      </c>
      <c r="I696" s="15" t="inlineStr">
        <is>
          <t>Hold</t>
        </is>
      </c>
      <c r="J696" s="15" t="inlineStr">
        <is>
          <t>A</t>
        </is>
      </c>
      <c r="K696" s="15" t="inlineStr">
        <is>
          <t>Y</t>
        </is>
      </c>
      <c r="L696" s="15" t="n">
        <v>2030</v>
      </c>
      <c r="M696" s="16" t="n">
        <v>0.42833</v>
      </c>
      <c r="N696" s="16" t="n">
        <v>0</v>
      </c>
      <c r="O696" s="16" t="n">
        <v>0</v>
      </c>
      <c r="P696" s="16" t="n">
        <v>0.42833</v>
      </c>
      <c r="Q696">
        <f>--($A696=IF('الداشبورد'!$B$5="الكل",$A696,'الداشبورد'!$B$5))</f>
        <v/>
      </c>
      <c r="R696">
        <f>--($E696=IF('الداشبورد'!$B$6="الكل",$E696,'الداشبورد'!$B$6))</f>
        <v/>
      </c>
      <c r="S696">
        <f>--($K696=IF('الداشبورد'!$B$7="الكل",$K696,IF('الداشبورد'!$B$7="تصدير","Y","N")))</f>
        <v/>
      </c>
      <c r="T696">
        <f>--($J696=IF('الداشبورد'!$B$8="الكل",$J696,IF('الداشبورد'!$B$8="AL","A","C")))</f>
        <v/>
      </c>
      <c r="U696">
        <f>--($I696=IF('الداشبورد'!$B$9="الكل",$I696,IF('الداشبورد'!$B$9="بدون حالة","P",'الداشبورد'!$B$9)))</f>
        <v/>
      </c>
      <c r="V696">
        <f>--($D696=IF('الداشبورد'!$B$10="الكل",$D696,'الداشبورد'!$B$10))</f>
        <v/>
      </c>
      <c r="W696">
        <f>--($G696=IF('الداشبورد'!$B$11="الكل",$G696,'الداشبورد'!$B$11))</f>
        <v/>
      </c>
      <c r="X696">
        <f>Q696*R696*S696*T696*U696*V696*W696*--($C696&lt;&gt;"")</f>
        <v/>
      </c>
    </row>
    <row r="697">
      <c r="A697" s="15" t="n">
        <v>7</v>
      </c>
      <c r="B697" s="15" t="inlineStr">
        <is>
          <t>P184786</t>
        </is>
      </c>
      <c r="C697" s="15" t="inlineStr">
        <is>
          <t>1385/26/10</t>
        </is>
      </c>
      <c r="D697" s="15" t="inlineStr">
        <is>
          <t>الشركة العربية للصناعة والتجارة الدولية</t>
        </is>
      </c>
      <c r="E697" s="15" t="inlineStr">
        <is>
          <t>LV</t>
        </is>
      </c>
      <c r="F697" s="15" t="inlineStr">
        <is>
          <t>0.6/1 KV 4*35</t>
        </is>
      </c>
      <c r="G697" s="15" t="inlineStr">
        <is>
          <t>EX13</t>
        </is>
      </c>
      <c r="H697" s="15" t="inlineStr">
        <is>
          <t>Wooden Drums</t>
        </is>
      </c>
      <c r="I697" s="15" t="inlineStr">
        <is>
          <t>OK</t>
        </is>
      </c>
      <c r="J697" s="15" t="inlineStr">
        <is>
          <t>A</t>
        </is>
      </c>
      <c r="K697" s="15" t="inlineStr">
        <is>
          <t>N</t>
        </is>
      </c>
      <c r="L697" s="15" t="n">
        <v>2115</v>
      </c>
      <c r="M697" s="16" t="n">
        <v>0.767745</v>
      </c>
      <c r="N697" s="16" t="n">
        <v>0</v>
      </c>
      <c r="O697" s="16" t="n">
        <v>0</v>
      </c>
      <c r="P697" s="16" t="n">
        <v>0.767745</v>
      </c>
      <c r="Q697">
        <f>--($A697=IF('الداشبورد'!$B$5="الكل",$A697,'الداشبورد'!$B$5))</f>
        <v/>
      </c>
      <c r="R697">
        <f>--($E697=IF('الداشبورد'!$B$6="الكل",$E697,'الداشبورد'!$B$6))</f>
        <v/>
      </c>
      <c r="S697">
        <f>--($K697=IF('الداشبورد'!$B$7="الكل",$K697,IF('الداشبورد'!$B$7="تصدير","Y","N")))</f>
        <v/>
      </c>
      <c r="T697">
        <f>--($J697=IF('الداشبورد'!$B$8="الكل",$J697,IF('الداشبورد'!$B$8="AL","A","C")))</f>
        <v/>
      </c>
      <c r="U697">
        <f>--($I697=IF('الداشبورد'!$B$9="الكل",$I697,IF('الداشبورد'!$B$9="بدون حالة","P",'الداشبورد'!$B$9)))</f>
        <v/>
      </c>
      <c r="V697">
        <f>--($D697=IF('الداشبورد'!$B$10="الكل",$D697,'الداشبورد'!$B$10))</f>
        <v/>
      </c>
      <c r="W697">
        <f>--($G697=IF('الداشبورد'!$B$11="الكل",$G697,'الداشبورد'!$B$11))</f>
        <v/>
      </c>
      <c r="X697">
        <f>Q697*R697*S697*T697*U697*V697*W697*--($C697&lt;&gt;"")</f>
        <v/>
      </c>
    </row>
    <row r="698">
      <c r="A698" s="15" t="n">
        <v>7</v>
      </c>
      <c r="B698" s="15" t="inlineStr">
        <is>
          <t>N184861</t>
        </is>
      </c>
      <c r="C698" s="15" t="inlineStr">
        <is>
          <t>1385/26/10</t>
        </is>
      </c>
      <c r="D698" s="15" t="inlineStr">
        <is>
          <t>الشركة العربية للصناعة والتجارة الدولية</t>
        </is>
      </c>
      <c r="E698" s="15" t="inlineStr">
        <is>
          <t>LV</t>
        </is>
      </c>
      <c r="F698" s="15" t="inlineStr">
        <is>
          <t>0.6/1 KV 4*35</t>
        </is>
      </c>
      <c r="G698" s="15" t="inlineStr">
        <is>
          <t>EX13</t>
        </is>
      </c>
      <c r="H698" s="15" t="inlineStr">
        <is>
          <t>Wooden Drums</t>
        </is>
      </c>
      <c r="I698" s="15" t="inlineStr">
        <is>
          <t>OK</t>
        </is>
      </c>
      <c r="J698" s="15" t="inlineStr">
        <is>
          <t>A</t>
        </is>
      </c>
      <c r="K698" s="15" t="inlineStr">
        <is>
          <t>N</t>
        </is>
      </c>
      <c r="L698" s="15" t="n">
        <v>2075</v>
      </c>
      <c r="M698" s="16" t="n">
        <v>0.753225</v>
      </c>
      <c r="N698" s="16" t="n">
        <v>0</v>
      </c>
      <c r="O698" s="16" t="n">
        <v>0</v>
      </c>
      <c r="P698" s="16" t="n">
        <v>0.753225</v>
      </c>
      <c r="Q698">
        <f>--($A698=IF('الداشبورد'!$B$5="الكل",$A698,'الداشبورد'!$B$5))</f>
        <v/>
      </c>
      <c r="R698">
        <f>--($E698=IF('الداشبورد'!$B$6="الكل",$E698,'الداشبورد'!$B$6))</f>
        <v/>
      </c>
      <c r="S698">
        <f>--($K698=IF('الداشبورد'!$B$7="الكل",$K698,IF('الداشبورد'!$B$7="تصدير","Y","N")))</f>
        <v/>
      </c>
      <c r="T698">
        <f>--($J698=IF('الداشبورد'!$B$8="الكل",$J698,IF('الداشبورد'!$B$8="AL","A","C")))</f>
        <v/>
      </c>
      <c r="U698">
        <f>--($I698=IF('الداشبورد'!$B$9="الكل",$I698,IF('الداشبورد'!$B$9="بدون حالة","P",'الداشبورد'!$B$9)))</f>
        <v/>
      </c>
      <c r="V698">
        <f>--($D698=IF('الداشبورد'!$B$10="الكل",$D698,'الداشبورد'!$B$10))</f>
        <v/>
      </c>
      <c r="W698">
        <f>--($G698=IF('الداشبورد'!$B$11="الكل",$G698,'الداشبورد'!$B$11))</f>
        <v/>
      </c>
      <c r="X698">
        <f>Q698*R698*S698*T698*U698*V698*W698*--($C698&lt;&gt;"")</f>
        <v/>
      </c>
    </row>
    <row r="699">
      <c r="A699" s="15" t="n">
        <v>7</v>
      </c>
      <c r="B699" s="15" t="inlineStr">
        <is>
          <t>J184769</t>
        </is>
      </c>
      <c r="C699" s="15" t="inlineStr">
        <is>
          <t>1385/26/10</t>
        </is>
      </c>
      <c r="D699" s="15" t="inlineStr">
        <is>
          <t>الشركة العربية للصناعة والتجارة الدولية</t>
        </is>
      </c>
      <c r="E699" s="15" t="inlineStr">
        <is>
          <t>LV</t>
        </is>
      </c>
      <c r="F699" s="15" t="inlineStr">
        <is>
          <t>0.6/1 KV 4*35</t>
        </is>
      </c>
      <c r="G699" s="15" t="inlineStr">
        <is>
          <t>EX13</t>
        </is>
      </c>
      <c r="H699" s="15" t="inlineStr">
        <is>
          <t>Wooden Drums</t>
        </is>
      </c>
      <c r="I699" s="15" t="inlineStr">
        <is>
          <t>OK</t>
        </is>
      </c>
      <c r="J699" s="15" t="inlineStr">
        <is>
          <t>A</t>
        </is>
      </c>
      <c r="K699" s="15" t="inlineStr">
        <is>
          <t>N</t>
        </is>
      </c>
      <c r="L699" s="15" t="n">
        <v>500</v>
      </c>
      <c r="M699" s="16" t="n">
        <v>0.1815</v>
      </c>
      <c r="N699" s="16" t="n">
        <v>0</v>
      </c>
      <c r="O699" s="16" t="n">
        <v>0</v>
      </c>
      <c r="P699" s="16" t="n">
        <v>0.1815</v>
      </c>
      <c r="Q699">
        <f>--($A699=IF('الداشبورد'!$B$5="الكل",$A699,'الداشبورد'!$B$5))</f>
        <v/>
      </c>
      <c r="R699">
        <f>--($E699=IF('الداشبورد'!$B$6="الكل",$E699,'الداشبورد'!$B$6))</f>
        <v/>
      </c>
      <c r="S699">
        <f>--($K699=IF('الداشبورد'!$B$7="الكل",$K699,IF('الداشبورد'!$B$7="تصدير","Y","N")))</f>
        <v/>
      </c>
      <c r="T699">
        <f>--($J699=IF('الداشبورد'!$B$8="الكل",$J699,IF('الداشبورد'!$B$8="AL","A","C")))</f>
        <v/>
      </c>
      <c r="U699">
        <f>--($I699=IF('الداشبورد'!$B$9="الكل",$I699,IF('الداشبورد'!$B$9="بدون حالة","P",'الداشبورد'!$B$9)))</f>
        <v/>
      </c>
      <c r="V699">
        <f>--($D699=IF('الداشبورد'!$B$10="الكل",$D699,'الداشبورد'!$B$10))</f>
        <v/>
      </c>
      <c r="W699">
        <f>--($G699=IF('الداشبورد'!$B$11="الكل",$G699,'الداشبورد'!$B$11))</f>
        <v/>
      </c>
      <c r="X699">
        <f>Q699*R699*S699*T699*U699*V699*W699*--($C699&lt;&gt;"")</f>
        <v/>
      </c>
    </row>
    <row r="700">
      <c r="A700" s="15" t="n">
        <v>7</v>
      </c>
      <c r="B700" s="15" t="inlineStr">
        <is>
          <t>L184951</t>
        </is>
      </c>
      <c r="C700" s="15" t="inlineStr">
        <is>
          <t>1549/26/08</t>
        </is>
      </c>
      <c r="D700" s="15" t="inlineStr">
        <is>
          <t>Next Technologies Limited</t>
        </is>
      </c>
      <c r="E700" s="15" t="inlineStr">
        <is>
          <t>LV</t>
        </is>
      </c>
      <c r="F700" s="15" t="inlineStr">
        <is>
          <t>0.6/1 KV 4X120</t>
        </is>
      </c>
      <c r="G700" s="15" t="inlineStr">
        <is>
          <t>EX08</t>
        </is>
      </c>
      <c r="H700" s="15" t="inlineStr">
        <is>
          <t>Wooden Drums</t>
        </is>
      </c>
      <c r="I700" s="15" t="inlineStr">
        <is>
          <t>Hold</t>
        </is>
      </c>
      <c r="J700" s="15" t="inlineStr">
        <is>
          <t>C</t>
        </is>
      </c>
      <c r="K700" s="15" t="inlineStr">
        <is>
          <t>Y</t>
        </is>
      </c>
      <c r="L700" s="15" t="n">
        <v>153</v>
      </c>
      <c r="M700" s="16" t="n">
        <v>0.6352559999999999</v>
      </c>
      <c r="N700" s="16" t="n">
        <v>0</v>
      </c>
      <c r="O700" s="16" t="n">
        <v>0</v>
      </c>
      <c r="P700" s="16" t="n">
        <v>0.6352559999999999</v>
      </c>
      <c r="Q700">
        <f>--($A700=IF('الداشبورد'!$B$5="الكل",$A700,'الداشبورد'!$B$5))</f>
        <v/>
      </c>
      <c r="R700">
        <f>--($E700=IF('الداشبورد'!$B$6="الكل",$E700,'الداشبورد'!$B$6))</f>
        <v/>
      </c>
      <c r="S700">
        <f>--($K700=IF('الداشبورد'!$B$7="الكل",$K700,IF('الداشبورد'!$B$7="تصدير","Y","N")))</f>
        <v/>
      </c>
      <c r="T700">
        <f>--($J700=IF('الداشبورد'!$B$8="الكل",$J700,IF('الداشبورد'!$B$8="AL","A","C")))</f>
        <v/>
      </c>
      <c r="U700">
        <f>--($I700=IF('الداشبورد'!$B$9="الكل",$I700,IF('الداشبورد'!$B$9="بدون حالة","P",'الداشبورد'!$B$9)))</f>
        <v/>
      </c>
      <c r="V700">
        <f>--($D700=IF('الداشبورد'!$B$10="الكل",$D700,'الداشبورد'!$B$10))</f>
        <v/>
      </c>
      <c r="W700">
        <f>--($G700=IF('الداشبورد'!$B$11="الكل",$G700,'الداشبورد'!$B$11))</f>
        <v/>
      </c>
      <c r="X700">
        <f>Q700*R700*S700*T700*U700*V700*W700*--($C700&lt;&gt;"")</f>
        <v/>
      </c>
    </row>
    <row r="701">
      <c r="A701" s="15" t="n">
        <v>7</v>
      </c>
      <c r="B701" s="15" t="inlineStr">
        <is>
          <t>R184918</t>
        </is>
      </c>
      <c r="C701" s="15" t="inlineStr">
        <is>
          <t>1385/26/03</t>
        </is>
      </c>
      <c r="D701" s="15" t="inlineStr">
        <is>
          <t>الشركة العربية للصناعة والتجارة الدولية</t>
        </is>
      </c>
      <c r="E701" s="15" t="inlineStr">
        <is>
          <t>LV</t>
        </is>
      </c>
      <c r="F701" s="15" t="inlineStr">
        <is>
          <t>0.6/1 KV 3*240+120</t>
        </is>
      </c>
      <c r="G701" s="15" t="inlineStr">
        <is>
          <t>EX09</t>
        </is>
      </c>
      <c r="H701" s="15" t="inlineStr">
        <is>
          <t>Wooden Drums</t>
        </is>
      </c>
      <c r="I701" s="15" t="inlineStr">
        <is>
          <t>OK</t>
        </is>
      </c>
      <c r="J701" s="15" t="inlineStr">
        <is>
          <t>A</t>
        </is>
      </c>
      <c r="K701" s="15" t="inlineStr">
        <is>
          <t>N</t>
        </is>
      </c>
      <c r="L701" s="15" t="n">
        <v>951</v>
      </c>
      <c r="M701" s="16" t="n">
        <v>2.089347</v>
      </c>
      <c r="N701" s="16" t="n">
        <v>0</v>
      </c>
      <c r="O701" s="16" t="n">
        <v>0</v>
      </c>
      <c r="P701" s="16" t="n">
        <v>2.089347</v>
      </c>
      <c r="Q701">
        <f>--($A701=IF('الداشبورد'!$B$5="الكل",$A701,'الداشبورد'!$B$5))</f>
        <v/>
      </c>
      <c r="R701">
        <f>--($E701=IF('الداشبورد'!$B$6="الكل",$E701,'الداشبورد'!$B$6))</f>
        <v/>
      </c>
      <c r="S701">
        <f>--($K701=IF('الداشبورد'!$B$7="الكل",$K701,IF('الداشبورد'!$B$7="تصدير","Y","N")))</f>
        <v/>
      </c>
      <c r="T701">
        <f>--($J701=IF('الداشبورد'!$B$8="الكل",$J701,IF('الداشبورد'!$B$8="AL","A","C")))</f>
        <v/>
      </c>
      <c r="U701">
        <f>--($I701=IF('الداشبورد'!$B$9="الكل",$I701,IF('الداشبورد'!$B$9="بدون حالة","P",'الداشبورد'!$B$9)))</f>
        <v/>
      </c>
      <c r="V701">
        <f>--($D701=IF('الداشبورد'!$B$10="الكل",$D701,'الداشبورد'!$B$10))</f>
        <v/>
      </c>
      <c r="W701">
        <f>--($G701=IF('الداشبورد'!$B$11="الكل",$G701,'الداشبورد'!$B$11))</f>
        <v/>
      </c>
      <c r="X701">
        <f>Q701*R701*S701*T701*U701*V701*W701*--($C701&lt;&gt;"")</f>
        <v/>
      </c>
    </row>
    <row r="702">
      <c r="A702" s="15" t="n">
        <v>7</v>
      </c>
      <c r="B702" s="15" t="inlineStr">
        <is>
          <t>N184944</t>
        </is>
      </c>
      <c r="C702" s="15" t="inlineStr">
        <is>
          <t>1029/26/02</t>
        </is>
      </c>
      <c r="D702" s="15" t="inlineStr">
        <is>
          <t>Central Electricals International Ltd</t>
        </is>
      </c>
      <c r="E702" s="15" t="inlineStr">
        <is>
          <t>LV</t>
        </is>
      </c>
      <c r="F702" s="15" t="inlineStr">
        <is>
          <t>0.6/1 KV 1*240</t>
        </is>
      </c>
      <c r="G702" s="15" t="inlineStr">
        <is>
          <t>EX09</t>
        </is>
      </c>
      <c r="H702" s="15" t="inlineStr">
        <is>
          <t>Wooden Drums</t>
        </is>
      </c>
      <c r="I702" s="15" t="inlineStr">
        <is>
          <t>OK</t>
        </is>
      </c>
      <c r="J702" s="15" t="inlineStr">
        <is>
          <t>C</t>
        </is>
      </c>
      <c r="K702" s="15" t="inlineStr">
        <is>
          <t>Y</t>
        </is>
      </c>
      <c r="L702" s="15" t="n">
        <v>1550</v>
      </c>
      <c r="M702" s="16" t="n">
        <v>3.2581</v>
      </c>
      <c r="N702" s="16" t="n">
        <v>0</v>
      </c>
      <c r="O702" s="16" t="n">
        <v>0.37045</v>
      </c>
      <c r="P702" s="16" t="n">
        <v>3.62855</v>
      </c>
      <c r="Q702">
        <f>--($A702=IF('الداشبورد'!$B$5="الكل",$A702,'الداشبورد'!$B$5))</f>
        <v/>
      </c>
      <c r="R702">
        <f>--($E702=IF('الداشبورد'!$B$6="الكل",$E702,'الداشبورد'!$B$6))</f>
        <v/>
      </c>
      <c r="S702">
        <f>--($K702=IF('الداشبورد'!$B$7="الكل",$K702,IF('الداشبورد'!$B$7="تصدير","Y","N")))</f>
        <v/>
      </c>
      <c r="T702">
        <f>--($J702=IF('الداشبورد'!$B$8="الكل",$J702,IF('الداشبورد'!$B$8="AL","A","C")))</f>
        <v/>
      </c>
      <c r="U702">
        <f>--($I702=IF('الداشبورد'!$B$9="الكل",$I702,IF('الداشبورد'!$B$9="بدون حالة","P",'الداشبورد'!$B$9)))</f>
        <v/>
      </c>
      <c r="V702">
        <f>--($D702=IF('الداشبورد'!$B$10="الكل",$D702,'الداشبورد'!$B$10))</f>
        <v/>
      </c>
      <c r="W702">
        <f>--($G702=IF('الداشبورد'!$B$11="الكل",$G702,'الداشبورد'!$B$11))</f>
        <v/>
      </c>
      <c r="X702">
        <f>Q702*R702*S702*T702*U702*V702*W702*--($C702&lt;&gt;"")</f>
        <v/>
      </c>
    </row>
    <row r="703">
      <c r="A703" s="15" t="n">
        <v>7</v>
      </c>
      <c r="B703" s="15" t="inlineStr">
        <is>
          <t>N184945</t>
        </is>
      </c>
      <c r="C703" s="15" t="inlineStr">
        <is>
          <t>1029/26/02</t>
        </is>
      </c>
      <c r="D703" s="15" t="inlineStr">
        <is>
          <t>Central Electricals International Ltd</t>
        </is>
      </c>
      <c r="E703" s="15" t="inlineStr">
        <is>
          <t>LV</t>
        </is>
      </c>
      <c r="F703" s="15" t="inlineStr">
        <is>
          <t>0.6/1 KV 1*240</t>
        </is>
      </c>
      <c r="G703" s="15" t="inlineStr">
        <is>
          <t>EX09</t>
        </is>
      </c>
      <c r="H703" s="15" t="inlineStr">
        <is>
          <t>Wooden Drums</t>
        </is>
      </c>
      <c r="I703" s="15" t="inlineStr">
        <is>
          <t>OK</t>
        </is>
      </c>
      <c r="J703" s="15" t="inlineStr">
        <is>
          <t>C</t>
        </is>
      </c>
      <c r="K703" s="15" t="inlineStr">
        <is>
          <t>Y</t>
        </is>
      </c>
      <c r="L703" s="15" t="n">
        <v>1548</v>
      </c>
      <c r="M703" s="16" t="n">
        <v>3.253896</v>
      </c>
      <c r="N703" s="16" t="n">
        <v>0</v>
      </c>
      <c r="O703" s="16" t="n">
        <v>0.369972</v>
      </c>
      <c r="P703" s="16" t="n">
        <v>3.623868</v>
      </c>
      <c r="Q703">
        <f>--($A703=IF('الداشبورد'!$B$5="الكل",$A703,'الداشبورد'!$B$5))</f>
        <v/>
      </c>
      <c r="R703">
        <f>--($E703=IF('الداشبورد'!$B$6="الكل",$E703,'الداشبورد'!$B$6))</f>
        <v/>
      </c>
      <c r="S703">
        <f>--($K703=IF('الداشبورد'!$B$7="الكل",$K703,IF('الداشبورد'!$B$7="تصدير","Y","N")))</f>
        <v/>
      </c>
      <c r="T703">
        <f>--($J703=IF('الداشبورد'!$B$8="الكل",$J703,IF('الداشبورد'!$B$8="AL","A","C")))</f>
        <v/>
      </c>
      <c r="U703">
        <f>--($I703=IF('الداشبورد'!$B$9="الكل",$I703,IF('الداشبورد'!$B$9="بدون حالة","P",'الداشبورد'!$B$9)))</f>
        <v/>
      </c>
      <c r="V703">
        <f>--($D703=IF('الداشبورد'!$B$10="الكل",$D703,'الداشبورد'!$B$10))</f>
        <v/>
      </c>
      <c r="W703">
        <f>--($G703=IF('الداشبورد'!$B$11="الكل",$G703,'الداشبورد'!$B$11))</f>
        <v/>
      </c>
      <c r="X703">
        <f>Q703*R703*S703*T703*U703*V703*W703*--($C703&lt;&gt;"")</f>
        <v/>
      </c>
    </row>
    <row r="704">
      <c r="A704" s="15" t="n">
        <v>7</v>
      </c>
      <c r="B704" s="15" t="inlineStr">
        <is>
          <t>V184915</t>
        </is>
      </c>
      <c r="C704" s="15" t="inlineStr">
        <is>
          <t>1101/26/01</t>
        </is>
      </c>
      <c r="D704" s="15" t="inlineStr">
        <is>
          <t>شركة مصر العليا لتوزيع الكهرباء</t>
        </is>
      </c>
      <c r="E704" s="15" t="inlineStr">
        <is>
          <t>MV</t>
        </is>
      </c>
      <c r="F704" s="15" t="inlineStr">
        <is>
          <t>12/20KV 3X300</t>
        </is>
      </c>
      <c r="G704" s="15" t="inlineStr">
        <is>
          <t>EX04</t>
        </is>
      </c>
      <c r="H704" s="15" t="inlineStr">
        <is>
          <t>Wooden Drums</t>
        </is>
      </c>
      <c r="I704" s="15" t="inlineStr">
        <is>
          <t>OK</t>
        </is>
      </c>
      <c r="J704" s="15" t="inlineStr">
        <is>
          <t>A</t>
        </is>
      </c>
      <c r="K704" s="15" t="inlineStr">
        <is>
          <t>N</t>
        </is>
      </c>
      <c r="L704" s="15" t="n">
        <v>408</v>
      </c>
      <c r="M704" s="16" t="n">
        <v>0.9665520000000002</v>
      </c>
      <c r="N704" s="16" t="n">
        <v>0</v>
      </c>
      <c r="O704" s="16" t="n">
        <v>0</v>
      </c>
      <c r="P704" s="16" t="n">
        <v>0.9665520000000002</v>
      </c>
      <c r="Q704">
        <f>--($A704=IF('الداشبورد'!$B$5="الكل",$A704,'الداشبورد'!$B$5))</f>
        <v/>
      </c>
      <c r="R704">
        <f>--($E704=IF('الداشبورد'!$B$6="الكل",$E704,'الداشبورد'!$B$6))</f>
        <v/>
      </c>
      <c r="S704">
        <f>--($K704=IF('الداشبورد'!$B$7="الكل",$K704,IF('الداشبورد'!$B$7="تصدير","Y","N")))</f>
        <v/>
      </c>
      <c r="T704">
        <f>--($J704=IF('الداشبورد'!$B$8="الكل",$J704,IF('الداشبورد'!$B$8="AL","A","C")))</f>
        <v/>
      </c>
      <c r="U704">
        <f>--($I704=IF('الداشبورد'!$B$9="الكل",$I704,IF('الداشبورد'!$B$9="بدون حالة","P",'الداشبورد'!$B$9)))</f>
        <v/>
      </c>
      <c r="V704">
        <f>--($D704=IF('الداشبورد'!$B$10="الكل",$D704,'الداشبورد'!$B$10))</f>
        <v/>
      </c>
      <c r="W704">
        <f>--($G704=IF('الداشبورد'!$B$11="الكل",$G704,'الداشبورد'!$B$11))</f>
        <v/>
      </c>
      <c r="X704">
        <f>Q704*R704*S704*T704*U704*V704*W704*--($C704&lt;&gt;"")</f>
        <v/>
      </c>
    </row>
    <row r="705">
      <c r="A705" s="15" t="n">
        <v>7</v>
      </c>
      <c r="B705" s="15" t="inlineStr">
        <is>
          <t>R184917</t>
        </is>
      </c>
      <c r="C705" s="15" t="inlineStr">
        <is>
          <t>1101/26/01</t>
        </is>
      </c>
      <c r="D705" s="15" t="inlineStr">
        <is>
          <t>شركة مصر العليا لتوزيع الكهرباء</t>
        </is>
      </c>
      <c r="E705" s="15" t="inlineStr">
        <is>
          <t>MV</t>
        </is>
      </c>
      <c r="F705" s="15" t="inlineStr">
        <is>
          <t>12/20KV 3X300</t>
        </is>
      </c>
      <c r="G705" s="15" t="inlineStr">
        <is>
          <t>EX04</t>
        </is>
      </c>
      <c r="H705" s="15" t="inlineStr">
        <is>
          <t>Wooden Drums</t>
        </is>
      </c>
      <c r="I705" s="15" t="inlineStr">
        <is>
          <t>OK</t>
        </is>
      </c>
      <c r="J705" s="15" t="inlineStr">
        <is>
          <t>A</t>
        </is>
      </c>
      <c r="K705" s="15" t="inlineStr">
        <is>
          <t>N</t>
        </is>
      </c>
      <c r="L705" s="15" t="n">
        <v>400</v>
      </c>
      <c r="M705" s="16" t="n">
        <v>0.9476000000000001</v>
      </c>
      <c r="N705" s="16" t="n">
        <v>0</v>
      </c>
      <c r="O705" s="16" t="n">
        <v>0</v>
      </c>
      <c r="P705" s="16" t="n">
        <v>0.9476000000000001</v>
      </c>
      <c r="Q705">
        <f>--($A705=IF('الداشبورد'!$B$5="الكل",$A705,'الداشبورد'!$B$5))</f>
        <v/>
      </c>
      <c r="R705">
        <f>--($E705=IF('الداشبورد'!$B$6="الكل",$E705,'الداشبورد'!$B$6))</f>
        <v/>
      </c>
      <c r="S705">
        <f>--($K705=IF('الداشبورد'!$B$7="الكل",$K705,IF('الداشبورد'!$B$7="تصدير","Y","N")))</f>
        <v/>
      </c>
      <c r="T705">
        <f>--($J705=IF('الداشبورد'!$B$8="الكل",$J705,IF('الداشبورد'!$B$8="AL","A","C")))</f>
        <v/>
      </c>
      <c r="U705">
        <f>--($I705=IF('الداشبورد'!$B$9="الكل",$I705,IF('الداشبورد'!$B$9="بدون حالة","P",'الداشبورد'!$B$9)))</f>
        <v/>
      </c>
      <c r="V705">
        <f>--($D705=IF('الداشبورد'!$B$10="الكل",$D705,'الداشبورد'!$B$10))</f>
        <v/>
      </c>
      <c r="W705">
        <f>--($G705=IF('الداشبورد'!$B$11="الكل",$G705,'الداشبورد'!$B$11))</f>
        <v/>
      </c>
      <c r="X705">
        <f>Q705*R705*S705*T705*U705*V705*W705*--($C705&lt;&gt;"")</f>
        <v/>
      </c>
    </row>
    <row r="706">
      <c r="A706" s="15" t="n">
        <v>7</v>
      </c>
      <c r="B706" s="15" t="inlineStr">
        <is>
          <t>V184921</t>
        </is>
      </c>
      <c r="C706" s="15" t="inlineStr">
        <is>
          <t>1101/26/01</t>
        </is>
      </c>
      <c r="D706" s="15" t="inlineStr">
        <is>
          <t>شركة مصر العليا لتوزيع الكهرباء</t>
        </is>
      </c>
      <c r="E706" s="15" t="inlineStr">
        <is>
          <t>MV</t>
        </is>
      </c>
      <c r="F706" s="15" t="inlineStr">
        <is>
          <t>12/20KV 3X300</t>
        </is>
      </c>
      <c r="G706" s="15" t="inlineStr">
        <is>
          <t>EX04</t>
        </is>
      </c>
      <c r="H706" s="15" t="inlineStr">
        <is>
          <t>Wooden Drums</t>
        </is>
      </c>
      <c r="I706" s="15" t="inlineStr">
        <is>
          <t>OK</t>
        </is>
      </c>
      <c r="J706" s="15" t="inlineStr">
        <is>
          <t>A</t>
        </is>
      </c>
      <c r="K706" s="15" t="inlineStr">
        <is>
          <t>N</t>
        </is>
      </c>
      <c r="L706" s="15" t="n">
        <v>373</v>
      </c>
      <c r="M706" s="16" t="n">
        <v>0.883637</v>
      </c>
      <c r="N706" s="16" t="n">
        <v>0</v>
      </c>
      <c r="O706" s="16" t="n">
        <v>0</v>
      </c>
      <c r="P706" s="16" t="n">
        <v>0.883637</v>
      </c>
      <c r="Q706">
        <f>--($A706=IF('الداشبورد'!$B$5="الكل",$A706,'الداشبورد'!$B$5))</f>
        <v/>
      </c>
      <c r="R706">
        <f>--($E706=IF('الداشبورد'!$B$6="الكل",$E706,'الداشبورد'!$B$6))</f>
        <v/>
      </c>
      <c r="S706">
        <f>--($K706=IF('الداشبورد'!$B$7="الكل",$K706,IF('الداشبورد'!$B$7="تصدير","Y","N")))</f>
        <v/>
      </c>
      <c r="T706">
        <f>--($J706=IF('الداشبورد'!$B$8="الكل",$J706,IF('الداشبورد'!$B$8="AL","A","C")))</f>
        <v/>
      </c>
      <c r="U706">
        <f>--($I706=IF('الداشبورد'!$B$9="الكل",$I706,IF('الداشبورد'!$B$9="بدون حالة","P",'الداشبورد'!$B$9)))</f>
        <v/>
      </c>
      <c r="V706">
        <f>--($D706=IF('الداشبورد'!$B$10="الكل",$D706,'الداشبورد'!$B$10))</f>
        <v/>
      </c>
      <c r="W706">
        <f>--($G706=IF('الداشبورد'!$B$11="الكل",$G706,'الداشبورد'!$B$11))</f>
        <v/>
      </c>
      <c r="X706">
        <f>Q706*R706*S706*T706*U706*V706*W706*--($C706&lt;&gt;"")</f>
        <v/>
      </c>
    </row>
    <row r="707">
      <c r="A707" s="15" t="n">
        <v>7</v>
      </c>
      <c r="B707" s="15" t="inlineStr">
        <is>
          <t>M184907</t>
        </is>
      </c>
      <c r="C707" s="15" t="inlineStr">
        <is>
          <t>1430/26/05</t>
        </is>
      </c>
      <c r="D707" s="15" t="inlineStr">
        <is>
          <t>Faber Kabel</t>
        </is>
      </c>
      <c r="E707" s="15" t="inlineStr">
        <is>
          <t>LV</t>
        </is>
      </c>
      <c r="F707" s="15" t="inlineStr">
        <is>
          <t>600/1000 4X185</t>
        </is>
      </c>
      <c r="G707" s="15" t="inlineStr">
        <is>
          <t>EX03</t>
        </is>
      </c>
      <c r="H707" s="15" t="inlineStr">
        <is>
          <t>Wooden Drums</t>
        </is>
      </c>
      <c r="I707" s="15" t="inlineStr">
        <is>
          <t>OK</t>
        </is>
      </c>
      <c r="J707" s="15" t="inlineStr">
        <is>
          <t>A</t>
        </is>
      </c>
      <c r="K707" s="15" t="inlineStr">
        <is>
          <t>Y</t>
        </is>
      </c>
      <c r="L707" s="15" t="n">
        <v>505</v>
      </c>
      <c r="M707" s="16" t="n">
        <v>0.940815</v>
      </c>
      <c r="N707" s="16" t="n">
        <v>0</v>
      </c>
      <c r="O707" s="16" t="n">
        <v>0</v>
      </c>
      <c r="P707" s="16" t="n">
        <v>0.940815</v>
      </c>
      <c r="Q707">
        <f>--($A707=IF('الداشبورد'!$B$5="الكل",$A707,'الداشبورد'!$B$5))</f>
        <v/>
      </c>
      <c r="R707">
        <f>--($E707=IF('الداشبورد'!$B$6="الكل",$E707,'الداشبورد'!$B$6))</f>
        <v/>
      </c>
      <c r="S707">
        <f>--($K707=IF('الداشبورد'!$B$7="الكل",$K707,IF('الداشبورد'!$B$7="تصدير","Y","N")))</f>
        <v/>
      </c>
      <c r="T707">
        <f>--($J707=IF('الداشبورد'!$B$8="الكل",$J707,IF('الداشبورد'!$B$8="AL","A","C")))</f>
        <v/>
      </c>
      <c r="U707">
        <f>--($I707=IF('الداشبورد'!$B$9="الكل",$I707,IF('الداشبورد'!$B$9="بدون حالة","P",'الداشبورد'!$B$9)))</f>
        <v/>
      </c>
      <c r="V707">
        <f>--($D707=IF('الداشبورد'!$B$10="الكل",$D707,'الداشبورد'!$B$10))</f>
        <v/>
      </c>
      <c r="W707">
        <f>--($G707=IF('الداشبورد'!$B$11="الكل",$G707,'الداشبورد'!$B$11))</f>
        <v/>
      </c>
      <c r="X707">
        <f>Q707*R707*S707*T707*U707*V707*W707*--($C707&lt;&gt;"")</f>
        <v/>
      </c>
    </row>
    <row r="708">
      <c r="A708" s="15" t="n">
        <v>7</v>
      </c>
      <c r="B708" s="15" t="inlineStr">
        <is>
          <t>M184903</t>
        </is>
      </c>
      <c r="C708" s="15" t="inlineStr">
        <is>
          <t>1430/26/05</t>
        </is>
      </c>
      <c r="D708" s="15" t="inlineStr">
        <is>
          <t>Faber Kabel</t>
        </is>
      </c>
      <c r="E708" s="15" t="inlineStr">
        <is>
          <t>LV</t>
        </is>
      </c>
      <c r="F708" s="15" t="inlineStr">
        <is>
          <t>600/1000 4X185</t>
        </is>
      </c>
      <c r="G708" s="15" t="inlineStr">
        <is>
          <t>EX03</t>
        </is>
      </c>
      <c r="H708" s="15" t="inlineStr">
        <is>
          <t>Wooden Drums</t>
        </is>
      </c>
      <c r="I708" s="15" t="inlineStr">
        <is>
          <t>OK</t>
        </is>
      </c>
      <c r="J708" s="15" t="inlineStr">
        <is>
          <t>A</t>
        </is>
      </c>
      <c r="K708" s="15" t="inlineStr">
        <is>
          <t>Y</t>
        </is>
      </c>
      <c r="L708" s="15" t="n">
        <v>530</v>
      </c>
      <c r="M708" s="16" t="n">
        <v>0.98739</v>
      </c>
      <c r="N708" s="16" t="n">
        <v>0</v>
      </c>
      <c r="O708" s="16" t="n">
        <v>0</v>
      </c>
      <c r="P708" s="16" t="n">
        <v>0.98739</v>
      </c>
      <c r="Q708">
        <f>--($A708=IF('الداشبورد'!$B$5="الكل",$A708,'الداشبورد'!$B$5))</f>
        <v/>
      </c>
      <c r="R708">
        <f>--($E708=IF('الداشبورد'!$B$6="الكل",$E708,'الداشبورد'!$B$6))</f>
        <v/>
      </c>
      <c r="S708">
        <f>--($K708=IF('الداشبورد'!$B$7="الكل",$K708,IF('الداشبورد'!$B$7="تصدير","Y","N")))</f>
        <v/>
      </c>
      <c r="T708">
        <f>--($J708=IF('الداشبورد'!$B$8="الكل",$J708,IF('الداشبورد'!$B$8="AL","A","C")))</f>
        <v/>
      </c>
      <c r="U708">
        <f>--($I708=IF('الداشبورد'!$B$9="الكل",$I708,IF('الداشبورد'!$B$9="بدون حالة","P",'الداشبورد'!$B$9)))</f>
        <v/>
      </c>
      <c r="V708">
        <f>--($D708=IF('الداشبورد'!$B$10="الكل",$D708,'الداشبورد'!$B$10))</f>
        <v/>
      </c>
      <c r="W708">
        <f>--($G708=IF('الداشبورد'!$B$11="الكل",$G708,'الداشبورد'!$B$11))</f>
        <v/>
      </c>
      <c r="X708">
        <f>Q708*R708*S708*T708*U708*V708*W708*--($C708&lt;&gt;"")</f>
        <v/>
      </c>
    </row>
    <row r="709">
      <c r="A709" s="15" t="n">
        <v>7</v>
      </c>
      <c r="B709" s="15" t="inlineStr">
        <is>
          <t>M184908</t>
        </is>
      </c>
      <c r="C709" s="15" t="inlineStr">
        <is>
          <t>1430/26/05</t>
        </is>
      </c>
      <c r="D709" s="15" t="inlineStr">
        <is>
          <t>Faber Kabel</t>
        </is>
      </c>
      <c r="E709" s="15" t="inlineStr">
        <is>
          <t>LV</t>
        </is>
      </c>
      <c r="F709" s="15" t="inlineStr">
        <is>
          <t>600/1000 4X185</t>
        </is>
      </c>
      <c r="G709" s="15" t="inlineStr">
        <is>
          <t>EX03</t>
        </is>
      </c>
      <c r="H709" s="15" t="inlineStr">
        <is>
          <t>Wooden Drums</t>
        </is>
      </c>
      <c r="I709" s="15" t="inlineStr">
        <is>
          <t>OK</t>
        </is>
      </c>
      <c r="J709" s="15" t="inlineStr">
        <is>
          <t>A</t>
        </is>
      </c>
      <c r="K709" s="15" t="inlineStr">
        <is>
          <t>Y</t>
        </is>
      </c>
      <c r="L709" s="15" t="n">
        <v>515</v>
      </c>
      <c r="M709" s="16" t="n">
        <v>0.9594450000000001</v>
      </c>
      <c r="N709" s="16" t="n">
        <v>0</v>
      </c>
      <c r="O709" s="16" t="n">
        <v>0</v>
      </c>
      <c r="P709" s="16" t="n">
        <v>0.9594450000000001</v>
      </c>
      <c r="Q709">
        <f>--($A709=IF('الداشبورد'!$B$5="الكل",$A709,'الداشبورد'!$B$5))</f>
        <v/>
      </c>
      <c r="R709">
        <f>--($E709=IF('الداشبورد'!$B$6="الكل",$E709,'الداشبورد'!$B$6))</f>
        <v/>
      </c>
      <c r="S709">
        <f>--($K709=IF('الداشبورد'!$B$7="الكل",$K709,IF('الداشبورد'!$B$7="تصدير","Y","N")))</f>
        <v/>
      </c>
      <c r="T709">
        <f>--($J709=IF('الداشبورد'!$B$8="الكل",$J709,IF('الداشبورد'!$B$8="AL","A","C")))</f>
        <v/>
      </c>
      <c r="U709">
        <f>--($I709=IF('الداشبورد'!$B$9="الكل",$I709,IF('الداشبورد'!$B$9="بدون حالة","P",'الداشبورد'!$B$9)))</f>
        <v/>
      </c>
      <c r="V709">
        <f>--($D709=IF('الداشبورد'!$B$10="الكل",$D709,'الداشبورد'!$B$10))</f>
        <v/>
      </c>
      <c r="W709">
        <f>--($G709=IF('الداشبورد'!$B$11="الكل",$G709,'الداشبورد'!$B$11))</f>
        <v/>
      </c>
      <c r="X709">
        <f>Q709*R709*S709*T709*U709*V709*W709*--($C709&lt;&gt;"")</f>
        <v/>
      </c>
    </row>
    <row r="710">
      <c r="A710" s="15" t="n">
        <v>7</v>
      </c>
      <c r="B710" s="15" t="inlineStr">
        <is>
          <t>G184346</t>
        </is>
      </c>
      <c r="C710" s="15" t="inlineStr">
        <is>
          <t>1554/26/31</t>
        </is>
      </c>
      <c r="D710" s="15" t="inlineStr">
        <is>
          <t>المجموعه الهندسيه</t>
        </is>
      </c>
      <c r="E710" s="15" t="inlineStr">
        <is>
          <t>LV</t>
        </is>
      </c>
      <c r="F710" s="15" t="inlineStr">
        <is>
          <t>450/750 V 1*50</t>
        </is>
      </c>
      <c r="G710" s="15" t="inlineStr">
        <is>
          <t>EX01</t>
        </is>
      </c>
      <c r="H710" s="15" t="inlineStr">
        <is>
          <t>Wooden Drums</t>
        </is>
      </c>
      <c r="I710" s="15" t="inlineStr">
        <is>
          <t>P</t>
        </is>
      </c>
      <c r="J710" s="15" t="inlineStr">
        <is>
          <t>C</t>
        </is>
      </c>
      <c r="K710" s="15" t="inlineStr">
        <is>
          <t>N</t>
        </is>
      </c>
      <c r="L710" s="15" t="n">
        <v>233</v>
      </c>
      <c r="M710" s="16" t="n">
        <v>0.094365</v>
      </c>
      <c r="N710" s="16" t="n">
        <v>0</v>
      </c>
      <c r="O710" s="16" t="n">
        <v>0</v>
      </c>
      <c r="P710" s="16" t="n">
        <v>0.094365</v>
      </c>
      <c r="Q710">
        <f>--($A710=IF('الداشبورد'!$B$5="الكل",$A710,'الداشبورد'!$B$5))</f>
        <v/>
      </c>
      <c r="R710">
        <f>--($E710=IF('الداشبورد'!$B$6="الكل",$E710,'الداشبورد'!$B$6))</f>
        <v/>
      </c>
      <c r="S710">
        <f>--($K710=IF('الداشبورد'!$B$7="الكل",$K710,IF('الداشبورد'!$B$7="تصدير","Y","N")))</f>
        <v/>
      </c>
      <c r="T710">
        <f>--($J710=IF('الداشبورد'!$B$8="الكل",$J710,IF('الداشبورد'!$B$8="AL","A","C")))</f>
        <v/>
      </c>
      <c r="U710">
        <f>--($I710=IF('الداشبورد'!$B$9="الكل",$I710,IF('الداشبورد'!$B$9="بدون حالة","P",'الداشبورد'!$B$9)))</f>
        <v/>
      </c>
      <c r="V710">
        <f>--($D710=IF('الداشبورد'!$B$10="الكل",$D710,'الداشبورد'!$B$10))</f>
        <v/>
      </c>
      <c r="W710">
        <f>--($G710=IF('الداشبورد'!$B$11="الكل",$G710,'الداشبورد'!$B$11))</f>
        <v/>
      </c>
      <c r="X710">
        <f>Q710*R710*S710*T710*U710*V710*W710*--($C710&lt;&gt;"")</f>
        <v/>
      </c>
    </row>
    <row r="711">
      <c r="A711" s="15" t="n">
        <v>7</v>
      </c>
      <c r="B711" s="15" t="inlineStr">
        <is>
          <t>G184793</t>
        </is>
      </c>
      <c r="C711" s="15" t="inlineStr">
        <is>
          <t>1444/26/14</t>
        </is>
      </c>
      <c r="D711" s="15" t="inlineStr">
        <is>
          <t>شركة مصر للتنمية الهندسية ميديكوم</t>
        </is>
      </c>
      <c r="E711" s="15" t="inlineStr">
        <is>
          <t>LV</t>
        </is>
      </c>
      <c r="F711" s="15" t="inlineStr">
        <is>
          <t>450/750 V 1*70</t>
        </is>
      </c>
      <c r="G711" s="15" t="inlineStr">
        <is>
          <t>EX01</t>
        </is>
      </c>
      <c r="H711" s="15" t="inlineStr">
        <is>
          <t>Wooden Drums</t>
        </is>
      </c>
      <c r="I711" s="15" t="inlineStr">
        <is>
          <t>OK</t>
        </is>
      </c>
      <c r="J711" s="15" t="inlineStr">
        <is>
          <t>A</t>
        </is>
      </c>
      <c r="K711" s="15" t="inlineStr">
        <is>
          <t>N</t>
        </is>
      </c>
      <c r="L711" s="15" t="n">
        <v>1592</v>
      </c>
      <c r="M711" s="16" t="n">
        <v>0.29452</v>
      </c>
      <c r="N711" s="16" t="n">
        <v>0</v>
      </c>
      <c r="O711" s="16" t="n">
        <v>0</v>
      </c>
      <c r="P711" s="16" t="n">
        <v>0.29452</v>
      </c>
      <c r="Q711">
        <f>--($A711=IF('الداشبورد'!$B$5="الكل",$A711,'الداشبورد'!$B$5))</f>
        <v/>
      </c>
      <c r="R711">
        <f>--($E711=IF('الداشبورد'!$B$6="الكل",$E711,'الداشبورد'!$B$6))</f>
        <v/>
      </c>
      <c r="S711">
        <f>--($K711=IF('الداشبورد'!$B$7="الكل",$K711,IF('الداشبورد'!$B$7="تصدير","Y","N")))</f>
        <v/>
      </c>
      <c r="T711">
        <f>--($J711=IF('الداشبورد'!$B$8="الكل",$J711,IF('الداشبورد'!$B$8="AL","A","C")))</f>
        <v/>
      </c>
      <c r="U711">
        <f>--($I711=IF('الداشبورد'!$B$9="الكل",$I711,IF('الداشبورد'!$B$9="بدون حالة","P",'الداشبورد'!$B$9)))</f>
        <v/>
      </c>
      <c r="V711">
        <f>--($D711=IF('الداشبورد'!$B$10="الكل",$D711,'الداشبورد'!$B$10))</f>
        <v/>
      </c>
      <c r="W711">
        <f>--($G711=IF('الداشبورد'!$B$11="الكل",$G711,'الداشبورد'!$B$11))</f>
        <v/>
      </c>
      <c r="X711">
        <f>Q711*R711*S711*T711*U711*V711*W711*--($C711&lt;&gt;"")</f>
        <v/>
      </c>
    </row>
    <row r="712">
      <c r="A712" s="15" t="n">
        <v>7</v>
      </c>
      <c r="B712" s="15" t="inlineStr">
        <is>
          <t>V184883</t>
        </is>
      </c>
      <c r="C712" s="15" t="inlineStr">
        <is>
          <t>1101/26/01</t>
        </is>
      </c>
      <c r="D712" s="15" t="inlineStr">
        <is>
          <t>شركة مصر العليا لتوزيع الكهرباء</t>
        </is>
      </c>
      <c r="E712" s="15" t="inlineStr">
        <is>
          <t>MV</t>
        </is>
      </c>
      <c r="F712" s="15" t="inlineStr">
        <is>
          <t>12/20KV 3X300</t>
        </is>
      </c>
      <c r="G712" s="15" t="inlineStr">
        <is>
          <t>EX07</t>
        </is>
      </c>
      <c r="H712" s="15" t="inlineStr">
        <is>
          <t>Wooden Drums</t>
        </is>
      </c>
      <c r="I712" s="15" t="inlineStr">
        <is>
          <t>OK</t>
        </is>
      </c>
      <c r="J712" s="15" t="inlineStr">
        <is>
          <t>A</t>
        </is>
      </c>
      <c r="K712" s="15" t="inlineStr">
        <is>
          <t>N</t>
        </is>
      </c>
      <c r="L712" s="15" t="n">
        <v>419</v>
      </c>
      <c r="M712" s="16" t="n">
        <v>0.9926110000000001</v>
      </c>
      <c r="N712" s="16" t="n">
        <v>0</v>
      </c>
      <c r="O712" s="16" t="n">
        <v>0</v>
      </c>
      <c r="P712" s="16" t="n">
        <v>0.9926110000000001</v>
      </c>
      <c r="Q712">
        <f>--($A712=IF('الداشبورد'!$B$5="الكل",$A712,'الداشبورد'!$B$5))</f>
        <v/>
      </c>
      <c r="R712">
        <f>--($E712=IF('الداشبورد'!$B$6="الكل",$E712,'الداشبورد'!$B$6))</f>
        <v/>
      </c>
      <c r="S712">
        <f>--($K712=IF('الداشبورد'!$B$7="الكل",$K712,IF('الداشبورد'!$B$7="تصدير","Y","N")))</f>
        <v/>
      </c>
      <c r="T712">
        <f>--($J712=IF('الداشبورد'!$B$8="الكل",$J712,IF('الداشبورد'!$B$8="AL","A","C")))</f>
        <v/>
      </c>
      <c r="U712">
        <f>--($I712=IF('الداشبورد'!$B$9="الكل",$I712,IF('الداشبورد'!$B$9="بدون حالة","P",'الداشبورد'!$B$9)))</f>
        <v/>
      </c>
      <c r="V712">
        <f>--($D712=IF('الداشبورد'!$B$10="الكل",$D712,'الداشبورد'!$B$10))</f>
        <v/>
      </c>
      <c r="W712">
        <f>--($G712=IF('الداشبورد'!$B$11="الكل",$G712,'الداشبورد'!$B$11))</f>
        <v/>
      </c>
      <c r="X712">
        <f>Q712*R712*S712*T712*U712*V712*W712*--($C712&lt;&gt;"")</f>
        <v/>
      </c>
    </row>
    <row r="713">
      <c r="A713" s="15" t="n">
        <v>7</v>
      </c>
      <c r="B713" s="15" t="inlineStr">
        <is>
          <t>V184923</t>
        </is>
      </c>
      <c r="C713" s="15" t="inlineStr">
        <is>
          <t>1101/26/01</t>
        </is>
      </c>
      <c r="D713" s="15" t="inlineStr">
        <is>
          <t>شركة مصر العليا لتوزيع الكهرباء</t>
        </is>
      </c>
      <c r="E713" s="15" t="inlineStr">
        <is>
          <t>MV</t>
        </is>
      </c>
      <c r="F713" s="15" t="inlineStr">
        <is>
          <t>12/20KV 3X300</t>
        </is>
      </c>
      <c r="G713" s="15" t="inlineStr">
        <is>
          <t>EX07</t>
        </is>
      </c>
      <c r="H713" s="15" t="inlineStr">
        <is>
          <t>Wooden Drums</t>
        </is>
      </c>
      <c r="I713" s="15" t="inlineStr">
        <is>
          <t>OK</t>
        </is>
      </c>
      <c r="J713" s="15" t="inlineStr">
        <is>
          <t>A</t>
        </is>
      </c>
      <c r="K713" s="15" t="inlineStr">
        <is>
          <t>N</t>
        </is>
      </c>
      <c r="L713" s="15" t="n">
        <v>400</v>
      </c>
      <c r="M713" s="16" t="n">
        <v>0.9476000000000001</v>
      </c>
      <c r="N713" s="16" t="n">
        <v>0</v>
      </c>
      <c r="O713" s="16" t="n">
        <v>0</v>
      </c>
      <c r="P713" s="16" t="n">
        <v>0.9476000000000001</v>
      </c>
      <c r="Q713">
        <f>--($A713=IF('الداشبورد'!$B$5="الكل",$A713,'الداشبورد'!$B$5))</f>
        <v/>
      </c>
      <c r="R713">
        <f>--($E713=IF('الداشبورد'!$B$6="الكل",$E713,'الداشبورد'!$B$6))</f>
        <v/>
      </c>
      <c r="S713">
        <f>--($K713=IF('الداشبورد'!$B$7="الكل",$K713,IF('الداشبورد'!$B$7="تصدير","Y","N")))</f>
        <v/>
      </c>
      <c r="T713">
        <f>--($J713=IF('الداشبورد'!$B$8="الكل",$J713,IF('الداشبورد'!$B$8="AL","A","C")))</f>
        <v/>
      </c>
      <c r="U713">
        <f>--($I713=IF('الداشبورد'!$B$9="الكل",$I713,IF('الداشبورد'!$B$9="بدون حالة","P",'الداشبورد'!$B$9)))</f>
        <v/>
      </c>
      <c r="V713">
        <f>--($D713=IF('الداشبورد'!$B$10="الكل",$D713,'الداشبورد'!$B$10))</f>
        <v/>
      </c>
      <c r="W713">
        <f>--($G713=IF('الداشبورد'!$B$11="الكل",$G713,'الداشبورد'!$B$11))</f>
        <v/>
      </c>
      <c r="X713">
        <f>Q713*R713*S713*T713*U713*V713*W713*--($C713&lt;&gt;"")</f>
        <v/>
      </c>
    </row>
    <row r="714">
      <c r="A714" s="15" t="n">
        <v>7</v>
      </c>
      <c r="B714" s="15" t="inlineStr">
        <is>
          <t>V184920</t>
        </is>
      </c>
      <c r="C714" s="15" t="inlineStr">
        <is>
          <t>1101/26/01</t>
        </is>
      </c>
      <c r="D714" s="15" t="inlineStr">
        <is>
          <t>شركة مصر العليا لتوزيع الكهرباء</t>
        </is>
      </c>
      <c r="E714" s="15" t="inlineStr">
        <is>
          <t>MV</t>
        </is>
      </c>
      <c r="F714" s="15" t="inlineStr">
        <is>
          <t>12/20KV 3X300</t>
        </is>
      </c>
      <c r="G714" s="15" t="inlineStr">
        <is>
          <t>EX07</t>
        </is>
      </c>
      <c r="H714" s="15" t="inlineStr">
        <is>
          <t>Wooden Drums</t>
        </is>
      </c>
      <c r="I714" s="15" t="inlineStr">
        <is>
          <t>OK</t>
        </is>
      </c>
      <c r="J714" s="15" t="inlineStr">
        <is>
          <t>A</t>
        </is>
      </c>
      <c r="K714" s="15" t="inlineStr">
        <is>
          <t>N</t>
        </is>
      </c>
      <c r="L714" s="15" t="n">
        <v>365</v>
      </c>
      <c r="M714" s="16" t="n">
        <v>0.864685</v>
      </c>
      <c r="N714" s="16" t="n">
        <v>0</v>
      </c>
      <c r="O714" s="16" t="n">
        <v>0</v>
      </c>
      <c r="P714" s="16" t="n">
        <v>0.864685</v>
      </c>
      <c r="Q714">
        <f>--($A714=IF('الداشبورد'!$B$5="الكل",$A714,'الداشبورد'!$B$5))</f>
        <v/>
      </c>
      <c r="R714">
        <f>--($E714=IF('الداشبورد'!$B$6="الكل",$E714,'الداشبورد'!$B$6))</f>
        <v/>
      </c>
      <c r="S714">
        <f>--($K714=IF('الداشبورد'!$B$7="الكل",$K714,IF('الداشبورد'!$B$7="تصدير","Y","N")))</f>
        <v/>
      </c>
      <c r="T714">
        <f>--($J714=IF('الداشبورد'!$B$8="الكل",$J714,IF('الداشبورد'!$B$8="AL","A","C")))</f>
        <v/>
      </c>
      <c r="U714">
        <f>--($I714=IF('الداشبورد'!$B$9="الكل",$I714,IF('الداشبورد'!$B$9="بدون حالة","P",'الداشبورد'!$B$9)))</f>
        <v/>
      </c>
      <c r="V714">
        <f>--($D714=IF('الداشبورد'!$B$10="الكل",$D714,'الداشبورد'!$B$10))</f>
        <v/>
      </c>
      <c r="W714">
        <f>--($G714=IF('الداشبورد'!$B$11="الكل",$G714,'الداشبورد'!$B$11))</f>
        <v/>
      </c>
      <c r="X714">
        <f>Q714*R714*S714*T714*U714*V714*W714*--($C714&lt;&gt;"")</f>
        <v/>
      </c>
    </row>
    <row r="715">
      <c r="A715" s="15" t="n">
        <v>7</v>
      </c>
      <c r="B715" s="15" t="inlineStr">
        <is>
          <t>V184922</t>
        </is>
      </c>
      <c r="C715" s="15" t="inlineStr">
        <is>
          <t>1101/26/01</t>
        </is>
      </c>
      <c r="D715" s="15" t="inlineStr">
        <is>
          <t>شركة مصر العليا لتوزيع الكهرباء</t>
        </is>
      </c>
      <c r="E715" s="15" t="inlineStr">
        <is>
          <t>MV</t>
        </is>
      </c>
      <c r="F715" s="15" t="inlineStr">
        <is>
          <t>12/20KV 3X300</t>
        </is>
      </c>
      <c r="G715" s="15" t="inlineStr">
        <is>
          <t>EX07</t>
        </is>
      </c>
      <c r="H715" s="15" t="inlineStr">
        <is>
          <t>Wooden Drums</t>
        </is>
      </c>
      <c r="I715" s="15" t="inlineStr">
        <is>
          <t>OK</t>
        </is>
      </c>
      <c r="J715" s="15" t="inlineStr">
        <is>
          <t>A</t>
        </is>
      </c>
      <c r="K715" s="15" t="inlineStr">
        <is>
          <t>N</t>
        </is>
      </c>
      <c r="L715" s="15" t="n">
        <v>401</v>
      </c>
      <c r="M715" s="16" t="n">
        <v>0.9499690000000001</v>
      </c>
      <c r="N715" s="16" t="n">
        <v>0</v>
      </c>
      <c r="O715" s="16" t="n">
        <v>0</v>
      </c>
      <c r="P715" s="16" t="n">
        <v>0.9499690000000001</v>
      </c>
      <c r="Q715">
        <f>--($A715=IF('الداشبورد'!$B$5="الكل",$A715,'الداشبورد'!$B$5))</f>
        <v/>
      </c>
      <c r="R715">
        <f>--($E715=IF('الداشبورد'!$B$6="الكل",$E715,'الداشبورد'!$B$6))</f>
        <v/>
      </c>
      <c r="S715">
        <f>--($K715=IF('الداشبورد'!$B$7="الكل",$K715,IF('الداشبورد'!$B$7="تصدير","Y","N")))</f>
        <v/>
      </c>
      <c r="T715">
        <f>--($J715=IF('الداشبورد'!$B$8="الكل",$J715,IF('الداشبورد'!$B$8="AL","A","C")))</f>
        <v/>
      </c>
      <c r="U715">
        <f>--($I715=IF('الداشبورد'!$B$9="الكل",$I715,IF('الداشبورد'!$B$9="بدون حالة","P",'الداشبورد'!$B$9)))</f>
        <v/>
      </c>
      <c r="V715">
        <f>--($D715=IF('الداشبورد'!$B$10="الكل",$D715,'الداشبورد'!$B$10))</f>
        <v/>
      </c>
      <c r="W715">
        <f>--($G715=IF('الداشبورد'!$B$11="الكل",$G715,'الداشبورد'!$B$11))</f>
        <v/>
      </c>
      <c r="X715">
        <f>Q715*R715*S715*T715*U715*V715*W715*--($C715&lt;&gt;"")</f>
        <v/>
      </c>
    </row>
    <row r="716">
      <c r="A716" s="15" t="n">
        <v>7</v>
      </c>
      <c r="B716" s="15" t="inlineStr">
        <is>
          <t>V184946</t>
        </is>
      </c>
      <c r="C716" s="15" t="inlineStr">
        <is>
          <t>1101/26/01</t>
        </is>
      </c>
      <c r="D716" s="15" t="inlineStr">
        <is>
          <t>شركة مصر العليا لتوزيع الكهرباء</t>
        </is>
      </c>
      <c r="E716" s="15" t="inlineStr">
        <is>
          <t>MV</t>
        </is>
      </c>
      <c r="F716" s="15" t="inlineStr">
        <is>
          <t>12/20KV 3X300</t>
        </is>
      </c>
      <c r="G716" s="15" t="inlineStr">
        <is>
          <t>EX07</t>
        </is>
      </c>
      <c r="H716" s="15" t="inlineStr">
        <is>
          <t>Wooden Drums</t>
        </is>
      </c>
      <c r="I716" s="15" t="inlineStr">
        <is>
          <t>OK</t>
        </is>
      </c>
      <c r="J716" s="15" t="inlineStr">
        <is>
          <t>A</t>
        </is>
      </c>
      <c r="K716" s="15" t="inlineStr">
        <is>
          <t>N</t>
        </is>
      </c>
      <c r="L716" s="15" t="n">
        <v>405</v>
      </c>
      <c r="M716" s="16" t="n">
        <v>0.9594450000000001</v>
      </c>
      <c r="N716" s="16" t="n">
        <v>0</v>
      </c>
      <c r="O716" s="16" t="n">
        <v>0</v>
      </c>
      <c r="P716" s="16" t="n">
        <v>0.9594450000000001</v>
      </c>
      <c r="Q716">
        <f>--($A716=IF('الداشبورد'!$B$5="الكل",$A716,'الداشبورد'!$B$5))</f>
        <v/>
      </c>
      <c r="R716">
        <f>--($E716=IF('الداشبورد'!$B$6="الكل",$E716,'الداشبورد'!$B$6))</f>
        <v/>
      </c>
      <c r="S716">
        <f>--($K716=IF('الداشبورد'!$B$7="الكل",$K716,IF('الداشبورد'!$B$7="تصدير","Y","N")))</f>
        <v/>
      </c>
      <c r="T716">
        <f>--($J716=IF('الداشبورد'!$B$8="الكل",$J716,IF('الداشبورد'!$B$8="AL","A","C")))</f>
        <v/>
      </c>
      <c r="U716">
        <f>--($I716=IF('الداشبورد'!$B$9="الكل",$I716,IF('الداشبورد'!$B$9="بدون حالة","P",'الداشبورد'!$B$9)))</f>
        <v/>
      </c>
      <c r="V716">
        <f>--($D716=IF('الداشبورد'!$B$10="الكل",$D716,'الداشبورد'!$B$10))</f>
        <v/>
      </c>
      <c r="W716">
        <f>--($G716=IF('الداشبورد'!$B$11="الكل",$G716,'الداشبورد'!$B$11))</f>
        <v/>
      </c>
      <c r="X716">
        <f>Q716*R716*S716*T716*U716*V716*W716*--($C716&lt;&gt;"")</f>
        <v/>
      </c>
    </row>
    <row r="717">
      <c r="A717" s="15" t="n">
        <v>7</v>
      </c>
      <c r="B717" s="15" t="inlineStr">
        <is>
          <t>T184947</t>
        </is>
      </c>
      <c r="C717" s="15" t="inlineStr">
        <is>
          <t>1101/26/01</t>
        </is>
      </c>
      <c r="D717" s="15" t="inlineStr">
        <is>
          <t>شركة مصر العليا لتوزيع الكهرباء</t>
        </is>
      </c>
      <c r="E717" s="15" t="inlineStr">
        <is>
          <t>MV</t>
        </is>
      </c>
      <c r="F717" s="15" t="inlineStr">
        <is>
          <t>12/20KV 3X300</t>
        </is>
      </c>
      <c r="G717" s="15" t="inlineStr">
        <is>
          <t>EX07</t>
        </is>
      </c>
      <c r="H717" s="15" t="inlineStr">
        <is>
          <t>Wooden Drums</t>
        </is>
      </c>
      <c r="I717" s="15" t="inlineStr">
        <is>
          <t>OK</t>
        </is>
      </c>
      <c r="J717" s="15" t="inlineStr">
        <is>
          <t>A</t>
        </is>
      </c>
      <c r="K717" s="15" t="inlineStr">
        <is>
          <t>N</t>
        </is>
      </c>
      <c r="L717" s="15" t="n">
        <v>437</v>
      </c>
      <c r="M717" s="16" t="n">
        <v>1.035253</v>
      </c>
      <c r="N717" s="16" t="n">
        <v>0</v>
      </c>
      <c r="O717" s="16" t="n">
        <v>0</v>
      </c>
      <c r="P717" s="16" t="n">
        <v>1.035253</v>
      </c>
      <c r="Q717">
        <f>--($A717=IF('الداشبورد'!$B$5="الكل",$A717,'الداشبورد'!$B$5))</f>
        <v/>
      </c>
      <c r="R717">
        <f>--($E717=IF('الداشبورد'!$B$6="الكل",$E717,'الداشبورد'!$B$6))</f>
        <v/>
      </c>
      <c r="S717">
        <f>--($K717=IF('الداشبورد'!$B$7="الكل",$K717,IF('الداشبورد'!$B$7="تصدير","Y","N")))</f>
        <v/>
      </c>
      <c r="T717">
        <f>--($J717=IF('الداشبورد'!$B$8="الكل",$J717,IF('الداشبورد'!$B$8="AL","A","C")))</f>
        <v/>
      </c>
      <c r="U717">
        <f>--($I717=IF('الداشبورد'!$B$9="الكل",$I717,IF('الداشبورد'!$B$9="بدون حالة","P",'الداشبورد'!$B$9)))</f>
        <v/>
      </c>
      <c r="V717">
        <f>--($D717=IF('الداشبورد'!$B$10="الكل",$D717,'الداشبورد'!$B$10))</f>
        <v/>
      </c>
      <c r="W717">
        <f>--($G717=IF('الداشبورد'!$B$11="الكل",$G717,'الداشبورد'!$B$11))</f>
        <v/>
      </c>
      <c r="X717">
        <f>Q717*R717*S717*T717*U717*V717*W717*--($C717&lt;&gt;"")</f>
        <v/>
      </c>
    </row>
    <row r="718">
      <c r="A718" s="15" t="n">
        <v>7</v>
      </c>
      <c r="B718" s="15" t="inlineStr">
        <is>
          <t>T184925</t>
        </is>
      </c>
      <c r="C718" s="15" t="inlineStr">
        <is>
          <t>1101/26/01</t>
        </is>
      </c>
      <c r="D718" s="15" t="inlineStr">
        <is>
          <t>شركة مصر العليا لتوزيع الكهرباء</t>
        </is>
      </c>
      <c r="E718" s="15" t="inlineStr">
        <is>
          <t>MV</t>
        </is>
      </c>
      <c r="F718" s="15" t="inlineStr">
        <is>
          <t>12/20KV 3X300</t>
        </is>
      </c>
      <c r="G718" s="15" t="inlineStr">
        <is>
          <t>EX07</t>
        </is>
      </c>
      <c r="H718" s="15" t="inlineStr">
        <is>
          <t>Wooden Drums</t>
        </is>
      </c>
      <c r="I718" s="15" t="inlineStr">
        <is>
          <t>OK</t>
        </is>
      </c>
      <c r="J718" s="15" t="inlineStr">
        <is>
          <t>A</t>
        </is>
      </c>
      <c r="K718" s="15" t="inlineStr">
        <is>
          <t>N</t>
        </is>
      </c>
      <c r="L718" s="15" t="n">
        <v>404</v>
      </c>
      <c r="M718" s="16" t="n">
        <v>0.9570760000000001</v>
      </c>
      <c r="N718" s="16" t="n">
        <v>0</v>
      </c>
      <c r="O718" s="16" t="n">
        <v>0</v>
      </c>
      <c r="P718" s="16" t="n">
        <v>0.9570760000000001</v>
      </c>
      <c r="Q718">
        <f>--($A718=IF('الداشبورد'!$B$5="الكل",$A718,'الداشبورد'!$B$5))</f>
        <v/>
      </c>
      <c r="R718">
        <f>--($E718=IF('الداشبورد'!$B$6="الكل",$E718,'الداشبورد'!$B$6))</f>
        <v/>
      </c>
      <c r="S718">
        <f>--($K718=IF('الداشبورد'!$B$7="الكل",$K718,IF('الداشبورد'!$B$7="تصدير","Y","N")))</f>
        <v/>
      </c>
      <c r="T718">
        <f>--($J718=IF('الداشبورد'!$B$8="الكل",$J718,IF('الداشبورد'!$B$8="AL","A","C")))</f>
        <v/>
      </c>
      <c r="U718">
        <f>--($I718=IF('الداشبورد'!$B$9="الكل",$I718,IF('الداشبورد'!$B$9="بدون حالة","P",'الداشبورد'!$B$9)))</f>
        <v/>
      </c>
      <c r="V718">
        <f>--($D718=IF('الداشبورد'!$B$10="الكل",$D718,'الداشبورد'!$B$10))</f>
        <v/>
      </c>
      <c r="W718">
        <f>--($G718=IF('الداشبورد'!$B$11="الكل",$G718,'الداشبورد'!$B$11))</f>
        <v/>
      </c>
      <c r="X718">
        <f>Q718*R718*S718*T718*U718*V718*W718*--($C718&lt;&gt;"")</f>
        <v/>
      </c>
    </row>
    <row r="719">
      <c r="A719" s="15" t="n">
        <v>7</v>
      </c>
      <c r="B719" s="15" t="inlineStr">
        <is>
          <t>W184968</t>
        </is>
      </c>
      <c r="C719" s="15" t="inlineStr">
        <is>
          <t>1101/26/01</t>
        </is>
      </c>
      <c r="D719" s="15" t="inlineStr">
        <is>
          <t>شركة مصر العليا لتوزيع الكهرباء</t>
        </is>
      </c>
      <c r="E719" s="15" t="inlineStr">
        <is>
          <t>MV</t>
        </is>
      </c>
      <c r="F719" s="15" t="inlineStr">
        <is>
          <t>12/20KV 3X300</t>
        </is>
      </c>
      <c r="G719" s="15" t="inlineStr">
        <is>
          <t>EX07</t>
        </is>
      </c>
      <c r="H719" s="15" t="inlineStr">
        <is>
          <t>Wooden Drums</t>
        </is>
      </c>
      <c r="I719" s="15" t="inlineStr">
        <is>
          <t>OK</t>
        </is>
      </c>
      <c r="J719" s="15" t="inlineStr">
        <is>
          <t>A</t>
        </is>
      </c>
      <c r="K719" s="15" t="inlineStr">
        <is>
          <t>N</t>
        </is>
      </c>
      <c r="L719" s="15" t="n">
        <v>398</v>
      </c>
      <c r="M719" s="16" t="n">
        <v>0.9428620000000001</v>
      </c>
      <c r="N719" s="16" t="n">
        <v>0</v>
      </c>
      <c r="O719" s="16" t="n">
        <v>0</v>
      </c>
      <c r="P719" s="16" t="n">
        <v>0.9428620000000001</v>
      </c>
      <c r="Q719">
        <f>--($A719=IF('الداشبورد'!$B$5="الكل",$A719,'الداشبورد'!$B$5))</f>
        <v/>
      </c>
      <c r="R719">
        <f>--($E719=IF('الداشبورد'!$B$6="الكل",$E719,'الداشبورد'!$B$6))</f>
        <v/>
      </c>
      <c r="S719">
        <f>--($K719=IF('الداشبورد'!$B$7="الكل",$K719,IF('الداشبورد'!$B$7="تصدير","Y","N")))</f>
        <v/>
      </c>
      <c r="T719">
        <f>--($J719=IF('الداشبورد'!$B$8="الكل",$J719,IF('الداشبورد'!$B$8="AL","A","C")))</f>
        <v/>
      </c>
      <c r="U719">
        <f>--($I719=IF('الداشبورد'!$B$9="الكل",$I719,IF('الداشبورد'!$B$9="بدون حالة","P",'الداشبورد'!$B$9)))</f>
        <v/>
      </c>
      <c r="V719">
        <f>--($D719=IF('الداشبورد'!$B$10="الكل",$D719,'الداشبورد'!$B$10))</f>
        <v/>
      </c>
      <c r="W719">
        <f>--($G719=IF('الداشبورد'!$B$11="الكل",$G719,'الداشبورد'!$B$11))</f>
        <v/>
      </c>
      <c r="X719">
        <f>Q719*R719*S719*T719*U719*V719*W719*--($C719&lt;&gt;"")</f>
        <v/>
      </c>
    </row>
    <row r="720">
      <c r="A720" s="15" t="n">
        <v>7</v>
      </c>
      <c r="B720" s="15" t="inlineStr">
        <is>
          <t>W184969</t>
        </is>
      </c>
      <c r="C720" s="15" t="inlineStr">
        <is>
          <t>1101/26/01</t>
        </is>
      </c>
      <c r="D720" s="15" t="inlineStr">
        <is>
          <t>شركة مصر العليا لتوزيع الكهرباء</t>
        </is>
      </c>
      <c r="E720" s="15" t="inlineStr">
        <is>
          <t>MV</t>
        </is>
      </c>
      <c r="F720" s="15" t="inlineStr">
        <is>
          <t>12/20KV 3X300</t>
        </is>
      </c>
      <c r="G720" s="15" t="inlineStr">
        <is>
          <t>EX07</t>
        </is>
      </c>
      <c r="H720" s="15" t="inlineStr">
        <is>
          <t>Wooden Drums</t>
        </is>
      </c>
      <c r="I720" s="15" t="inlineStr">
        <is>
          <t>OK</t>
        </is>
      </c>
      <c r="J720" s="15" t="inlineStr">
        <is>
          <t>A</t>
        </is>
      </c>
      <c r="K720" s="15" t="inlineStr">
        <is>
          <t>N</t>
        </is>
      </c>
      <c r="L720" s="15" t="n">
        <v>405</v>
      </c>
      <c r="M720" s="16" t="n">
        <v>0.9594450000000001</v>
      </c>
      <c r="N720" s="16" t="n">
        <v>0</v>
      </c>
      <c r="O720" s="16" t="n">
        <v>0</v>
      </c>
      <c r="P720" s="16" t="n">
        <v>0.9594450000000001</v>
      </c>
      <c r="Q720">
        <f>--($A720=IF('الداشبورد'!$B$5="الكل",$A720,'الداشبورد'!$B$5))</f>
        <v/>
      </c>
      <c r="R720">
        <f>--($E720=IF('الداشبورد'!$B$6="الكل",$E720,'الداشبورد'!$B$6))</f>
        <v/>
      </c>
      <c r="S720">
        <f>--($K720=IF('الداشبورد'!$B$7="الكل",$K720,IF('الداشبورد'!$B$7="تصدير","Y","N")))</f>
        <v/>
      </c>
      <c r="T720">
        <f>--($J720=IF('الداشبورد'!$B$8="الكل",$J720,IF('الداشبورد'!$B$8="AL","A","C")))</f>
        <v/>
      </c>
      <c r="U720">
        <f>--($I720=IF('الداشبورد'!$B$9="الكل",$I720,IF('الداشبورد'!$B$9="بدون حالة","P",'الداشبورد'!$B$9)))</f>
        <v/>
      </c>
      <c r="V720">
        <f>--($D720=IF('الداشبورد'!$B$10="الكل",$D720,'الداشبورد'!$B$10))</f>
        <v/>
      </c>
      <c r="W720">
        <f>--($G720=IF('الداشبورد'!$B$11="الكل",$G720,'الداشبورد'!$B$11))</f>
        <v/>
      </c>
      <c r="X720">
        <f>Q720*R720*S720*T720*U720*V720*W720*--($C720&lt;&gt;"")</f>
        <v/>
      </c>
    </row>
    <row r="721">
      <c r="A721" s="15" t="n">
        <v>7</v>
      </c>
      <c r="B721" s="15" t="inlineStr">
        <is>
          <t>W184970</t>
        </is>
      </c>
      <c r="C721" s="15" t="inlineStr">
        <is>
          <t>1101/26/01</t>
        </is>
      </c>
      <c r="D721" s="15" t="inlineStr">
        <is>
          <t>شركة مصر العليا لتوزيع الكهرباء</t>
        </is>
      </c>
      <c r="E721" s="15" t="inlineStr">
        <is>
          <t>MV</t>
        </is>
      </c>
      <c r="F721" s="15" t="inlineStr">
        <is>
          <t>12/20KV 3X300</t>
        </is>
      </c>
      <c r="G721" s="15" t="inlineStr">
        <is>
          <t>EX07</t>
        </is>
      </c>
      <c r="H721" s="15" t="inlineStr">
        <is>
          <t>Wooden Drums</t>
        </is>
      </c>
      <c r="I721" s="15" t="inlineStr">
        <is>
          <t>OK</t>
        </is>
      </c>
      <c r="J721" s="15" t="inlineStr">
        <is>
          <t>A</t>
        </is>
      </c>
      <c r="K721" s="15" t="inlineStr">
        <is>
          <t>N</t>
        </is>
      </c>
      <c r="L721" s="15" t="n">
        <v>400</v>
      </c>
      <c r="M721" s="16" t="n">
        <v>0.9476000000000001</v>
      </c>
      <c r="N721" s="16" t="n">
        <v>0</v>
      </c>
      <c r="O721" s="16" t="n">
        <v>0</v>
      </c>
      <c r="P721" s="16" t="n">
        <v>0.9476000000000001</v>
      </c>
      <c r="Q721">
        <f>--($A721=IF('الداشبورد'!$B$5="الكل",$A721,'الداشبورد'!$B$5))</f>
        <v/>
      </c>
      <c r="R721">
        <f>--($E721=IF('الداشبورد'!$B$6="الكل",$E721,'الداشبورد'!$B$6))</f>
        <v/>
      </c>
      <c r="S721">
        <f>--($K721=IF('الداشبورد'!$B$7="الكل",$K721,IF('الداشبورد'!$B$7="تصدير","Y","N")))</f>
        <v/>
      </c>
      <c r="T721">
        <f>--($J721=IF('الداشبورد'!$B$8="الكل",$J721,IF('الداشبورد'!$B$8="AL","A","C")))</f>
        <v/>
      </c>
      <c r="U721">
        <f>--($I721=IF('الداشبورد'!$B$9="الكل",$I721,IF('الداشبورد'!$B$9="بدون حالة","P",'الداشبورد'!$B$9)))</f>
        <v/>
      </c>
      <c r="V721">
        <f>--($D721=IF('الداشبورد'!$B$10="الكل",$D721,'الداشبورد'!$B$10))</f>
        <v/>
      </c>
      <c r="W721">
        <f>--($G721=IF('الداشبورد'!$B$11="الكل",$G721,'الداشبورد'!$B$11))</f>
        <v/>
      </c>
      <c r="X721">
        <f>Q721*R721*S721*T721*U721*V721*W721*--($C721&lt;&gt;"")</f>
        <v/>
      </c>
    </row>
    <row r="722">
      <c r="A722" s="15" t="n">
        <v>7</v>
      </c>
      <c r="B722" s="15" t="inlineStr">
        <is>
          <t>V184971</t>
        </is>
      </c>
      <c r="C722" s="15" t="inlineStr">
        <is>
          <t>1101/26/01</t>
        </is>
      </c>
      <c r="D722" s="15" t="inlineStr">
        <is>
          <t>شركة مصر العليا لتوزيع الكهرباء</t>
        </is>
      </c>
      <c r="E722" s="15" t="inlineStr">
        <is>
          <t>MV</t>
        </is>
      </c>
      <c r="F722" s="15" t="inlineStr">
        <is>
          <t>12/20KV 3X300</t>
        </is>
      </c>
      <c r="G722" s="15" t="inlineStr">
        <is>
          <t>EX07</t>
        </is>
      </c>
      <c r="H722" s="15" t="inlineStr">
        <is>
          <t>Wooden Drums</t>
        </is>
      </c>
      <c r="I722" s="15" t="inlineStr">
        <is>
          <t>OK</t>
        </is>
      </c>
      <c r="J722" s="15" t="inlineStr">
        <is>
          <t>A</t>
        </is>
      </c>
      <c r="K722" s="15" t="inlineStr">
        <is>
          <t>N</t>
        </is>
      </c>
      <c r="L722" s="15" t="n">
        <v>409</v>
      </c>
      <c r="M722" s="16" t="n">
        <v>0.968921</v>
      </c>
      <c r="N722" s="16" t="n">
        <v>0</v>
      </c>
      <c r="O722" s="16" t="n">
        <v>0</v>
      </c>
      <c r="P722" s="16" t="n">
        <v>0.968921</v>
      </c>
      <c r="Q722">
        <f>--($A722=IF('الداشبورد'!$B$5="الكل",$A722,'الداشبورد'!$B$5))</f>
        <v/>
      </c>
      <c r="R722">
        <f>--($E722=IF('الداشبورد'!$B$6="الكل",$E722,'الداشبورد'!$B$6))</f>
        <v/>
      </c>
      <c r="S722">
        <f>--($K722=IF('الداشبورد'!$B$7="الكل",$K722,IF('الداشبورد'!$B$7="تصدير","Y","N")))</f>
        <v/>
      </c>
      <c r="T722">
        <f>--($J722=IF('الداشبورد'!$B$8="الكل",$J722,IF('الداشبورد'!$B$8="AL","A","C")))</f>
        <v/>
      </c>
      <c r="U722">
        <f>--($I722=IF('الداشبورد'!$B$9="الكل",$I722,IF('الداشبورد'!$B$9="بدون حالة","P",'الداشبورد'!$B$9)))</f>
        <v/>
      </c>
      <c r="V722">
        <f>--($D722=IF('الداشبورد'!$B$10="الكل",$D722,'الداشبورد'!$B$10))</f>
        <v/>
      </c>
      <c r="W722">
        <f>--($G722=IF('الداشبورد'!$B$11="الكل",$G722,'الداشبورد'!$B$11))</f>
        <v/>
      </c>
      <c r="X722">
        <f>Q722*R722*S722*T722*U722*V722*W722*--($C722&lt;&gt;"")</f>
        <v/>
      </c>
    </row>
    <row r="723">
      <c r="A723" s="15" t="n">
        <v>7</v>
      </c>
      <c r="B723" s="15" t="inlineStr">
        <is>
          <t>T184957</t>
        </is>
      </c>
      <c r="C723" s="15" t="inlineStr">
        <is>
          <t>1101/26/01</t>
        </is>
      </c>
      <c r="D723" s="15" t="inlineStr">
        <is>
          <t>شركة مصر العليا لتوزيع الكهرباء</t>
        </is>
      </c>
      <c r="E723" s="15" t="inlineStr">
        <is>
          <t>MV</t>
        </is>
      </c>
      <c r="F723" s="15" t="inlineStr">
        <is>
          <t>12/20KV 3X300</t>
        </is>
      </c>
      <c r="G723" s="15" t="inlineStr">
        <is>
          <t>EX07</t>
        </is>
      </c>
      <c r="H723" s="15" t="inlineStr">
        <is>
          <t>Wooden Drums</t>
        </is>
      </c>
      <c r="I723" s="15" t="inlineStr">
        <is>
          <t>OK</t>
        </is>
      </c>
      <c r="J723" s="15" t="inlineStr">
        <is>
          <t>A</t>
        </is>
      </c>
      <c r="K723" s="15" t="inlineStr">
        <is>
          <t>N</t>
        </is>
      </c>
      <c r="L723" s="15" t="n">
        <v>400</v>
      </c>
      <c r="M723" s="16" t="n">
        <v>0.9476000000000001</v>
      </c>
      <c r="N723" s="16" t="n">
        <v>0</v>
      </c>
      <c r="O723" s="16" t="n">
        <v>0</v>
      </c>
      <c r="P723" s="16" t="n">
        <v>0.9476000000000001</v>
      </c>
      <c r="Q723">
        <f>--($A723=IF('الداشبورد'!$B$5="الكل",$A723,'الداشبورد'!$B$5))</f>
        <v/>
      </c>
      <c r="R723">
        <f>--($E723=IF('الداشبورد'!$B$6="الكل",$E723,'الداشبورد'!$B$6))</f>
        <v/>
      </c>
      <c r="S723">
        <f>--($K723=IF('الداشبورد'!$B$7="الكل",$K723,IF('الداشبورد'!$B$7="تصدير","Y","N")))</f>
        <v/>
      </c>
      <c r="T723">
        <f>--($J723=IF('الداشبورد'!$B$8="الكل",$J723,IF('الداشبورد'!$B$8="AL","A","C")))</f>
        <v/>
      </c>
      <c r="U723">
        <f>--($I723=IF('الداشبورد'!$B$9="الكل",$I723,IF('الداشبورد'!$B$9="بدون حالة","P",'الداشبورد'!$B$9)))</f>
        <v/>
      </c>
      <c r="V723">
        <f>--($D723=IF('الداشبورد'!$B$10="الكل",$D723,'الداشبورد'!$B$10))</f>
        <v/>
      </c>
      <c r="W723">
        <f>--($G723=IF('الداشبورد'!$B$11="الكل",$G723,'الداشبورد'!$B$11))</f>
        <v/>
      </c>
      <c r="X723">
        <f>Q723*R723*S723*T723*U723*V723*W723*--($C723&lt;&gt;"")</f>
        <v/>
      </c>
    </row>
    <row r="724">
      <c r="A724" s="15" t="n">
        <v>7</v>
      </c>
      <c r="B724" s="15" t="inlineStr">
        <is>
          <t>V184972</t>
        </is>
      </c>
      <c r="C724" s="15" t="inlineStr">
        <is>
          <t>1101/26/01</t>
        </is>
      </c>
      <c r="D724" s="15" t="inlineStr">
        <is>
          <t>شركة مصر العليا لتوزيع الكهرباء</t>
        </is>
      </c>
      <c r="E724" s="15" t="inlineStr">
        <is>
          <t>MV</t>
        </is>
      </c>
      <c r="F724" s="15" t="inlineStr">
        <is>
          <t>12/20KV 3X300</t>
        </is>
      </c>
      <c r="G724" s="15" t="inlineStr">
        <is>
          <t>EX07</t>
        </is>
      </c>
      <c r="H724" s="15" t="inlineStr">
        <is>
          <t>Wooden Drums</t>
        </is>
      </c>
      <c r="I724" s="15" t="inlineStr">
        <is>
          <t>OK</t>
        </is>
      </c>
      <c r="J724" s="15" t="inlineStr">
        <is>
          <t>A</t>
        </is>
      </c>
      <c r="K724" s="15" t="inlineStr">
        <is>
          <t>N</t>
        </is>
      </c>
      <c r="L724" s="15" t="n">
        <v>400</v>
      </c>
      <c r="M724" s="16" t="n">
        <v>0.9476000000000001</v>
      </c>
      <c r="N724" s="16" t="n">
        <v>0</v>
      </c>
      <c r="O724" s="16" t="n">
        <v>0</v>
      </c>
      <c r="P724" s="16" t="n">
        <v>0.9476000000000001</v>
      </c>
      <c r="Q724">
        <f>--($A724=IF('الداشبورد'!$B$5="الكل",$A724,'الداشبورد'!$B$5))</f>
        <v/>
      </c>
      <c r="R724">
        <f>--($E724=IF('الداشبورد'!$B$6="الكل",$E724,'الداشبورد'!$B$6))</f>
        <v/>
      </c>
      <c r="S724">
        <f>--($K724=IF('الداشبورد'!$B$7="الكل",$K724,IF('الداشبورد'!$B$7="تصدير","Y","N")))</f>
        <v/>
      </c>
      <c r="T724">
        <f>--($J724=IF('الداشبورد'!$B$8="الكل",$J724,IF('الداشبورد'!$B$8="AL","A","C")))</f>
        <v/>
      </c>
      <c r="U724">
        <f>--($I724=IF('الداشبورد'!$B$9="الكل",$I724,IF('الداشبورد'!$B$9="بدون حالة","P",'الداشبورد'!$B$9)))</f>
        <v/>
      </c>
      <c r="V724">
        <f>--($D724=IF('الداشبورد'!$B$10="الكل",$D724,'الداشبورد'!$B$10))</f>
        <v/>
      </c>
      <c r="W724">
        <f>--($G724=IF('الداشبورد'!$B$11="الكل",$G724,'الداشبورد'!$B$11))</f>
        <v/>
      </c>
      <c r="X724">
        <f>Q724*R724*S724*T724*U724*V724*W724*--($C724&lt;&gt;"")</f>
        <v/>
      </c>
    </row>
    <row r="725">
      <c r="A725" s="15" t="n">
        <v>7</v>
      </c>
      <c r="B725" s="15" t="inlineStr">
        <is>
          <t>V184973</t>
        </is>
      </c>
      <c r="C725" s="15" t="inlineStr">
        <is>
          <t>1101/26/01</t>
        </is>
      </c>
      <c r="D725" s="15" t="inlineStr">
        <is>
          <t>شركة مصر العليا لتوزيع الكهرباء</t>
        </is>
      </c>
      <c r="E725" s="15" t="inlineStr">
        <is>
          <t>MV</t>
        </is>
      </c>
      <c r="F725" s="15" t="inlineStr">
        <is>
          <t>12/20KV 3X300</t>
        </is>
      </c>
      <c r="G725" s="15" t="inlineStr">
        <is>
          <t>EX07</t>
        </is>
      </c>
      <c r="H725" s="15" t="inlineStr">
        <is>
          <t>Wooden Drums</t>
        </is>
      </c>
      <c r="I725" s="15" t="inlineStr">
        <is>
          <t>OK</t>
        </is>
      </c>
      <c r="J725" s="15" t="inlineStr">
        <is>
          <t>A</t>
        </is>
      </c>
      <c r="K725" s="15" t="inlineStr">
        <is>
          <t>N</t>
        </is>
      </c>
      <c r="L725" s="15" t="n">
        <v>400</v>
      </c>
      <c r="M725" s="16" t="n">
        <v>0.9476000000000001</v>
      </c>
      <c r="N725" s="16" t="n">
        <v>0</v>
      </c>
      <c r="O725" s="16" t="n">
        <v>0</v>
      </c>
      <c r="P725" s="16" t="n">
        <v>0.9476000000000001</v>
      </c>
      <c r="Q725">
        <f>--($A725=IF('الداشبورد'!$B$5="الكل",$A725,'الداشبورد'!$B$5))</f>
        <v/>
      </c>
      <c r="R725">
        <f>--($E725=IF('الداشبورد'!$B$6="الكل",$E725,'الداشبورد'!$B$6))</f>
        <v/>
      </c>
      <c r="S725">
        <f>--($K725=IF('الداشبورد'!$B$7="الكل",$K725,IF('الداشبورد'!$B$7="تصدير","Y","N")))</f>
        <v/>
      </c>
      <c r="T725">
        <f>--($J725=IF('الداشبورد'!$B$8="الكل",$J725,IF('الداشبورد'!$B$8="AL","A","C")))</f>
        <v/>
      </c>
      <c r="U725">
        <f>--($I725=IF('الداشبورد'!$B$9="الكل",$I725,IF('الداشبورد'!$B$9="بدون حالة","P",'الداشبورد'!$B$9)))</f>
        <v/>
      </c>
      <c r="V725">
        <f>--($D725=IF('الداشبورد'!$B$10="الكل",$D725,'الداشبورد'!$B$10))</f>
        <v/>
      </c>
      <c r="W725">
        <f>--($G725=IF('الداشبورد'!$B$11="الكل",$G725,'الداشبورد'!$B$11))</f>
        <v/>
      </c>
      <c r="X725">
        <f>Q725*R725*S725*T725*U725*V725*W725*--($C725&lt;&gt;"")</f>
        <v/>
      </c>
    </row>
    <row r="726">
      <c r="A726" s="15" t="n">
        <v>7</v>
      </c>
      <c r="B726" s="15" t="inlineStr">
        <is>
          <t>Z184929</t>
        </is>
      </c>
      <c r="C726" s="15" t="inlineStr">
        <is>
          <t>803/26/01</t>
        </is>
      </c>
      <c r="D726" s="15" t="inlineStr">
        <is>
          <t>الشركة العربية للصناعة والتجارة الدولية</t>
        </is>
      </c>
      <c r="E726" s="15" t="inlineStr">
        <is>
          <t>MV</t>
        </is>
      </c>
      <c r="F726" s="15" t="inlineStr">
        <is>
          <t>18 / 30 KV 3 X 400 MM</t>
        </is>
      </c>
      <c r="G726" s="15" t="inlineStr">
        <is>
          <t>EX04</t>
        </is>
      </c>
      <c r="H726" s="15" t="inlineStr">
        <is>
          <t>Wooden Drums</t>
        </is>
      </c>
      <c r="I726" s="15" t="inlineStr">
        <is>
          <t>OK</t>
        </is>
      </c>
      <c r="J726" s="15" t="inlineStr">
        <is>
          <t>A</t>
        </is>
      </c>
      <c r="K726" s="15" t="inlineStr">
        <is>
          <t>N</t>
        </is>
      </c>
      <c r="L726" s="15" t="n">
        <v>398</v>
      </c>
      <c r="M726" s="16" t="n">
        <v>1.220268</v>
      </c>
      <c r="N726" s="16" t="n">
        <v>0</v>
      </c>
      <c r="O726" s="16" t="n">
        <v>0</v>
      </c>
      <c r="P726" s="16" t="n">
        <v>1.220268</v>
      </c>
      <c r="Q726">
        <f>--($A726=IF('الداشبورد'!$B$5="الكل",$A726,'الداشبورد'!$B$5))</f>
        <v/>
      </c>
      <c r="R726">
        <f>--($E726=IF('الداشبورد'!$B$6="الكل",$E726,'الداشبورد'!$B$6))</f>
        <v/>
      </c>
      <c r="S726">
        <f>--($K726=IF('الداشبورد'!$B$7="الكل",$K726,IF('الداشبورد'!$B$7="تصدير","Y","N")))</f>
        <v/>
      </c>
      <c r="T726">
        <f>--($J726=IF('الداشبورد'!$B$8="الكل",$J726,IF('الداشبورد'!$B$8="AL","A","C")))</f>
        <v/>
      </c>
      <c r="U726">
        <f>--($I726=IF('الداشبورد'!$B$9="الكل",$I726,IF('الداشبورد'!$B$9="بدون حالة","P",'الداشبورد'!$B$9)))</f>
        <v/>
      </c>
      <c r="V726">
        <f>--($D726=IF('الداشبورد'!$B$10="الكل",$D726,'الداشبورد'!$B$10))</f>
        <v/>
      </c>
      <c r="W726">
        <f>--($G726=IF('الداشبورد'!$B$11="الكل",$G726,'الداشبورد'!$B$11))</f>
        <v/>
      </c>
      <c r="X726">
        <f>Q726*R726*S726*T726*U726*V726*W726*--($C726&lt;&gt;"")</f>
        <v/>
      </c>
    </row>
    <row r="727">
      <c r="A727" s="15" t="n">
        <v>7</v>
      </c>
      <c r="B727" s="15" t="inlineStr">
        <is>
          <t>V184924</t>
        </is>
      </c>
      <c r="C727" s="15" t="inlineStr">
        <is>
          <t>803/26/01</t>
        </is>
      </c>
      <c r="D727" s="15" t="inlineStr">
        <is>
          <t>الشركة العربية للصناعة والتجارة الدولية</t>
        </is>
      </c>
      <c r="E727" s="15" t="inlineStr">
        <is>
          <t>MV</t>
        </is>
      </c>
      <c r="F727" s="15" t="inlineStr">
        <is>
          <t>18 / 30 KV 3 X 400 MM</t>
        </is>
      </c>
      <c r="G727" s="15" t="inlineStr">
        <is>
          <t>EX04</t>
        </is>
      </c>
      <c r="H727" s="15" t="inlineStr">
        <is>
          <t>Wooden Drums</t>
        </is>
      </c>
      <c r="I727" s="15" t="inlineStr">
        <is>
          <t>OK</t>
        </is>
      </c>
      <c r="J727" s="15" t="inlineStr">
        <is>
          <t>A</t>
        </is>
      </c>
      <c r="K727" s="15" t="inlineStr">
        <is>
          <t>N</t>
        </is>
      </c>
      <c r="L727" s="15" t="n">
        <v>410</v>
      </c>
      <c r="M727" s="16" t="n">
        <v>1.25706</v>
      </c>
      <c r="N727" s="16" t="n">
        <v>0</v>
      </c>
      <c r="O727" s="16" t="n">
        <v>0</v>
      </c>
      <c r="P727" s="16" t="n">
        <v>1.25706</v>
      </c>
      <c r="Q727">
        <f>--($A727=IF('الداشبورد'!$B$5="الكل",$A727,'الداشبورد'!$B$5))</f>
        <v/>
      </c>
      <c r="R727">
        <f>--($E727=IF('الداشبورد'!$B$6="الكل",$E727,'الداشبورد'!$B$6))</f>
        <v/>
      </c>
      <c r="S727">
        <f>--($K727=IF('الداشبورد'!$B$7="الكل",$K727,IF('الداشبورد'!$B$7="تصدير","Y","N")))</f>
        <v/>
      </c>
      <c r="T727">
        <f>--($J727=IF('الداشبورد'!$B$8="الكل",$J727,IF('الداشبورد'!$B$8="AL","A","C")))</f>
        <v/>
      </c>
      <c r="U727">
        <f>--($I727=IF('الداشبورد'!$B$9="الكل",$I727,IF('الداشبورد'!$B$9="بدون حالة","P",'الداشبورد'!$B$9)))</f>
        <v/>
      </c>
      <c r="V727">
        <f>--($D727=IF('الداشبورد'!$B$10="الكل",$D727,'الداشبورد'!$B$10))</f>
        <v/>
      </c>
      <c r="W727">
        <f>--($G727=IF('الداشبورد'!$B$11="الكل",$G727,'الداشبورد'!$B$11))</f>
        <v/>
      </c>
      <c r="X727">
        <f>Q727*R727*S727*T727*U727*V727*W727*--($C727&lt;&gt;"")</f>
        <v/>
      </c>
    </row>
    <row r="728">
      <c r="A728" s="15" t="n">
        <v>7</v>
      </c>
      <c r="B728" s="15" t="inlineStr">
        <is>
          <t>O184993</t>
        </is>
      </c>
      <c r="C728" s="15" t="inlineStr">
        <is>
          <t>1772/26/01</t>
        </is>
      </c>
      <c r="D728" s="15" t="inlineStr">
        <is>
          <t>Obaido</t>
        </is>
      </c>
      <c r="E728" s="15" t="inlineStr">
        <is>
          <t>LV</t>
        </is>
      </c>
      <c r="F728" s="15" t="inlineStr">
        <is>
          <t>0.6/1 KV 1X630</t>
        </is>
      </c>
      <c r="G728" s="15" t="inlineStr">
        <is>
          <t>EX09</t>
        </is>
      </c>
      <c r="H728" s="15" t="inlineStr">
        <is>
          <t>Wooden Drums</t>
        </is>
      </c>
      <c r="I728" s="15" t="inlineStr">
        <is>
          <t>OK</t>
        </is>
      </c>
      <c r="J728" s="15" t="inlineStr">
        <is>
          <t>A</t>
        </is>
      </c>
      <c r="K728" s="15" t="inlineStr">
        <is>
          <t>Y</t>
        </is>
      </c>
      <c r="L728" s="15" t="n">
        <v>1007</v>
      </c>
      <c r="M728" s="16" t="n">
        <v>1.647452</v>
      </c>
      <c r="N728" s="16" t="n">
        <v>0</v>
      </c>
      <c r="O728" s="16" t="n">
        <v>0.416898</v>
      </c>
      <c r="P728" s="16" t="n">
        <v>2.06435</v>
      </c>
      <c r="Q728">
        <f>--($A728=IF('الداشبورد'!$B$5="الكل",$A728,'الداشبورد'!$B$5))</f>
        <v/>
      </c>
      <c r="R728">
        <f>--($E728=IF('الداشبورد'!$B$6="الكل",$E728,'الداشبورد'!$B$6))</f>
        <v/>
      </c>
      <c r="S728">
        <f>--($K728=IF('الداشبورد'!$B$7="الكل",$K728,IF('الداشبورد'!$B$7="تصدير","Y","N")))</f>
        <v/>
      </c>
      <c r="T728">
        <f>--($J728=IF('الداشبورد'!$B$8="الكل",$J728,IF('الداشبورد'!$B$8="AL","A","C")))</f>
        <v/>
      </c>
      <c r="U728">
        <f>--($I728=IF('الداشبورد'!$B$9="الكل",$I728,IF('الداشبورد'!$B$9="بدون حالة","P",'الداشبورد'!$B$9)))</f>
        <v/>
      </c>
      <c r="V728">
        <f>--($D728=IF('الداشبورد'!$B$10="الكل",$D728,'الداشبورد'!$B$10))</f>
        <v/>
      </c>
      <c r="W728">
        <f>--($G728=IF('الداشبورد'!$B$11="الكل",$G728,'الداشبورد'!$B$11))</f>
        <v/>
      </c>
      <c r="X728">
        <f>Q728*R728*S728*T728*U728*V728*W728*--($C728&lt;&gt;"")</f>
        <v/>
      </c>
    </row>
    <row r="729">
      <c r="A729" s="15" t="n">
        <v>7</v>
      </c>
      <c r="B729" s="15" t="inlineStr">
        <is>
          <t>L180992</t>
        </is>
      </c>
      <c r="C729" s="15" t="inlineStr">
        <is>
          <t>1501/26/04</t>
        </is>
      </c>
      <c r="D729" s="15" t="inlineStr">
        <is>
          <t>Eland Cables</t>
        </is>
      </c>
      <c r="E729" s="15" t="inlineStr">
        <is>
          <t>MV</t>
        </is>
      </c>
      <c r="F729" s="15" t="inlineStr">
        <is>
          <t>6.35/11 KV 3X95</t>
        </is>
      </c>
      <c r="G729" s="15" t="inlineStr">
        <is>
          <t>EX03</t>
        </is>
      </c>
      <c r="H729" s="15" t="inlineStr">
        <is>
          <t>Wooden Drums</t>
        </is>
      </c>
      <c r="I729" s="15" t="inlineStr">
        <is>
          <t>Hold</t>
        </is>
      </c>
      <c r="J729" s="15" t="inlineStr">
        <is>
          <t>C</t>
        </is>
      </c>
      <c r="K729" s="15" t="inlineStr">
        <is>
          <t>Y</t>
        </is>
      </c>
      <c r="L729" s="15" t="n">
        <v>262</v>
      </c>
      <c r="M729" s="16" t="n">
        <v>0.644258</v>
      </c>
      <c r="N729" s="16" t="n">
        <v>0.176064</v>
      </c>
      <c r="O729" s="16" t="n">
        <v>0</v>
      </c>
      <c r="P729" s="16" t="n">
        <v>0.820322</v>
      </c>
      <c r="Q729">
        <f>--($A729=IF('الداشبورد'!$B$5="الكل",$A729,'الداشبورد'!$B$5))</f>
        <v/>
      </c>
      <c r="R729">
        <f>--($E729=IF('الداشبورد'!$B$6="الكل",$E729,'الداشبورد'!$B$6))</f>
        <v/>
      </c>
      <c r="S729">
        <f>--($K729=IF('الداشبورد'!$B$7="الكل",$K729,IF('الداشبورد'!$B$7="تصدير","Y","N")))</f>
        <v/>
      </c>
      <c r="T729">
        <f>--($J729=IF('الداشبورد'!$B$8="الكل",$J729,IF('الداشبورد'!$B$8="AL","A","C")))</f>
        <v/>
      </c>
      <c r="U729">
        <f>--($I729=IF('الداشبورد'!$B$9="الكل",$I729,IF('الداشبورد'!$B$9="بدون حالة","P",'الداشبورد'!$B$9)))</f>
        <v/>
      </c>
      <c r="V729">
        <f>--($D729=IF('الداشبورد'!$B$10="الكل",$D729,'الداشبورد'!$B$10))</f>
        <v/>
      </c>
      <c r="W729">
        <f>--($G729=IF('الداشبورد'!$B$11="الكل",$G729,'الداشبورد'!$B$11))</f>
        <v/>
      </c>
      <c r="X729">
        <f>Q729*R729*S729*T729*U729*V729*W729*--($C729&lt;&gt;"")</f>
        <v/>
      </c>
    </row>
    <row r="730">
      <c r="A730" s="15" t="n">
        <v>7</v>
      </c>
      <c r="B730" s="15" t="inlineStr">
        <is>
          <t>R184964</t>
        </is>
      </c>
      <c r="C730" s="15" t="inlineStr">
        <is>
          <t>1237/26/02</t>
        </is>
      </c>
      <c r="D730" s="15" t="inlineStr">
        <is>
          <t>Al Jawad- Cote D'ivoire</t>
        </is>
      </c>
      <c r="E730" s="15" t="inlineStr">
        <is>
          <t>MV</t>
        </is>
      </c>
      <c r="F730" s="15" t="inlineStr">
        <is>
          <t>18/30KV 3*1*240</t>
        </is>
      </c>
      <c r="G730" s="15" t="inlineStr">
        <is>
          <t>CT03</t>
        </is>
      </c>
      <c r="H730" s="15" t="inlineStr">
        <is>
          <t>Wooden Drums</t>
        </is>
      </c>
      <c r="I730" s="15" t="inlineStr">
        <is>
          <t>OK</t>
        </is>
      </c>
      <c r="J730" s="15" t="inlineStr">
        <is>
          <t>A</t>
        </is>
      </c>
      <c r="K730" s="15" t="inlineStr">
        <is>
          <t>Y</t>
        </is>
      </c>
      <c r="L730" s="15" t="n">
        <v>600</v>
      </c>
      <c r="M730" s="16" t="n">
        <v>1.1226</v>
      </c>
      <c r="N730" s="16" t="n">
        <v>0</v>
      </c>
      <c r="O730" s="16" t="n">
        <v>0</v>
      </c>
      <c r="P730" s="16" t="n">
        <v>1.1226</v>
      </c>
      <c r="Q730">
        <f>--($A730=IF('الداشبورد'!$B$5="الكل",$A730,'الداشبورد'!$B$5))</f>
        <v/>
      </c>
      <c r="R730">
        <f>--($E730=IF('الداشبورد'!$B$6="الكل",$E730,'الداشبورد'!$B$6))</f>
        <v/>
      </c>
      <c r="S730">
        <f>--($K730=IF('الداشبورد'!$B$7="الكل",$K730,IF('الداشبورد'!$B$7="تصدير","Y","N")))</f>
        <v/>
      </c>
      <c r="T730">
        <f>--($J730=IF('الداشبورد'!$B$8="الكل",$J730,IF('الداشبورد'!$B$8="AL","A","C")))</f>
        <v/>
      </c>
      <c r="U730">
        <f>--($I730=IF('الداشبورد'!$B$9="الكل",$I730,IF('الداشبورد'!$B$9="بدون حالة","P",'الداشبورد'!$B$9)))</f>
        <v/>
      </c>
      <c r="V730">
        <f>--($D730=IF('الداشبورد'!$B$10="الكل",$D730,'الداشبورد'!$B$10))</f>
        <v/>
      </c>
      <c r="W730">
        <f>--($G730=IF('الداشبورد'!$B$11="الكل",$G730,'الداشبورد'!$B$11))</f>
        <v/>
      </c>
      <c r="X730">
        <f>Q730*R730*S730*T730*U730*V730*W730*--($C730&lt;&gt;"")</f>
        <v/>
      </c>
    </row>
    <row r="731">
      <c r="A731" s="15" t="n">
        <v>7</v>
      </c>
      <c r="B731" s="15" t="inlineStr">
        <is>
          <t>R184963</t>
        </is>
      </c>
      <c r="C731" s="15" t="inlineStr">
        <is>
          <t>1237/26/02</t>
        </is>
      </c>
      <c r="D731" s="15" t="inlineStr">
        <is>
          <t>Al Jawad- Cote D'ivoire</t>
        </is>
      </c>
      <c r="E731" s="15" t="inlineStr">
        <is>
          <t>MV</t>
        </is>
      </c>
      <c r="F731" s="15" t="inlineStr">
        <is>
          <t>18/30KV 3*1*240</t>
        </is>
      </c>
      <c r="G731" s="15" t="inlineStr">
        <is>
          <t>CT03</t>
        </is>
      </c>
      <c r="H731" s="15" t="inlineStr">
        <is>
          <t>Wooden Drums</t>
        </is>
      </c>
      <c r="I731" s="15" t="inlineStr">
        <is>
          <t>OK</t>
        </is>
      </c>
      <c r="J731" s="15" t="inlineStr">
        <is>
          <t>A</t>
        </is>
      </c>
      <c r="K731" s="15" t="inlineStr">
        <is>
          <t>Y</t>
        </is>
      </c>
      <c r="L731" s="15" t="n">
        <v>600</v>
      </c>
      <c r="M731" s="16" t="n">
        <v>1.1226</v>
      </c>
      <c r="N731" s="16" t="n">
        <v>0</v>
      </c>
      <c r="O731" s="16" t="n">
        <v>0</v>
      </c>
      <c r="P731" s="16" t="n">
        <v>1.1226</v>
      </c>
      <c r="Q731">
        <f>--($A731=IF('الداشبورد'!$B$5="الكل",$A731,'الداشبورد'!$B$5))</f>
        <v/>
      </c>
      <c r="R731">
        <f>--($E731=IF('الداشبورد'!$B$6="الكل",$E731,'الداشبورد'!$B$6))</f>
        <v/>
      </c>
      <c r="S731">
        <f>--($K731=IF('الداشبورد'!$B$7="الكل",$K731,IF('الداشبورد'!$B$7="تصدير","Y","N")))</f>
        <v/>
      </c>
      <c r="T731">
        <f>--($J731=IF('الداشبورد'!$B$8="الكل",$J731,IF('الداشبورد'!$B$8="AL","A","C")))</f>
        <v/>
      </c>
      <c r="U731">
        <f>--($I731=IF('الداشبورد'!$B$9="الكل",$I731,IF('الداشبورد'!$B$9="بدون حالة","P",'الداشبورد'!$B$9)))</f>
        <v/>
      </c>
      <c r="V731">
        <f>--($D731=IF('الداشبورد'!$B$10="الكل",$D731,'الداشبورد'!$B$10))</f>
        <v/>
      </c>
      <c r="W731">
        <f>--($G731=IF('الداشبورد'!$B$11="الكل",$G731,'الداشبورد'!$B$11))</f>
        <v/>
      </c>
      <c r="X731">
        <f>Q731*R731*S731*T731*U731*V731*W731*--($C731&lt;&gt;"")</f>
        <v/>
      </c>
    </row>
    <row r="732">
      <c r="A732" s="15" t="n">
        <v>7</v>
      </c>
      <c r="B732" s="15" t="inlineStr">
        <is>
          <t>R184962</t>
        </is>
      </c>
      <c r="C732" s="15" t="inlineStr">
        <is>
          <t>1237/26/02</t>
        </is>
      </c>
      <c r="D732" s="15" t="inlineStr">
        <is>
          <t>Al Jawad- Cote D'ivoire</t>
        </is>
      </c>
      <c r="E732" s="15" t="inlineStr">
        <is>
          <t>MV</t>
        </is>
      </c>
      <c r="F732" s="15" t="inlineStr">
        <is>
          <t>18/30KV 3*1*240</t>
        </is>
      </c>
      <c r="G732" s="15" t="inlineStr">
        <is>
          <t>CT03</t>
        </is>
      </c>
      <c r="H732" s="15" t="inlineStr">
        <is>
          <t>Wooden Drums</t>
        </is>
      </c>
      <c r="I732" s="15" t="inlineStr">
        <is>
          <t>OK</t>
        </is>
      </c>
      <c r="J732" s="15" t="inlineStr">
        <is>
          <t>A</t>
        </is>
      </c>
      <c r="K732" s="15" t="inlineStr">
        <is>
          <t>Y</t>
        </is>
      </c>
      <c r="L732" s="15" t="n">
        <v>600</v>
      </c>
      <c r="M732" s="16" t="n">
        <v>1.1226</v>
      </c>
      <c r="N732" s="16" t="n">
        <v>0</v>
      </c>
      <c r="O732" s="16" t="n">
        <v>0</v>
      </c>
      <c r="P732" s="16" t="n">
        <v>1.1226</v>
      </c>
      <c r="Q732">
        <f>--($A732=IF('الداشبورد'!$B$5="الكل",$A732,'الداشبورد'!$B$5))</f>
        <v/>
      </c>
      <c r="R732">
        <f>--($E732=IF('الداشبورد'!$B$6="الكل",$E732,'الداشبورد'!$B$6))</f>
        <v/>
      </c>
      <c r="S732">
        <f>--($K732=IF('الداشبورد'!$B$7="الكل",$K732,IF('الداشبورد'!$B$7="تصدير","Y","N")))</f>
        <v/>
      </c>
      <c r="T732">
        <f>--($J732=IF('الداشبورد'!$B$8="الكل",$J732,IF('الداشبورد'!$B$8="AL","A","C")))</f>
        <v/>
      </c>
      <c r="U732">
        <f>--($I732=IF('الداشبورد'!$B$9="الكل",$I732,IF('الداشبورد'!$B$9="بدون حالة","P",'الداشبورد'!$B$9)))</f>
        <v/>
      </c>
      <c r="V732">
        <f>--($D732=IF('الداشبورد'!$B$10="الكل",$D732,'الداشبورد'!$B$10))</f>
        <v/>
      </c>
      <c r="W732">
        <f>--($G732=IF('الداشبورد'!$B$11="الكل",$G732,'الداشبورد'!$B$11))</f>
        <v/>
      </c>
      <c r="X732">
        <f>Q732*R732*S732*T732*U732*V732*W732*--($C732&lt;&gt;"")</f>
        <v/>
      </c>
    </row>
    <row r="733">
      <c r="A733" s="15" t="n">
        <v>7</v>
      </c>
      <c r="B733" s="15" t="inlineStr">
        <is>
          <t>R185003</t>
        </is>
      </c>
      <c r="C733" s="15" t="inlineStr">
        <is>
          <t>1237/26/02</t>
        </is>
      </c>
      <c r="D733" s="15" t="inlineStr">
        <is>
          <t>Al Jawad- Cote D'ivoire</t>
        </is>
      </c>
      <c r="E733" s="15" t="inlineStr">
        <is>
          <t>MV</t>
        </is>
      </c>
      <c r="F733" s="15" t="inlineStr">
        <is>
          <t>18/30KV 3*1*240</t>
        </is>
      </c>
      <c r="G733" s="15" t="inlineStr">
        <is>
          <t>CT03</t>
        </is>
      </c>
      <c r="H733" s="15" t="inlineStr">
        <is>
          <t>Wooden Drums</t>
        </is>
      </c>
      <c r="I733" s="15" t="inlineStr">
        <is>
          <t>OK</t>
        </is>
      </c>
      <c r="J733" s="15" t="inlineStr">
        <is>
          <t>A</t>
        </is>
      </c>
      <c r="K733" s="15" t="inlineStr">
        <is>
          <t>Y</t>
        </is>
      </c>
      <c r="L733" s="15" t="n">
        <v>597</v>
      </c>
      <c r="M733" s="16" t="n">
        <v>1.116987</v>
      </c>
      <c r="N733" s="16" t="n">
        <v>0</v>
      </c>
      <c r="O733" s="16" t="n">
        <v>0</v>
      </c>
      <c r="P733" s="16" t="n">
        <v>1.116987</v>
      </c>
      <c r="Q733">
        <f>--($A733=IF('الداشبورد'!$B$5="الكل",$A733,'الداشبورد'!$B$5))</f>
        <v/>
      </c>
      <c r="R733">
        <f>--($E733=IF('الداشبورد'!$B$6="الكل",$E733,'الداشبورد'!$B$6))</f>
        <v/>
      </c>
      <c r="S733">
        <f>--($K733=IF('الداشبورد'!$B$7="الكل",$K733,IF('الداشبورد'!$B$7="تصدير","Y","N")))</f>
        <v/>
      </c>
      <c r="T733">
        <f>--($J733=IF('الداشبورد'!$B$8="الكل",$J733,IF('الداشبورد'!$B$8="AL","A","C")))</f>
        <v/>
      </c>
      <c r="U733">
        <f>--($I733=IF('الداشبورد'!$B$9="الكل",$I733,IF('الداشبورد'!$B$9="بدون حالة","P",'الداشبورد'!$B$9)))</f>
        <v/>
      </c>
      <c r="V733">
        <f>--($D733=IF('الداشبورد'!$B$10="الكل",$D733,'الداشبورد'!$B$10))</f>
        <v/>
      </c>
      <c r="W733">
        <f>--($G733=IF('الداشبورد'!$B$11="الكل",$G733,'الداشبورد'!$B$11))</f>
        <v/>
      </c>
      <c r="X733">
        <f>Q733*R733*S733*T733*U733*V733*W733*--($C733&lt;&gt;"")</f>
        <v/>
      </c>
    </row>
    <row r="734">
      <c r="A734" s="15" t="n">
        <v>7</v>
      </c>
      <c r="B734" s="15" t="inlineStr">
        <is>
          <t>R185005</t>
        </is>
      </c>
      <c r="C734" s="15" t="inlineStr">
        <is>
          <t>1237/26/02</t>
        </is>
      </c>
      <c r="D734" s="15" t="inlineStr">
        <is>
          <t>Al Jawad- Cote D'ivoire</t>
        </is>
      </c>
      <c r="E734" s="15" t="inlineStr">
        <is>
          <t>MV</t>
        </is>
      </c>
      <c r="F734" s="15" t="inlineStr">
        <is>
          <t>18/30KV 3*1*240</t>
        </is>
      </c>
      <c r="G734" s="15" t="inlineStr">
        <is>
          <t>CT03</t>
        </is>
      </c>
      <c r="H734" s="15" t="inlineStr">
        <is>
          <t>Wooden Drums</t>
        </is>
      </c>
      <c r="I734" s="15" t="inlineStr">
        <is>
          <t>OK</t>
        </is>
      </c>
      <c r="J734" s="15" t="inlineStr">
        <is>
          <t>A</t>
        </is>
      </c>
      <c r="K734" s="15" t="inlineStr">
        <is>
          <t>Y</t>
        </is>
      </c>
      <c r="L734" s="15" t="n">
        <v>582</v>
      </c>
      <c r="M734" s="16" t="n">
        <v>1.088922</v>
      </c>
      <c r="N734" s="16" t="n">
        <v>0</v>
      </c>
      <c r="O734" s="16" t="n">
        <v>0</v>
      </c>
      <c r="P734" s="16" t="n">
        <v>1.088922</v>
      </c>
      <c r="Q734">
        <f>--($A734=IF('الداشبورد'!$B$5="الكل",$A734,'الداشبورد'!$B$5))</f>
        <v/>
      </c>
      <c r="R734">
        <f>--($E734=IF('الداشبورد'!$B$6="الكل",$E734,'الداشبورد'!$B$6))</f>
        <v/>
      </c>
      <c r="S734">
        <f>--($K734=IF('الداشبورد'!$B$7="الكل",$K734,IF('الداشبورد'!$B$7="تصدير","Y","N")))</f>
        <v/>
      </c>
      <c r="T734">
        <f>--($J734=IF('الداشبورد'!$B$8="الكل",$J734,IF('الداشبورد'!$B$8="AL","A","C")))</f>
        <v/>
      </c>
      <c r="U734">
        <f>--($I734=IF('الداشبورد'!$B$9="الكل",$I734,IF('الداشبورد'!$B$9="بدون حالة","P",'الداشبورد'!$B$9)))</f>
        <v/>
      </c>
      <c r="V734">
        <f>--($D734=IF('الداشبورد'!$B$10="الكل",$D734,'الداشبورد'!$B$10))</f>
        <v/>
      </c>
      <c r="W734">
        <f>--($G734=IF('الداشبورد'!$B$11="الكل",$G734,'الداشبورد'!$B$11))</f>
        <v/>
      </c>
      <c r="X734">
        <f>Q734*R734*S734*T734*U734*V734*W734*--($C734&lt;&gt;"")</f>
        <v/>
      </c>
    </row>
    <row r="735">
      <c r="A735" s="15" t="n">
        <v>7</v>
      </c>
      <c r="B735" s="15" t="inlineStr">
        <is>
          <t>Z184998</t>
        </is>
      </c>
      <c r="C735" s="15" t="inlineStr">
        <is>
          <t>809/26/01</t>
        </is>
      </c>
      <c r="D735" s="15" t="inlineStr">
        <is>
          <t>الشركة العربية للصناعة والتجارة الدولية</t>
        </is>
      </c>
      <c r="E735" s="15" t="inlineStr">
        <is>
          <t>MV</t>
        </is>
      </c>
      <c r="F735" s="15" t="inlineStr">
        <is>
          <t>18 / 30 KV 3 X 400 MM</t>
        </is>
      </c>
      <c r="G735" s="15" t="inlineStr">
        <is>
          <t>EX04</t>
        </is>
      </c>
      <c r="H735" s="15" t="inlineStr">
        <is>
          <t>Wooden Drums</t>
        </is>
      </c>
      <c r="I735" s="15" t="inlineStr">
        <is>
          <t>OK</t>
        </is>
      </c>
      <c r="J735" s="15" t="inlineStr">
        <is>
          <t>A</t>
        </is>
      </c>
      <c r="K735" s="15" t="inlineStr">
        <is>
          <t>N</t>
        </is>
      </c>
      <c r="L735" s="15" t="n">
        <v>413</v>
      </c>
      <c r="M735" s="16" t="n">
        <v>1.266258</v>
      </c>
      <c r="N735" s="16" t="n">
        <v>0</v>
      </c>
      <c r="O735" s="16" t="n">
        <v>0</v>
      </c>
      <c r="P735" s="16" t="n">
        <v>1.266258</v>
      </c>
      <c r="Q735">
        <f>--($A735=IF('الداشبورد'!$B$5="الكل",$A735,'الداشبورد'!$B$5))</f>
        <v/>
      </c>
      <c r="R735">
        <f>--($E735=IF('الداشبورد'!$B$6="الكل",$E735,'الداشبورد'!$B$6))</f>
        <v/>
      </c>
      <c r="S735">
        <f>--($K735=IF('الداشبورد'!$B$7="الكل",$K735,IF('الداشبورد'!$B$7="تصدير","Y","N")))</f>
        <v/>
      </c>
      <c r="T735">
        <f>--($J735=IF('الداشبورد'!$B$8="الكل",$J735,IF('الداشبورد'!$B$8="AL","A","C")))</f>
        <v/>
      </c>
      <c r="U735">
        <f>--($I735=IF('الداشبورد'!$B$9="الكل",$I735,IF('الداشبورد'!$B$9="بدون حالة","P",'الداشبورد'!$B$9)))</f>
        <v/>
      </c>
      <c r="V735">
        <f>--($D735=IF('الداشبورد'!$B$10="الكل",$D735,'الداشبورد'!$B$10))</f>
        <v/>
      </c>
      <c r="W735">
        <f>--($G735=IF('الداشبورد'!$B$11="الكل",$G735,'الداشبورد'!$B$11))</f>
        <v/>
      </c>
      <c r="X735">
        <f>Q735*R735*S735*T735*U735*V735*W735*--($C735&lt;&gt;"")</f>
        <v/>
      </c>
    </row>
    <row r="736">
      <c r="A736" s="15" t="n">
        <v>7</v>
      </c>
      <c r="B736" s="15" t="inlineStr">
        <is>
          <t>Z184927</t>
        </is>
      </c>
      <c r="C736" s="15" t="inlineStr">
        <is>
          <t>809/26/01</t>
        </is>
      </c>
      <c r="D736" s="15" t="inlineStr">
        <is>
          <t>الشركة العربية للصناعة والتجارة الدولية</t>
        </is>
      </c>
      <c r="E736" s="15" t="inlineStr">
        <is>
          <t>MV</t>
        </is>
      </c>
      <c r="F736" s="15" t="inlineStr">
        <is>
          <t>18 / 30 KV 3 X 400 MM</t>
        </is>
      </c>
      <c r="G736" s="15" t="inlineStr">
        <is>
          <t>EX04</t>
        </is>
      </c>
      <c r="H736" s="15" t="inlineStr">
        <is>
          <t>Wooden Drums</t>
        </is>
      </c>
      <c r="I736" s="15" t="inlineStr">
        <is>
          <t>OK</t>
        </is>
      </c>
      <c r="J736" s="15" t="inlineStr">
        <is>
          <t>A</t>
        </is>
      </c>
      <c r="K736" s="15" t="inlineStr">
        <is>
          <t>N</t>
        </is>
      </c>
      <c r="L736" s="15" t="n">
        <v>400</v>
      </c>
      <c r="M736" s="16" t="n">
        <v>1.2264</v>
      </c>
      <c r="N736" s="16" t="n">
        <v>0</v>
      </c>
      <c r="O736" s="16" t="n">
        <v>0</v>
      </c>
      <c r="P736" s="16" t="n">
        <v>1.2264</v>
      </c>
      <c r="Q736">
        <f>--($A736=IF('الداشبورد'!$B$5="الكل",$A736,'الداشبورد'!$B$5))</f>
        <v/>
      </c>
      <c r="R736">
        <f>--($E736=IF('الداشبورد'!$B$6="الكل",$E736,'الداشبورد'!$B$6))</f>
        <v/>
      </c>
      <c r="S736">
        <f>--($K736=IF('الداشبورد'!$B$7="الكل",$K736,IF('الداشبورد'!$B$7="تصدير","Y","N")))</f>
        <v/>
      </c>
      <c r="T736">
        <f>--($J736=IF('الداشبورد'!$B$8="الكل",$J736,IF('الداشبورد'!$B$8="AL","A","C")))</f>
        <v/>
      </c>
      <c r="U736">
        <f>--($I736=IF('الداشبورد'!$B$9="الكل",$I736,IF('الداشبورد'!$B$9="بدون حالة","P",'الداشبورد'!$B$9)))</f>
        <v/>
      </c>
      <c r="V736">
        <f>--($D736=IF('الداشبورد'!$B$10="الكل",$D736,'الداشبورد'!$B$10))</f>
        <v/>
      </c>
      <c r="W736">
        <f>--($G736=IF('الداشبورد'!$B$11="الكل",$G736,'الداشبورد'!$B$11))</f>
        <v/>
      </c>
      <c r="X736">
        <f>Q736*R736*S736*T736*U736*V736*W736*--($C736&lt;&gt;"")</f>
        <v/>
      </c>
    </row>
    <row r="737">
      <c r="A737" s="15" t="n">
        <v>7</v>
      </c>
      <c r="B737" s="15" t="inlineStr">
        <is>
          <t>O185012</t>
        </is>
      </c>
      <c r="C737" s="15" t="inlineStr">
        <is>
          <t>1501/26/03</t>
        </is>
      </c>
      <c r="D737" s="15" t="inlineStr">
        <is>
          <t>Eland Cables</t>
        </is>
      </c>
      <c r="E737" s="15" t="inlineStr">
        <is>
          <t>MV</t>
        </is>
      </c>
      <c r="F737" s="15" t="inlineStr">
        <is>
          <t>6.35/11KV 3*70</t>
        </is>
      </c>
      <c r="G737" s="15" t="inlineStr">
        <is>
          <t>EX03</t>
        </is>
      </c>
      <c r="H737" s="15" t="inlineStr">
        <is>
          <t>Wooden Drums</t>
        </is>
      </c>
      <c r="I737" s="15" t="inlineStr">
        <is>
          <t>OK</t>
        </is>
      </c>
      <c r="J737" s="15" t="inlineStr">
        <is>
          <t>C</t>
        </is>
      </c>
      <c r="K737" s="15" t="inlineStr">
        <is>
          <t>Y</t>
        </is>
      </c>
      <c r="L737" s="15" t="n">
        <v>996</v>
      </c>
      <c r="M737" s="16" t="n">
        <v>1.760928</v>
      </c>
      <c r="N737" s="16" t="n">
        <v>0.669312</v>
      </c>
      <c r="O737" s="16" t="n">
        <v>0</v>
      </c>
      <c r="P737" s="16" t="n">
        <v>2.43024</v>
      </c>
      <c r="Q737">
        <f>--($A737=IF('الداشبورد'!$B$5="الكل",$A737,'الداشبورد'!$B$5))</f>
        <v/>
      </c>
      <c r="R737">
        <f>--($E737=IF('الداشبورد'!$B$6="الكل",$E737,'الداشبورد'!$B$6))</f>
        <v/>
      </c>
      <c r="S737">
        <f>--($K737=IF('الداشبورد'!$B$7="الكل",$K737,IF('الداشبورد'!$B$7="تصدير","Y","N")))</f>
        <v/>
      </c>
      <c r="T737">
        <f>--($J737=IF('الداشبورد'!$B$8="الكل",$J737,IF('الداشبورد'!$B$8="AL","A","C")))</f>
        <v/>
      </c>
      <c r="U737">
        <f>--($I737=IF('الداشبورد'!$B$9="الكل",$I737,IF('الداشبورد'!$B$9="بدون حالة","P",'الداشبورد'!$B$9)))</f>
        <v/>
      </c>
      <c r="V737">
        <f>--($D737=IF('الداشبورد'!$B$10="الكل",$D737,'الداشبورد'!$B$10))</f>
        <v/>
      </c>
      <c r="W737">
        <f>--($G737=IF('الداشبورد'!$B$11="الكل",$G737,'الداشبورد'!$B$11))</f>
        <v/>
      </c>
      <c r="X737">
        <f>Q737*R737*S737*T737*U737*V737*W737*--($C737&lt;&gt;"")</f>
        <v/>
      </c>
    </row>
    <row r="738">
      <c r="A738" s="15" t="n">
        <v>7</v>
      </c>
      <c r="B738" s="15" t="inlineStr">
        <is>
          <t>N185011</t>
        </is>
      </c>
      <c r="C738" s="15" t="inlineStr">
        <is>
          <t>1501/26/03</t>
        </is>
      </c>
      <c r="D738" s="15" t="inlineStr">
        <is>
          <t>Eland Cables</t>
        </is>
      </c>
      <c r="E738" s="15" t="inlineStr">
        <is>
          <t>MV</t>
        </is>
      </c>
      <c r="F738" s="15" t="inlineStr">
        <is>
          <t>6.35/11KV 3*70</t>
        </is>
      </c>
      <c r="G738" s="15" t="inlineStr">
        <is>
          <t>EX03</t>
        </is>
      </c>
      <c r="H738" s="15" t="inlineStr">
        <is>
          <t>Wooden Drums</t>
        </is>
      </c>
      <c r="I738" s="15" t="inlineStr">
        <is>
          <t>OK</t>
        </is>
      </c>
      <c r="J738" s="15" t="inlineStr">
        <is>
          <t>C</t>
        </is>
      </c>
      <c r="K738" s="15" t="inlineStr">
        <is>
          <t>Y</t>
        </is>
      </c>
      <c r="L738" s="15" t="n">
        <v>755</v>
      </c>
      <c r="M738" s="16" t="n">
        <v>1.33484</v>
      </c>
      <c r="N738" s="16" t="n">
        <v>0.50736</v>
      </c>
      <c r="O738" s="16" t="n">
        <v>0</v>
      </c>
      <c r="P738" s="16" t="n">
        <v>1.8422</v>
      </c>
      <c r="Q738">
        <f>--($A738=IF('الداشبورد'!$B$5="الكل",$A738,'الداشبورد'!$B$5))</f>
        <v/>
      </c>
      <c r="R738">
        <f>--($E738=IF('الداشبورد'!$B$6="الكل",$E738,'الداشبورد'!$B$6))</f>
        <v/>
      </c>
      <c r="S738">
        <f>--($K738=IF('الداشبورد'!$B$7="الكل",$K738,IF('الداشبورد'!$B$7="تصدير","Y","N")))</f>
        <v/>
      </c>
      <c r="T738">
        <f>--($J738=IF('الداشبورد'!$B$8="الكل",$J738,IF('الداشبورد'!$B$8="AL","A","C")))</f>
        <v/>
      </c>
      <c r="U738">
        <f>--($I738=IF('الداشبورد'!$B$9="الكل",$I738,IF('الداشبورد'!$B$9="بدون حالة","P",'الداشبورد'!$B$9)))</f>
        <v/>
      </c>
      <c r="V738">
        <f>--($D738=IF('الداشبورد'!$B$10="الكل",$D738,'الداشبورد'!$B$10))</f>
        <v/>
      </c>
      <c r="W738">
        <f>--($G738=IF('الداشبورد'!$B$11="الكل",$G738,'الداشبورد'!$B$11))</f>
        <v/>
      </c>
      <c r="X738">
        <f>Q738*R738*S738*T738*U738*V738*W738*--($C738&lt;&gt;"")</f>
        <v/>
      </c>
    </row>
    <row r="739">
      <c r="A739" s="15" t="n">
        <v>6</v>
      </c>
      <c r="B739" s="15" t="inlineStr">
        <is>
          <t>J184635</t>
        </is>
      </c>
      <c r="C739" s="15" t="inlineStr">
        <is>
          <t>1777/26/03</t>
        </is>
      </c>
      <c r="D739" s="15" t="inlineStr">
        <is>
          <t>Faber Kabel</t>
        </is>
      </c>
      <c r="E739" s="15" t="inlineStr">
        <is>
          <t>LV</t>
        </is>
      </c>
      <c r="F739" s="15" t="inlineStr">
        <is>
          <t>0.6/1 KV 1X95</t>
        </is>
      </c>
      <c r="G739" s="15" t="inlineStr">
        <is>
          <t>EX09</t>
        </is>
      </c>
      <c r="H739" s="15" t="inlineStr">
        <is>
          <t>Wooden Drums</t>
        </is>
      </c>
      <c r="I739" s="15" t="inlineStr">
        <is>
          <t>OK</t>
        </is>
      </c>
      <c r="J739" s="15" t="inlineStr">
        <is>
          <t>A</t>
        </is>
      </c>
      <c r="K739" s="15" t="inlineStr">
        <is>
          <t>Y</t>
        </is>
      </c>
      <c r="L739" s="15" t="n">
        <v>3140</v>
      </c>
      <c r="M739" s="16" t="n">
        <v>0.7693</v>
      </c>
      <c r="N739" s="16" t="n">
        <v>0</v>
      </c>
      <c r="O739" s="16" t="n">
        <v>0</v>
      </c>
      <c r="P739" s="16" t="n">
        <v>0.7693</v>
      </c>
      <c r="Q739">
        <f>--($A739=IF('الداشبورد'!$B$5="الكل",$A739,'الداشبورد'!$B$5))</f>
        <v/>
      </c>
      <c r="R739">
        <f>--($E739=IF('الداشبورد'!$B$6="الكل",$E739,'الداشبورد'!$B$6))</f>
        <v/>
      </c>
      <c r="S739">
        <f>--($K739=IF('الداشبورد'!$B$7="الكل",$K739,IF('الداشبورد'!$B$7="تصدير","Y","N")))</f>
        <v/>
      </c>
      <c r="T739">
        <f>--($J739=IF('الداشبورد'!$B$8="الكل",$J739,IF('الداشبورد'!$B$8="AL","A","C")))</f>
        <v/>
      </c>
      <c r="U739">
        <f>--($I739=IF('الداشبورد'!$B$9="الكل",$I739,IF('الداشبورد'!$B$9="بدون حالة","P",'الداشبورد'!$B$9)))</f>
        <v/>
      </c>
      <c r="V739">
        <f>--($D739=IF('الداشبورد'!$B$10="الكل",$D739,'الداشبورد'!$B$10))</f>
        <v/>
      </c>
      <c r="W739">
        <f>--($G739=IF('الداشبورد'!$B$11="الكل",$G739,'الداشبورد'!$B$11))</f>
        <v/>
      </c>
      <c r="X739">
        <f>Q739*R739*S739*T739*U739*V739*W739*--($C739&lt;&gt;"")</f>
        <v/>
      </c>
    </row>
    <row r="740">
      <c r="A740" s="15" t="n">
        <v>6</v>
      </c>
      <c r="B740" s="15" t="inlineStr">
        <is>
          <t>M184822</t>
        </is>
      </c>
      <c r="C740" s="15" t="inlineStr">
        <is>
          <t>837/26/03</t>
        </is>
      </c>
      <c r="D740" s="15" t="inlineStr">
        <is>
          <t>Faber Kabel</t>
        </is>
      </c>
      <c r="E740" s="15" t="inlineStr">
        <is>
          <t>LV</t>
        </is>
      </c>
      <c r="F740" s="15" t="inlineStr">
        <is>
          <t>600/1000 4X185</t>
        </is>
      </c>
      <c r="G740" s="15" t="inlineStr">
        <is>
          <t>EX03</t>
        </is>
      </c>
      <c r="H740" s="15" t="inlineStr">
        <is>
          <t>Wooden Drums</t>
        </is>
      </c>
      <c r="I740" s="15" t="inlineStr">
        <is>
          <t>OK</t>
        </is>
      </c>
      <c r="J740" s="15" t="inlineStr">
        <is>
          <t>A</t>
        </is>
      </c>
      <c r="K740" s="15" t="inlineStr">
        <is>
          <t>Y</t>
        </is>
      </c>
      <c r="L740" s="15" t="n">
        <v>512</v>
      </c>
      <c r="M740" s="16" t="n">
        <v>0.953856</v>
      </c>
      <c r="N740" s="16" t="n">
        <v>0</v>
      </c>
      <c r="O740" s="16" t="n">
        <v>0</v>
      </c>
      <c r="P740" s="16" t="n">
        <v>0.953856</v>
      </c>
      <c r="Q740">
        <f>--($A740=IF('الداشبورد'!$B$5="الكل",$A740,'الداشبورد'!$B$5))</f>
        <v/>
      </c>
      <c r="R740">
        <f>--($E740=IF('الداشبورد'!$B$6="الكل",$E740,'الداشبورد'!$B$6))</f>
        <v/>
      </c>
      <c r="S740">
        <f>--($K740=IF('الداشبورد'!$B$7="الكل",$K740,IF('الداشبورد'!$B$7="تصدير","Y","N")))</f>
        <v/>
      </c>
      <c r="T740">
        <f>--($J740=IF('الداشبورد'!$B$8="الكل",$J740,IF('الداشبورد'!$B$8="AL","A","C")))</f>
        <v/>
      </c>
      <c r="U740">
        <f>--($I740=IF('الداشبورد'!$B$9="الكل",$I740,IF('الداشبورد'!$B$9="بدون حالة","P",'الداشبورد'!$B$9)))</f>
        <v/>
      </c>
      <c r="V740">
        <f>--($D740=IF('الداشبورد'!$B$10="الكل",$D740,'الداشبورد'!$B$10))</f>
        <v/>
      </c>
      <c r="W740">
        <f>--($G740=IF('الداشبورد'!$B$11="الكل",$G740,'الداشبورد'!$B$11))</f>
        <v/>
      </c>
      <c r="X740">
        <f>Q740*R740*S740*T740*U740*V740*W740*--($C740&lt;&gt;"")</f>
        <v/>
      </c>
    </row>
    <row r="741">
      <c r="A741" s="15" t="n">
        <v>7</v>
      </c>
      <c r="B741" s="15" t="inlineStr">
        <is>
          <t>P184958</t>
        </is>
      </c>
      <c r="C741" s="15" t="inlineStr">
        <is>
          <t>1278/26/01</t>
        </is>
      </c>
      <c r="D741" s="15" t="inlineStr">
        <is>
          <t>Eland Cables</t>
        </is>
      </c>
      <c r="E741" s="15" t="inlineStr">
        <is>
          <t>MV</t>
        </is>
      </c>
      <c r="F741" s="15" t="inlineStr">
        <is>
          <t>12/20 KV 3X1X240</t>
        </is>
      </c>
      <c r="G741" s="15" t="inlineStr">
        <is>
          <t>RW01</t>
        </is>
      </c>
      <c r="H741" s="15" t="inlineStr">
        <is>
          <t>Wooden Drums</t>
        </is>
      </c>
      <c r="I741" s="15" t="inlineStr">
        <is>
          <t>P</t>
        </is>
      </c>
      <c r="J741" s="15" t="inlineStr">
        <is>
          <t>A</t>
        </is>
      </c>
      <c r="K741" s="15" t="inlineStr">
        <is>
          <t>Y</t>
        </is>
      </c>
      <c r="L741" s="15" t="n">
        <v>181</v>
      </c>
      <c r="M741" s="16" t="n">
        <v>0.341547</v>
      </c>
      <c r="N741" s="16" t="n">
        <v>0</v>
      </c>
      <c r="O741" s="16" t="n">
        <v>0</v>
      </c>
      <c r="P741" s="16" t="n">
        <v>0.341547</v>
      </c>
      <c r="Q741">
        <f>--($A741=IF('الداشبورد'!$B$5="الكل",$A741,'الداشبورد'!$B$5))</f>
        <v/>
      </c>
      <c r="R741">
        <f>--($E741=IF('الداشبورد'!$B$6="الكل",$E741,'الداشبورد'!$B$6))</f>
        <v/>
      </c>
      <c r="S741">
        <f>--($K741=IF('الداشبورد'!$B$7="الكل",$K741,IF('الداشبورد'!$B$7="تصدير","Y","N")))</f>
        <v/>
      </c>
      <c r="T741">
        <f>--($J741=IF('الداشبورد'!$B$8="الكل",$J741,IF('الداشبورد'!$B$8="AL","A","C")))</f>
        <v/>
      </c>
      <c r="U741">
        <f>--($I741=IF('الداشبورد'!$B$9="الكل",$I741,IF('الداشبورد'!$B$9="بدون حالة","P",'الداشبورد'!$B$9)))</f>
        <v/>
      </c>
      <c r="V741">
        <f>--($D741=IF('الداشبورد'!$B$10="الكل",$D741,'الداشبورد'!$B$10))</f>
        <v/>
      </c>
      <c r="W741">
        <f>--($G741=IF('الداشبورد'!$B$11="الكل",$G741,'الداشبورد'!$B$11))</f>
        <v/>
      </c>
      <c r="X741">
        <f>Q741*R741*S741*T741*U741*V741*W741*--($C741&lt;&gt;"")</f>
        <v/>
      </c>
    </row>
    <row r="742">
      <c r="A742" s="15" t="n">
        <v>7</v>
      </c>
      <c r="B742" s="15" t="inlineStr">
        <is>
          <t>S184859</t>
        </is>
      </c>
      <c r="C742" s="15" t="inlineStr">
        <is>
          <t>1279/26/01</t>
        </is>
      </c>
      <c r="D742" s="15" t="inlineStr">
        <is>
          <t>Eland Cables</t>
        </is>
      </c>
      <c r="E742" s="15" t="inlineStr">
        <is>
          <t>MV</t>
        </is>
      </c>
      <c r="F742" s="15" t="inlineStr">
        <is>
          <t>19/33 KV 3X1X185</t>
        </is>
      </c>
      <c r="G742" s="15" t="inlineStr">
        <is>
          <t>RW01</t>
        </is>
      </c>
      <c r="H742" s="15" t="inlineStr">
        <is>
          <t>Wooden Drums</t>
        </is>
      </c>
      <c r="I742" s="15" t="inlineStr">
        <is>
          <t>OK</t>
        </is>
      </c>
      <c r="J742" s="15" t="inlineStr">
        <is>
          <t>A</t>
        </is>
      </c>
      <c r="K742" s="15" t="inlineStr">
        <is>
          <t>Y</t>
        </is>
      </c>
      <c r="L742" s="15" t="n">
        <v>509</v>
      </c>
      <c r="M742" s="16" t="n">
        <v>0.730415</v>
      </c>
      <c r="N742" s="16" t="n">
        <v>0.4876219999999999</v>
      </c>
      <c r="O742" s="16" t="n">
        <v>0</v>
      </c>
      <c r="P742" s="16" t="n">
        <v>1.218037</v>
      </c>
      <c r="Q742">
        <f>--($A742=IF('الداشبورد'!$B$5="الكل",$A742,'الداشبورد'!$B$5))</f>
        <v/>
      </c>
      <c r="R742">
        <f>--($E742=IF('الداشبورد'!$B$6="الكل",$E742,'الداشبورد'!$B$6))</f>
        <v/>
      </c>
      <c r="S742">
        <f>--($K742=IF('الداشبورد'!$B$7="الكل",$K742,IF('الداشبورد'!$B$7="تصدير","Y","N")))</f>
        <v/>
      </c>
      <c r="T742">
        <f>--($J742=IF('الداشبورد'!$B$8="الكل",$J742,IF('الداشبورد'!$B$8="AL","A","C")))</f>
        <v/>
      </c>
      <c r="U742">
        <f>--($I742=IF('الداشبورد'!$B$9="الكل",$I742,IF('الداشبورد'!$B$9="بدون حالة","P",'الداشبورد'!$B$9)))</f>
        <v/>
      </c>
      <c r="V742">
        <f>--($D742=IF('الداشبورد'!$B$10="الكل",$D742,'الداشبورد'!$B$10))</f>
        <v/>
      </c>
      <c r="W742">
        <f>--($G742=IF('الداشبورد'!$B$11="الكل",$G742,'الداشبورد'!$B$11))</f>
        <v/>
      </c>
      <c r="X742">
        <f>Q742*R742*S742*T742*U742*V742*W742*--($C742&lt;&gt;"")</f>
        <v/>
      </c>
    </row>
    <row r="743">
      <c r="A743" s="15" t="n">
        <v>7</v>
      </c>
      <c r="B743" s="15" t="inlineStr">
        <is>
          <t>S184983</t>
        </is>
      </c>
      <c r="C743" s="15" t="inlineStr">
        <is>
          <t>1279/26/01</t>
        </is>
      </c>
      <c r="D743" s="15" t="inlineStr">
        <is>
          <t>Eland Cables</t>
        </is>
      </c>
      <c r="E743" s="15" t="inlineStr">
        <is>
          <t>MV</t>
        </is>
      </c>
      <c r="F743" s="15" t="inlineStr">
        <is>
          <t>19/33 KV 3X1X185</t>
        </is>
      </c>
      <c r="G743" s="15" t="inlineStr">
        <is>
          <t>RW01</t>
        </is>
      </c>
      <c r="H743" s="15" t="inlineStr">
        <is>
          <t>Wooden Drums</t>
        </is>
      </c>
      <c r="I743" s="15" t="inlineStr">
        <is>
          <t>OK</t>
        </is>
      </c>
      <c r="J743" s="15" t="inlineStr">
        <is>
          <t>A</t>
        </is>
      </c>
      <c r="K743" s="15" t="inlineStr">
        <is>
          <t>Y</t>
        </is>
      </c>
      <c r="L743" s="15" t="n">
        <v>510</v>
      </c>
      <c r="M743" s="16" t="n">
        <v>0.73185</v>
      </c>
      <c r="N743" s="16" t="n">
        <v>0.48858</v>
      </c>
      <c r="O743" s="16" t="n">
        <v>0</v>
      </c>
      <c r="P743" s="16" t="n">
        <v>1.22043</v>
      </c>
      <c r="Q743">
        <f>--($A743=IF('الداشبورد'!$B$5="الكل",$A743,'الداشبورد'!$B$5))</f>
        <v/>
      </c>
      <c r="R743">
        <f>--($E743=IF('الداشبورد'!$B$6="الكل",$E743,'الداشبورد'!$B$6))</f>
        <v/>
      </c>
      <c r="S743">
        <f>--($K743=IF('الداشبورد'!$B$7="الكل",$K743,IF('الداشبورد'!$B$7="تصدير","Y","N")))</f>
        <v/>
      </c>
      <c r="T743">
        <f>--($J743=IF('الداشبورد'!$B$8="الكل",$J743,IF('الداشبورد'!$B$8="AL","A","C")))</f>
        <v/>
      </c>
      <c r="U743">
        <f>--($I743=IF('الداشبورد'!$B$9="الكل",$I743,IF('الداشبورد'!$B$9="بدون حالة","P",'الداشبورد'!$B$9)))</f>
        <v/>
      </c>
      <c r="V743">
        <f>--($D743=IF('الداشبورد'!$B$10="الكل",$D743,'الداشبورد'!$B$10))</f>
        <v/>
      </c>
      <c r="W743">
        <f>--($G743=IF('الداشبورد'!$B$11="الكل",$G743,'الداشبورد'!$B$11))</f>
        <v/>
      </c>
      <c r="X743">
        <f>Q743*R743*S743*T743*U743*V743*W743*--($C743&lt;&gt;"")</f>
        <v/>
      </c>
    </row>
    <row r="744">
      <c r="A744" s="15" t="n">
        <v>7</v>
      </c>
      <c r="B744" s="15" t="inlineStr">
        <is>
          <t>S184984</t>
        </is>
      </c>
      <c r="C744" s="15" t="inlineStr">
        <is>
          <t>1279/26/01</t>
        </is>
      </c>
      <c r="D744" s="15" t="inlineStr">
        <is>
          <t>Eland Cables</t>
        </is>
      </c>
      <c r="E744" s="15" t="inlineStr">
        <is>
          <t>MV</t>
        </is>
      </c>
      <c r="F744" s="15" t="inlineStr">
        <is>
          <t>19/33 KV 3X1X185</t>
        </is>
      </c>
      <c r="G744" s="15" t="inlineStr">
        <is>
          <t>RW01</t>
        </is>
      </c>
      <c r="H744" s="15" t="inlineStr">
        <is>
          <t>Wooden Drums</t>
        </is>
      </c>
      <c r="I744" s="15" t="inlineStr">
        <is>
          <t>OK</t>
        </is>
      </c>
      <c r="J744" s="15" t="inlineStr">
        <is>
          <t>A</t>
        </is>
      </c>
      <c r="K744" s="15" t="inlineStr">
        <is>
          <t>Y</t>
        </is>
      </c>
      <c r="L744" s="15" t="n">
        <v>510</v>
      </c>
      <c r="M744" s="16" t="n">
        <v>0.73185</v>
      </c>
      <c r="N744" s="16" t="n">
        <v>0.48858</v>
      </c>
      <c r="O744" s="16" t="n">
        <v>0</v>
      </c>
      <c r="P744" s="16" t="n">
        <v>1.22043</v>
      </c>
      <c r="Q744">
        <f>--($A744=IF('الداشبورد'!$B$5="الكل",$A744,'الداشبورد'!$B$5))</f>
        <v/>
      </c>
      <c r="R744">
        <f>--($E744=IF('الداشبورد'!$B$6="الكل",$E744,'الداشبورد'!$B$6))</f>
        <v/>
      </c>
      <c r="S744">
        <f>--($K744=IF('الداشبورد'!$B$7="الكل",$K744,IF('الداشبورد'!$B$7="تصدير","Y","N")))</f>
        <v/>
      </c>
      <c r="T744">
        <f>--($J744=IF('الداشبورد'!$B$8="الكل",$J744,IF('الداشبورد'!$B$8="AL","A","C")))</f>
        <v/>
      </c>
      <c r="U744">
        <f>--($I744=IF('الداشبورد'!$B$9="الكل",$I744,IF('الداشبورد'!$B$9="بدون حالة","P",'الداشبورد'!$B$9)))</f>
        <v/>
      </c>
      <c r="V744">
        <f>--($D744=IF('الداشبورد'!$B$10="الكل",$D744,'الداشبورد'!$B$10))</f>
        <v/>
      </c>
      <c r="W744">
        <f>--($G744=IF('الداشبورد'!$B$11="الكل",$G744,'الداشبورد'!$B$11))</f>
        <v/>
      </c>
      <c r="X744">
        <f>Q744*R744*S744*T744*U744*V744*W744*--($C744&lt;&gt;"")</f>
        <v/>
      </c>
    </row>
    <row r="745">
      <c r="A745" s="15" t="n">
        <v>4</v>
      </c>
      <c r="B745" s="15" t="inlineStr">
        <is>
          <t>K184967</t>
        </is>
      </c>
      <c r="C745" s="15" t="inlineStr">
        <is>
          <t>1280/26/01</t>
        </is>
      </c>
      <c r="D745" s="15" t="inlineStr">
        <is>
          <t>Eland Cables</t>
        </is>
      </c>
      <c r="E745" s="15" t="inlineStr">
        <is>
          <t>MV</t>
        </is>
      </c>
      <c r="F745" s="15" t="inlineStr">
        <is>
          <t>12.7/22 KV 1X300</t>
        </is>
      </c>
      <c r="G745" s="15" t="inlineStr">
        <is>
          <t>EX04</t>
        </is>
      </c>
      <c r="H745" s="15" t="inlineStr">
        <is>
          <t>Wooden Drums</t>
        </is>
      </c>
      <c r="I745" s="15" t="inlineStr">
        <is>
          <t>OK</t>
        </is>
      </c>
      <c r="J745" s="15" t="inlineStr">
        <is>
          <t>C</t>
        </is>
      </c>
      <c r="K745" s="15" t="inlineStr">
        <is>
          <t>Y</t>
        </is>
      </c>
      <c r="L745" s="15" t="n">
        <v>352</v>
      </c>
      <c r="M745" s="16" t="n">
        <v>0.921888</v>
      </c>
      <c r="N745" s="16" t="n">
        <v>0</v>
      </c>
      <c r="O745" s="16" t="n">
        <v>0.183744</v>
      </c>
      <c r="P745" s="16" t="n">
        <v>1.105632</v>
      </c>
      <c r="Q745">
        <f>--($A745=IF('الداشبورد'!$B$5="الكل",$A745,'الداشبورد'!$B$5))</f>
        <v/>
      </c>
      <c r="R745">
        <f>--($E745=IF('الداشبورد'!$B$6="الكل",$E745,'الداشبورد'!$B$6))</f>
        <v/>
      </c>
      <c r="S745">
        <f>--($K745=IF('الداشبورد'!$B$7="الكل",$K745,IF('الداشبورد'!$B$7="تصدير","Y","N")))</f>
        <v/>
      </c>
      <c r="T745">
        <f>--($J745=IF('الداشبورد'!$B$8="الكل",$J745,IF('الداشبورد'!$B$8="AL","A","C")))</f>
        <v/>
      </c>
      <c r="U745">
        <f>--($I745=IF('الداشبورد'!$B$9="الكل",$I745,IF('الداشبورد'!$B$9="بدون حالة","P",'الداشبورد'!$B$9)))</f>
        <v/>
      </c>
      <c r="V745">
        <f>--($D745=IF('الداشبورد'!$B$10="الكل",$D745,'الداشبورد'!$B$10))</f>
        <v/>
      </c>
      <c r="W745">
        <f>--($G745=IF('الداشبورد'!$B$11="الكل",$G745,'الداشبورد'!$B$11))</f>
        <v/>
      </c>
      <c r="X745">
        <f>Q745*R745*S745*T745*U745*V745*W745*--($C745&lt;&gt;"")</f>
        <v/>
      </c>
    </row>
    <row r="746">
      <c r="A746" s="15" t="n">
        <v>1</v>
      </c>
      <c r="B746" s="15" t="inlineStr">
        <is>
          <t>N184940</t>
        </is>
      </c>
      <c r="C746" s="15" t="inlineStr">
        <is>
          <t>1672/26/01</t>
        </is>
      </c>
      <c r="D746" s="15" t="inlineStr">
        <is>
          <t>Sadacavi</t>
        </is>
      </c>
      <c r="E746" s="15" t="inlineStr">
        <is>
          <t>LV</t>
        </is>
      </c>
      <c r="F746" s="15" t="inlineStr">
        <is>
          <t>1.8/3 KV 1X240</t>
        </is>
      </c>
      <c r="G746" s="15" t="inlineStr">
        <is>
          <t>EX08</t>
        </is>
      </c>
      <c r="H746" s="15" t="inlineStr">
        <is>
          <t>Wooden Drums</t>
        </is>
      </c>
      <c r="I746" s="15" t="inlineStr">
        <is>
          <t>OK</t>
        </is>
      </c>
      <c r="J746" s="15" t="inlineStr">
        <is>
          <t>A</t>
        </is>
      </c>
      <c r="K746" s="15" t="inlineStr">
        <is>
          <t>Y</t>
        </is>
      </c>
      <c r="L746" s="15" t="n">
        <v>1977</v>
      </c>
      <c r="M746" s="16" t="n">
        <v>1.237602</v>
      </c>
      <c r="N746" s="16" t="n">
        <v>0</v>
      </c>
      <c r="O746" s="16" t="n">
        <v>0</v>
      </c>
      <c r="P746" s="16" t="n">
        <v>1.237602</v>
      </c>
      <c r="Q746">
        <f>--($A746=IF('الداشبورد'!$B$5="الكل",$A746,'الداشبورد'!$B$5))</f>
        <v/>
      </c>
      <c r="R746">
        <f>--($E746=IF('الداشبورد'!$B$6="الكل",$E746,'الداشبورد'!$B$6))</f>
        <v/>
      </c>
      <c r="S746">
        <f>--($K746=IF('الداشبورد'!$B$7="الكل",$K746,IF('الداشبورد'!$B$7="تصدير","Y","N")))</f>
        <v/>
      </c>
      <c r="T746">
        <f>--($J746=IF('الداشبورد'!$B$8="الكل",$J746,IF('الداشبورد'!$B$8="AL","A","C")))</f>
        <v/>
      </c>
      <c r="U746">
        <f>--($I746=IF('الداشبورد'!$B$9="الكل",$I746,IF('الداشبورد'!$B$9="بدون حالة","P",'الداشبورد'!$B$9)))</f>
        <v/>
      </c>
      <c r="V746">
        <f>--($D746=IF('الداشبورد'!$B$10="الكل",$D746,'الداشبورد'!$B$10))</f>
        <v/>
      </c>
      <c r="W746">
        <f>--($G746=IF('الداشبورد'!$B$11="الكل",$G746,'الداشبورد'!$B$11))</f>
        <v/>
      </c>
      <c r="X746">
        <f>Q746*R746*S746*T746*U746*V746*W746*--($C746&lt;&gt;"")</f>
        <v/>
      </c>
    </row>
    <row r="747">
      <c r="A747" s="15" t="n">
        <v>7</v>
      </c>
      <c r="B747" s="15" t="inlineStr">
        <is>
          <t>V184975</t>
        </is>
      </c>
      <c r="C747" s="15" t="inlineStr">
        <is>
          <t>1101/26/01</t>
        </is>
      </c>
      <c r="D747" s="15" t="inlineStr">
        <is>
          <t>شركة مصر العليا لتوزيع الكهرباء</t>
        </is>
      </c>
      <c r="E747" s="15" t="inlineStr">
        <is>
          <t>MV</t>
        </is>
      </c>
      <c r="F747" s="15" t="inlineStr">
        <is>
          <t>12/20KV 3X300</t>
        </is>
      </c>
      <c r="G747" s="15" t="inlineStr">
        <is>
          <t>EX07</t>
        </is>
      </c>
      <c r="H747" s="15" t="inlineStr">
        <is>
          <t>Wooden Drums</t>
        </is>
      </c>
      <c r="I747" s="15" t="inlineStr">
        <is>
          <t>OK</t>
        </is>
      </c>
      <c r="J747" s="15" t="inlineStr">
        <is>
          <t>A</t>
        </is>
      </c>
      <c r="K747" s="15" t="inlineStr">
        <is>
          <t>N</t>
        </is>
      </c>
      <c r="L747" s="15" t="n">
        <v>405</v>
      </c>
      <c r="M747" s="16" t="n">
        <v>0.9594450000000001</v>
      </c>
      <c r="N747" s="16" t="n">
        <v>0</v>
      </c>
      <c r="O747" s="16" t="n">
        <v>0</v>
      </c>
      <c r="P747" s="16" t="n">
        <v>0.9594450000000001</v>
      </c>
      <c r="Q747">
        <f>--($A747=IF('الداشبورد'!$B$5="الكل",$A747,'الداشبورد'!$B$5))</f>
        <v/>
      </c>
      <c r="R747">
        <f>--($E747=IF('الداشبورد'!$B$6="الكل",$E747,'الداشبورد'!$B$6))</f>
        <v/>
      </c>
      <c r="S747">
        <f>--($K747=IF('الداشبورد'!$B$7="الكل",$K747,IF('الداشبورد'!$B$7="تصدير","Y","N")))</f>
        <v/>
      </c>
      <c r="T747">
        <f>--($J747=IF('الداشبورد'!$B$8="الكل",$J747,IF('الداشبورد'!$B$8="AL","A","C")))</f>
        <v/>
      </c>
      <c r="U747">
        <f>--($I747=IF('الداشبورد'!$B$9="الكل",$I747,IF('الداشبورد'!$B$9="بدون حالة","P",'الداشبورد'!$B$9)))</f>
        <v/>
      </c>
      <c r="V747">
        <f>--($D747=IF('الداشبورد'!$B$10="الكل",$D747,'الداشبورد'!$B$10))</f>
        <v/>
      </c>
      <c r="W747">
        <f>--($G747=IF('الداشبورد'!$B$11="الكل",$G747,'الداشبورد'!$B$11))</f>
        <v/>
      </c>
      <c r="X747">
        <f>Q747*R747*S747*T747*U747*V747*W747*--($C747&lt;&gt;"")</f>
        <v/>
      </c>
    </row>
    <row r="748">
      <c r="A748" s="15" t="n">
        <v>6</v>
      </c>
      <c r="B748" s="15" t="inlineStr">
        <is>
          <t>E-32</t>
        </is>
      </c>
      <c r="C748" s="15" t="inlineStr">
        <is>
          <t>1410/26/05</t>
        </is>
      </c>
      <c r="D748" s="15" t="inlineStr">
        <is>
          <t>Sadacavi</t>
        </is>
      </c>
      <c r="E748" s="15" t="inlineStr">
        <is>
          <t>MV</t>
        </is>
      </c>
      <c r="F748" s="15" t="inlineStr">
        <is>
          <t>12/20 KV 1X240</t>
        </is>
      </c>
      <c r="G748" s="15" t="inlineStr">
        <is>
          <t>EX06</t>
        </is>
      </c>
      <c r="H748" s="15" t="inlineStr">
        <is>
          <t>Wooden Drums</t>
        </is>
      </c>
      <c r="I748" s="15" t="inlineStr">
        <is>
          <t>Hold</t>
        </is>
      </c>
      <c r="J748" s="15" t="inlineStr">
        <is>
          <t>A</t>
        </is>
      </c>
      <c r="K748" s="15" t="inlineStr">
        <is>
          <t>Y</t>
        </is>
      </c>
      <c r="L748" s="15" t="n">
        <v>1540</v>
      </c>
      <c r="M748" s="16" t="n">
        <v>0.96404</v>
      </c>
      <c r="N748" s="16" t="n">
        <v>0</v>
      </c>
      <c r="O748" s="16" t="n">
        <v>0</v>
      </c>
      <c r="P748" s="16" t="n">
        <v>0.96404</v>
      </c>
      <c r="Q748">
        <f>--($A748=IF('الداشبورد'!$B$5="الكل",$A748,'الداشبورد'!$B$5))</f>
        <v/>
      </c>
      <c r="R748">
        <f>--($E748=IF('الداشبورد'!$B$6="الكل",$E748,'الداشبورد'!$B$6))</f>
        <v/>
      </c>
      <c r="S748">
        <f>--($K748=IF('الداشبورد'!$B$7="الكل",$K748,IF('الداشبورد'!$B$7="تصدير","Y","N")))</f>
        <v/>
      </c>
      <c r="T748">
        <f>--($J748=IF('الداشبورد'!$B$8="الكل",$J748,IF('الداشبورد'!$B$8="AL","A","C")))</f>
        <v/>
      </c>
      <c r="U748">
        <f>--($I748=IF('الداشبورد'!$B$9="الكل",$I748,IF('الداشبورد'!$B$9="بدون حالة","P",'الداشبورد'!$B$9)))</f>
        <v/>
      </c>
      <c r="V748">
        <f>--($D748=IF('الداشبورد'!$B$10="الكل",$D748,'الداشبورد'!$B$10))</f>
        <v/>
      </c>
      <c r="W748">
        <f>--($G748=IF('الداشبورد'!$B$11="الكل",$G748,'الداشبورد'!$B$11))</f>
        <v/>
      </c>
      <c r="X748">
        <f>Q748*R748*S748*T748*U748*V748*W748*--($C748&lt;&gt;"")</f>
        <v/>
      </c>
    </row>
    <row r="749">
      <c r="A749" s="15" t="n">
        <v>5</v>
      </c>
      <c r="B749" s="15" t="inlineStr">
        <is>
          <t>P184742</t>
        </is>
      </c>
      <c r="C749" s="15" t="inlineStr">
        <is>
          <t>1410/26/05</t>
        </is>
      </c>
      <c r="D749" s="15" t="inlineStr">
        <is>
          <t>Sadacavi</t>
        </is>
      </c>
      <c r="E749" s="15" t="inlineStr">
        <is>
          <t>MV</t>
        </is>
      </c>
      <c r="F749" s="15" t="inlineStr">
        <is>
          <t>12/20 KV 1X240</t>
        </is>
      </c>
      <c r="G749" s="15" t="inlineStr">
        <is>
          <t>EX06</t>
        </is>
      </c>
      <c r="H749" s="15" t="inlineStr">
        <is>
          <t>Wooden Drums</t>
        </is>
      </c>
      <c r="I749" s="15" t="inlineStr">
        <is>
          <t>OK</t>
        </is>
      </c>
      <c r="J749" s="15" t="inlineStr">
        <is>
          <t>A</t>
        </is>
      </c>
      <c r="K749" s="15" t="inlineStr">
        <is>
          <t>Y</t>
        </is>
      </c>
      <c r="L749" s="15" t="n">
        <v>1570</v>
      </c>
      <c r="M749" s="16" t="n">
        <v>0.98282</v>
      </c>
      <c r="N749" s="16" t="n">
        <v>0</v>
      </c>
      <c r="O749" s="16" t="n">
        <v>0</v>
      </c>
      <c r="P749" s="16" t="n">
        <v>0.98282</v>
      </c>
      <c r="Q749">
        <f>--($A749=IF('الداشبورد'!$B$5="الكل",$A749,'الداشبورد'!$B$5))</f>
        <v/>
      </c>
      <c r="R749">
        <f>--($E749=IF('الداشبورد'!$B$6="الكل",$E749,'الداشبورد'!$B$6))</f>
        <v/>
      </c>
      <c r="S749">
        <f>--($K749=IF('الداشبورد'!$B$7="الكل",$K749,IF('الداشبورد'!$B$7="تصدير","Y","N")))</f>
        <v/>
      </c>
      <c r="T749">
        <f>--($J749=IF('الداشبورد'!$B$8="الكل",$J749,IF('الداشبورد'!$B$8="AL","A","C")))</f>
        <v/>
      </c>
      <c r="U749">
        <f>--($I749=IF('الداشبورد'!$B$9="الكل",$I749,IF('الداشبورد'!$B$9="بدون حالة","P",'الداشبورد'!$B$9)))</f>
        <v/>
      </c>
      <c r="V749">
        <f>--($D749=IF('الداشبورد'!$B$10="الكل",$D749,'الداشبورد'!$B$10))</f>
        <v/>
      </c>
      <c r="W749">
        <f>--($G749=IF('الداشبورد'!$B$11="الكل",$G749,'الداشبورد'!$B$11))</f>
        <v/>
      </c>
      <c r="X749">
        <f>Q749*R749*S749*T749*U749*V749*W749*--($C749&lt;&gt;"")</f>
        <v/>
      </c>
    </row>
    <row r="750">
      <c r="A750" s="15" t="n">
        <v>5</v>
      </c>
      <c r="B750" s="15" t="inlineStr">
        <is>
          <t>P184726</t>
        </is>
      </c>
      <c r="C750" s="15" t="inlineStr">
        <is>
          <t>1410/26/05</t>
        </is>
      </c>
      <c r="D750" s="15" t="inlineStr">
        <is>
          <t>Sadacavi</t>
        </is>
      </c>
      <c r="E750" s="15" t="inlineStr">
        <is>
          <t>MV</t>
        </is>
      </c>
      <c r="F750" s="15" t="inlineStr">
        <is>
          <t>12/20 KV 1X240</t>
        </is>
      </c>
      <c r="G750" s="15" t="inlineStr">
        <is>
          <t>EX06</t>
        </is>
      </c>
      <c r="H750" s="15" t="inlineStr">
        <is>
          <t>Wooden Drums</t>
        </is>
      </c>
      <c r="I750" s="15" t="inlineStr">
        <is>
          <t>OK</t>
        </is>
      </c>
      <c r="J750" s="15" t="inlineStr">
        <is>
          <t>A</t>
        </is>
      </c>
      <c r="K750" s="15" t="inlineStr">
        <is>
          <t>Y</t>
        </is>
      </c>
      <c r="L750" s="15" t="n">
        <v>1540</v>
      </c>
      <c r="M750" s="16" t="n">
        <v>0.96404</v>
      </c>
      <c r="N750" s="16" t="n">
        <v>0</v>
      </c>
      <c r="O750" s="16" t="n">
        <v>0</v>
      </c>
      <c r="P750" s="16" t="n">
        <v>0.96404</v>
      </c>
      <c r="Q750">
        <f>--($A750=IF('الداشبورد'!$B$5="الكل",$A750,'الداشبورد'!$B$5))</f>
        <v/>
      </c>
      <c r="R750">
        <f>--($E750=IF('الداشبورد'!$B$6="الكل",$E750,'الداشبورد'!$B$6))</f>
        <v/>
      </c>
      <c r="S750">
        <f>--($K750=IF('الداشبورد'!$B$7="الكل",$K750,IF('الداشبورد'!$B$7="تصدير","Y","N")))</f>
        <v/>
      </c>
      <c r="T750">
        <f>--($J750=IF('الداشبورد'!$B$8="الكل",$J750,IF('الداشبورد'!$B$8="AL","A","C")))</f>
        <v/>
      </c>
      <c r="U750">
        <f>--($I750=IF('الداشبورد'!$B$9="الكل",$I750,IF('الداشبورد'!$B$9="بدون حالة","P",'الداشبورد'!$B$9)))</f>
        <v/>
      </c>
      <c r="V750">
        <f>--($D750=IF('الداشبورد'!$B$10="الكل",$D750,'الداشبورد'!$B$10))</f>
        <v/>
      </c>
      <c r="W750">
        <f>--($G750=IF('الداشبورد'!$B$11="الكل",$G750,'الداشبورد'!$B$11))</f>
        <v/>
      </c>
      <c r="X750">
        <f>Q750*R750*S750*T750*U750*V750*W750*--($C750&lt;&gt;"")</f>
        <v/>
      </c>
    </row>
    <row r="751">
      <c r="A751" s="15" t="n">
        <v>6</v>
      </c>
      <c r="B751" s="15" t="inlineStr">
        <is>
          <t>P184725</t>
        </is>
      </c>
      <c r="C751" s="15" t="inlineStr">
        <is>
          <t>1410/26/05</t>
        </is>
      </c>
      <c r="D751" s="15" t="inlineStr">
        <is>
          <t>Sadacavi</t>
        </is>
      </c>
      <c r="E751" s="15" t="inlineStr">
        <is>
          <t>MV</t>
        </is>
      </c>
      <c r="F751" s="15" t="inlineStr">
        <is>
          <t>12/20 KV 1X240</t>
        </is>
      </c>
      <c r="G751" s="15" t="inlineStr">
        <is>
          <t>EX06</t>
        </is>
      </c>
      <c r="H751" s="15" t="inlineStr">
        <is>
          <t>Wooden Drums</t>
        </is>
      </c>
      <c r="I751" s="15" t="inlineStr">
        <is>
          <t>OK</t>
        </is>
      </c>
      <c r="J751" s="15" t="inlineStr">
        <is>
          <t>A</t>
        </is>
      </c>
      <c r="K751" s="15" t="inlineStr">
        <is>
          <t>Y</t>
        </is>
      </c>
      <c r="L751" s="15" t="n">
        <v>1525</v>
      </c>
      <c r="M751" s="16" t="n">
        <v>0.95465</v>
      </c>
      <c r="N751" s="16" t="n">
        <v>0</v>
      </c>
      <c r="O751" s="16" t="n">
        <v>0</v>
      </c>
      <c r="P751" s="16" t="n">
        <v>0.95465</v>
      </c>
      <c r="Q751">
        <f>--($A751=IF('الداشبورد'!$B$5="الكل",$A751,'الداشبورد'!$B$5))</f>
        <v/>
      </c>
      <c r="R751">
        <f>--($E751=IF('الداشبورد'!$B$6="الكل",$E751,'الداشبورد'!$B$6))</f>
        <v/>
      </c>
      <c r="S751">
        <f>--($K751=IF('الداشبورد'!$B$7="الكل",$K751,IF('الداشبورد'!$B$7="تصدير","Y","N")))</f>
        <v/>
      </c>
      <c r="T751">
        <f>--($J751=IF('الداشبورد'!$B$8="الكل",$J751,IF('الداشبورد'!$B$8="AL","A","C")))</f>
        <v/>
      </c>
      <c r="U751">
        <f>--($I751=IF('الداشبورد'!$B$9="الكل",$I751,IF('الداشبورد'!$B$9="بدون حالة","P",'الداشبورد'!$B$9)))</f>
        <v/>
      </c>
      <c r="V751">
        <f>--($D751=IF('الداشبورد'!$B$10="الكل",$D751,'الداشبورد'!$B$10))</f>
        <v/>
      </c>
      <c r="W751">
        <f>--($G751=IF('الداشبورد'!$B$11="الكل",$G751,'الداشبورد'!$B$11))</f>
        <v/>
      </c>
      <c r="X751">
        <f>Q751*R751*S751*T751*U751*V751*W751*--($C751&lt;&gt;"")</f>
        <v/>
      </c>
    </row>
    <row r="752">
      <c r="A752" s="15" t="n">
        <v>6</v>
      </c>
      <c r="B752" s="15" t="inlineStr">
        <is>
          <t>G184783</t>
        </is>
      </c>
      <c r="C752" s="15" t="inlineStr">
        <is>
          <t>1464/26/01</t>
        </is>
      </c>
      <c r="D752" s="15" t="inlineStr">
        <is>
          <t>Eland Cables</t>
        </is>
      </c>
      <c r="E752" s="15" t="inlineStr">
        <is>
          <t>MV</t>
        </is>
      </c>
      <c r="F752" s="15" t="inlineStr">
        <is>
          <t>12/20 KV 1X95</t>
        </is>
      </c>
      <c r="G752" s="15" t="inlineStr">
        <is>
          <t>EX05</t>
        </is>
      </c>
      <c r="H752" s="15" t="inlineStr">
        <is>
          <t>Wooden Drums</t>
        </is>
      </c>
      <c r="I752" s="15" t="inlineStr">
        <is>
          <t>OK</t>
        </is>
      </c>
      <c r="J752" s="15" t="inlineStr">
        <is>
          <t>C</t>
        </is>
      </c>
      <c r="K752" s="15" t="inlineStr">
        <is>
          <t>Y</t>
        </is>
      </c>
      <c r="L752" s="15" t="n">
        <v>533</v>
      </c>
      <c r="M752" s="16" t="n">
        <v>0.434395</v>
      </c>
      <c r="N752" s="16" t="n">
        <v>0.078884</v>
      </c>
      <c r="O752" s="16" t="n">
        <v>0</v>
      </c>
      <c r="P752" s="16" t="n">
        <v>0.5132789999999999</v>
      </c>
      <c r="Q752">
        <f>--($A752=IF('الداشبورد'!$B$5="الكل",$A752,'الداشبورد'!$B$5))</f>
        <v/>
      </c>
      <c r="R752">
        <f>--($E752=IF('الداشبورد'!$B$6="الكل",$E752,'الداشبورد'!$B$6))</f>
        <v/>
      </c>
      <c r="S752">
        <f>--($K752=IF('الداشبورد'!$B$7="الكل",$K752,IF('الداشبورد'!$B$7="تصدير","Y","N")))</f>
        <v/>
      </c>
      <c r="T752">
        <f>--($J752=IF('الداشبورد'!$B$8="الكل",$J752,IF('الداشبورد'!$B$8="AL","A","C")))</f>
        <v/>
      </c>
      <c r="U752">
        <f>--($I752=IF('الداشبورد'!$B$9="الكل",$I752,IF('الداشبورد'!$B$9="بدون حالة","P",'الداشبورد'!$B$9)))</f>
        <v/>
      </c>
      <c r="V752">
        <f>--($D752=IF('الداشبورد'!$B$10="الكل",$D752,'الداشبورد'!$B$10))</f>
        <v/>
      </c>
      <c r="W752">
        <f>--($G752=IF('الداشبورد'!$B$11="الكل",$G752,'الداشبورد'!$B$11))</f>
        <v/>
      </c>
      <c r="X752">
        <f>Q752*R752*S752*T752*U752*V752*W752*--($C752&lt;&gt;"")</f>
        <v/>
      </c>
    </row>
    <row r="753">
      <c r="A753" s="15" t="n">
        <v>6</v>
      </c>
      <c r="B753" s="15" t="inlineStr">
        <is>
          <t>G184781</t>
        </is>
      </c>
      <c r="C753" s="15" t="inlineStr">
        <is>
          <t>1464/26/01</t>
        </is>
      </c>
      <c r="D753" s="15" t="inlineStr">
        <is>
          <t>Eland Cables</t>
        </is>
      </c>
      <c r="E753" s="15" t="inlineStr">
        <is>
          <t>MV</t>
        </is>
      </c>
      <c r="F753" s="15" t="inlineStr">
        <is>
          <t>12/20 KV 1X95</t>
        </is>
      </c>
      <c r="G753" s="15" t="inlineStr">
        <is>
          <t>EX05</t>
        </is>
      </c>
      <c r="H753" s="15" t="inlineStr">
        <is>
          <t>Wooden Drums</t>
        </is>
      </c>
      <c r="I753" s="15" t="inlineStr">
        <is>
          <t>OK</t>
        </is>
      </c>
      <c r="J753" s="15" t="inlineStr">
        <is>
          <t>C</t>
        </is>
      </c>
      <c r="K753" s="15" t="inlineStr">
        <is>
          <t>Y</t>
        </is>
      </c>
      <c r="L753" s="15" t="n">
        <v>496</v>
      </c>
      <c r="M753" s="16" t="n">
        <v>0.4042399999999999</v>
      </c>
      <c r="N753" s="16" t="n">
        <v>0.073408</v>
      </c>
      <c r="O753" s="16" t="n">
        <v>0</v>
      </c>
      <c r="P753" s="16" t="n">
        <v>0.477648</v>
      </c>
      <c r="Q753">
        <f>--($A753=IF('الداشبورد'!$B$5="الكل",$A753,'الداشبورد'!$B$5))</f>
        <v/>
      </c>
      <c r="R753">
        <f>--($E753=IF('الداشبورد'!$B$6="الكل",$E753,'الداشبورد'!$B$6))</f>
        <v/>
      </c>
      <c r="S753">
        <f>--($K753=IF('الداشبورد'!$B$7="الكل",$K753,IF('الداشبورد'!$B$7="تصدير","Y","N")))</f>
        <v/>
      </c>
      <c r="T753">
        <f>--($J753=IF('الداشبورد'!$B$8="الكل",$J753,IF('الداشبورد'!$B$8="AL","A","C")))</f>
        <v/>
      </c>
      <c r="U753">
        <f>--($I753=IF('الداشبورد'!$B$9="الكل",$I753,IF('الداشبورد'!$B$9="بدون حالة","P",'الداشبورد'!$B$9)))</f>
        <v/>
      </c>
      <c r="V753">
        <f>--($D753=IF('الداشبورد'!$B$10="الكل",$D753,'الداشبورد'!$B$10))</f>
        <v/>
      </c>
      <c r="W753">
        <f>--($G753=IF('الداشبورد'!$B$11="الكل",$G753,'الداشبورد'!$B$11))</f>
        <v/>
      </c>
      <c r="X753">
        <f>Q753*R753*S753*T753*U753*V753*W753*--($C753&lt;&gt;"")</f>
        <v/>
      </c>
    </row>
    <row r="754">
      <c r="A754" s="15" t="n">
        <v>6</v>
      </c>
      <c r="B754" s="15" t="inlineStr">
        <is>
          <t>G184784</t>
        </is>
      </c>
      <c r="C754" s="15" t="inlineStr">
        <is>
          <t>1464/26/01</t>
        </is>
      </c>
      <c r="D754" s="15" t="inlineStr">
        <is>
          <t>Eland Cables</t>
        </is>
      </c>
      <c r="E754" s="15" t="inlineStr">
        <is>
          <t>MV</t>
        </is>
      </c>
      <c r="F754" s="15" t="inlineStr">
        <is>
          <t>12/20 KV 1X95</t>
        </is>
      </c>
      <c r="G754" s="15" t="inlineStr">
        <is>
          <t>EX05</t>
        </is>
      </c>
      <c r="H754" s="15" t="inlineStr">
        <is>
          <t>Wooden Drums</t>
        </is>
      </c>
      <c r="I754" s="15" t="inlineStr">
        <is>
          <t>OK</t>
        </is>
      </c>
      <c r="J754" s="15" t="inlineStr">
        <is>
          <t>C</t>
        </is>
      </c>
      <c r="K754" s="15" t="inlineStr">
        <is>
          <t>Y</t>
        </is>
      </c>
      <c r="L754" s="15" t="n">
        <v>480</v>
      </c>
      <c r="M754" s="16" t="n">
        <v>0.3912</v>
      </c>
      <c r="N754" s="16" t="n">
        <v>0.07103999999999999</v>
      </c>
      <c r="O754" s="16" t="n">
        <v>0</v>
      </c>
      <c r="P754" s="16" t="n">
        <v>0.46224</v>
      </c>
      <c r="Q754">
        <f>--($A754=IF('الداشبورد'!$B$5="الكل",$A754,'الداشبورد'!$B$5))</f>
        <v/>
      </c>
      <c r="R754">
        <f>--($E754=IF('الداشبورد'!$B$6="الكل",$E754,'الداشبورد'!$B$6))</f>
        <v/>
      </c>
      <c r="S754">
        <f>--($K754=IF('الداشبورد'!$B$7="الكل",$K754,IF('الداشبورد'!$B$7="تصدير","Y","N")))</f>
        <v/>
      </c>
      <c r="T754">
        <f>--($J754=IF('الداشبورد'!$B$8="الكل",$J754,IF('الداشبورد'!$B$8="AL","A","C")))</f>
        <v/>
      </c>
      <c r="U754">
        <f>--($I754=IF('الداشبورد'!$B$9="الكل",$I754,IF('الداشبورد'!$B$9="بدون حالة","P",'الداشبورد'!$B$9)))</f>
        <v/>
      </c>
      <c r="V754">
        <f>--($D754=IF('الداشبورد'!$B$10="الكل",$D754,'الداشبورد'!$B$10))</f>
        <v/>
      </c>
      <c r="W754">
        <f>--($G754=IF('الداشبورد'!$B$11="الكل",$G754,'الداشبورد'!$B$11))</f>
        <v/>
      </c>
      <c r="X754">
        <f>Q754*R754*S754*T754*U754*V754*W754*--($C754&lt;&gt;"")</f>
        <v/>
      </c>
    </row>
    <row r="755">
      <c r="A755" s="15" t="n">
        <v>6</v>
      </c>
      <c r="B755" s="15" t="inlineStr">
        <is>
          <t>G184782</t>
        </is>
      </c>
      <c r="C755" s="15" t="inlineStr">
        <is>
          <t>1464/26/01</t>
        </is>
      </c>
      <c r="D755" s="15" t="inlineStr">
        <is>
          <t>Eland Cables</t>
        </is>
      </c>
      <c r="E755" s="15" t="inlineStr">
        <is>
          <t>MV</t>
        </is>
      </c>
      <c r="F755" s="15" t="inlineStr">
        <is>
          <t>12/20 KV 1X95</t>
        </is>
      </c>
      <c r="G755" s="15" t="inlineStr">
        <is>
          <t>EX05</t>
        </is>
      </c>
      <c r="H755" s="15" t="inlineStr">
        <is>
          <t>Wooden Drums</t>
        </is>
      </c>
      <c r="I755" s="15" t="inlineStr">
        <is>
          <t>OK</t>
        </is>
      </c>
      <c r="J755" s="15" t="inlineStr">
        <is>
          <t>C</t>
        </is>
      </c>
      <c r="K755" s="15" t="inlineStr">
        <is>
          <t>Y</t>
        </is>
      </c>
      <c r="L755" s="15" t="n">
        <v>480</v>
      </c>
      <c r="M755" s="16" t="n">
        <v>0.3912</v>
      </c>
      <c r="N755" s="16" t="n">
        <v>0.07103999999999999</v>
      </c>
      <c r="O755" s="16" t="n">
        <v>0</v>
      </c>
      <c r="P755" s="16" t="n">
        <v>0.46224</v>
      </c>
      <c r="Q755">
        <f>--($A755=IF('الداشبورد'!$B$5="الكل",$A755,'الداشبورد'!$B$5))</f>
        <v/>
      </c>
      <c r="R755">
        <f>--($E755=IF('الداشبورد'!$B$6="الكل",$E755,'الداشبورد'!$B$6))</f>
        <v/>
      </c>
      <c r="S755">
        <f>--($K755=IF('الداشبورد'!$B$7="الكل",$K755,IF('الداشبورد'!$B$7="تصدير","Y","N")))</f>
        <v/>
      </c>
      <c r="T755">
        <f>--($J755=IF('الداشبورد'!$B$8="الكل",$J755,IF('الداشبورد'!$B$8="AL","A","C")))</f>
        <v/>
      </c>
      <c r="U755">
        <f>--($I755=IF('الداشبورد'!$B$9="الكل",$I755,IF('الداشبورد'!$B$9="بدون حالة","P",'الداشبورد'!$B$9)))</f>
        <v/>
      </c>
      <c r="V755">
        <f>--($D755=IF('الداشبورد'!$B$10="الكل",$D755,'الداشبورد'!$B$10))</f>
        <v/>
      </c>
      <c r="W755">
        <f>--($G755=IF('الداشبورد'!$B$11="الكل",$G755,'الداشبورد'!$B$11))</f>
        <v/>
      </c>
      <c r="X755">
        <f>Q755*R755*S755*T755*U755*V755*W755*--($C755&lt;&gt;"")</f>
        <v/>
      </c>
    </row>
    <row r="756">
      <c r="A756" s="15" t="n">
        <v>4</v>
      </c>
      <c r="B756" s="15" t="inlineStr">
        <is>
          <t>S184612</t>
        </is>
      </c>
      <c r="C756" s="15" t="inlineStr">
        <is>
          <t>1364/26/01</t>
        </is>
      </c>
      <c r="D756" s="15" t="inlineStr">
        <is>
          <t>INSELL</t>
        </is>
      </c>
      <c r="E756" s="15" t="inlineStr">
        <is>
          <t>MV</t>
        </is>
      </c>
      <c r="F756" s="15" t="inlineStr">
        <is>
          <t>18/30 KV 1X240</t>
        </is>
      </c>
      <c r="G756" s="15" t="inlineStr">
        <is>
          <t>EX06</t>
        </is>
      </c>
      <c r="H756" s="15" t="inlineStr">
        <is>
          <t>Wooden Drums</t>
        </is>
      </c>
      <c r="I756" s="15" t="inlineStr">
        <is>
          <t>OK</t>
        </is>
      </c>
      <c r="J756" s="15" t="inlineStr">
        <is>
          <t>A</t>
        </is>
      </c>
      <c r="K756" s="15" t="inlineStr">
        <is>
          <t>Y</t>
        </is>
      </c>
      <c r="L756" s="15" t="n">
        <v>2045</v>
      </c>
      <c r="M756" s="16" t="n">
        <v>1.27199</v>
      </c>
      <c r="N756" s="16" t="n">
        <v>0.926385</v>
      </c>
      <c r="O756" s="16" t="n">
        <v>0</v>
      </c>
      <c r="P756" s="16" t="n">
        <v>2.198375</v>
      </c>
      <c r="Q756">
        <f>--($A756=IF('الداشبورد'!$B$5="الكل",$A756,'الداشبورد'!$B$5))</f>
        <v/>
      </c>
      <c r="R756">
        <f>--($E756=IF('الداشبورد'!$B$6="الكل",$E756,'الداشبورد'!$B$6))</f>
        <v/>
      </c>
      <c r="S756">
        <f>--($K756=IF('الداشبورد'!$B$7="الكل",$K756,IF('الداشبورد'!$B$7="تصدير","Y","N")))</f>
        <v/>
      </c>
      <c r="T756">
        <f>--($J756=IF('الداشبورد'!$B$8="الكل",$J756,IF('الداشبورد'!$B$8="AL","A","C")))</f>
        <v/>
      </c>
      <c r="U756">
        <f>--($I756=IF('الداشبورد'!$B$9="الكل",$I756,IF('الداشبورد'!$B$9="بدون حالة","P",'الداشبورد'!$B$9)))</f>
        <v/>
      </c>
      <c r="V756">
        <f>--($D756=IF('الداشبورد'!$B$10="الكل",$D756,'الداشبورد'!$B$10))</f>
        <v/>
      </c>
      <c r="W756">
        <f>--($G756=IF('الداشبورد'!$B$11="الكل",$G756,'الداشبورد'!$B$11))</f>
        <v/>
      </c>
      <c r="X756">
        <f>Q756*R756*S756*T756*U756*V756*W756*--($C756&lt;&gt;"")</f>
        <v/>
      </c>
    </row>
    <row r="757">
      <c r="A757" s="15" t="n">
        <v>6</v>
      </c>
      <c r="B757" s="15" t="inlineStr">
        <is>
          <t>P184942</t>
        </is>
      </c>
      <c r="C757" s="15" t="inlineStr">
        <is>
          <t>1594/26/06</t>
        </is>
      </c>
      <c r="D757" s="15" t="inlineStr">
        <is>
          <t>VLG RO S.R.L.</t>
        </is>
      </c>
      <c r="E757" s="15" t="inlineStr">
        <is>
          <t>LV</t>
        </is>
      </c>
      <c r="F757" s="15" t="inlineStr">
        <is>
          <t>0.6/1 KV 4X240</t>
        </is>
      </c>
      <c r="G757" s="15" t="inlineStr">
        <is>
          <t>EX09</t>
        </is>
      </c>
      <c r="H757" s="15" t="inlineStr">
        <is>
          <t>Wooden Drums</t>
        </is>
      </c>
      <c r="I757" s="15" t="inlineStr">
        <is>
          <t>P</t>
        </is>
      </c>
      <c r="J757" s="15" t="inlineStr">
        <is>
          <t>A</t>
        </is>
      </c>
      <c r="K757" s="15" t="inlineStr">
        <is>
          <t>Y</t>
        </is>
      </c>
      <c r="L757" s="15" t="n">
        <v>1058</v>
      </c>
      <c r="M757" s="16" t="n">
        <v>2.653464</v>
      </c>
      <c r="N757" s="16" t="n">
        <v>0</v>
      </c>
      <c r="O757" s="16" t="n">
        <v>0</v>
      </c>
      <c r="P757" s="16" t="n">
        <v>2.653464</v>
      </c>
      <c r="Q757">
        <f>--($A757=IF('الداشبورد'!$B$5="الكل",$A757,'الداشبورد'!$B$5))</f>
        <v/>
      </c>
      <c r="R757">
        <f>--($E757=IF('الداشبورد'!$B$6="الكل",$E757,'الداشبورد'!$B$6))</f>
        <v/>
      </c>
      <c r="S757">
        <f>--($K757=IF('الداشبورد'!$B$7="الكل",$K757,IF('الداشبورد'!$B$7="تصدير","Y","N")))</f>
        <v/>
      </c>
      <c r="T757">
        <f>--($J757=IF('الداشبورد'!$B$8="الكل",$J757,IF('الداشبورد'!$B$8="AL","A","C")))</f>
        <v/>
      </c>
      <c r="U757">
        <f>--($I757=IF('الداشبورد'!$B$9="الكل",$I757,IF('الداشبورد'!$B$9="بدون حالة","P",'الداشبورد'!$B$9)))</f>
        <v/>
      </c>
      <c r="V757">
        <f>--($D757=IF('الداشبورد'!$B$10="الكل",$D757,'الداشبورد'!$B$10))</f>
        <v/>
      </c>
      <c r="W757">
        <f>--($G757=IF('الداشبورد'!$B$11="الكل",$G757,'الداشبورد'!$B$11))</f>
        <v/>
      </c>
      <c r="X757">
        <f>Q757*R757*S757*T757*U757*V757*W757*--($C757&lt;&gt;"")</f>
        <v/>
      </c>
    </row>
    <row r="758">
      <c r="A758" s="15" t="n">
        <v>7</v>
      </c>
      <c r="B758" s="15" t="inlineStr">
        <is>
          <t>P185014</t>
        </is>
      </c>
      <c r="C758" s="15" t="inlineStr">
        <is>
          <t>1410/26/04</t>
        </is>
      </c>
      <c r="D758" s="15" t="inlineStr">
        <is>
          <t>Sadacavi</t>
        </is>
      </c>
      <c r="E758" s="15" t="inlineStr">
        <is>
          <t>MV</t>
        </is>
      </c>
      <c r="F758" s="15" t="inlineStr">
        <is>
          <t>12/20 KV 1X95</t>
        </is>
      </c>
      <c r="G758" s="15" t="inlineStr">
        <is>
          <t>EX06</t>
        </is>
      </c>
      <c r="H758" s="15" t="inlineStr">
        <is>
          <t>Wooden Drums</t>
        </is>
      </c>
      <c r="I758" s="15" t="inlineStr">
        <is>
          <t>OK</t>
        </is>
      </c>
      <c r="J758" s="15" t="inlineStr">
        <is>
          <t>A</t>
        </is>
      </c>
      <c r="K758" s="15" t="inlineStr">
        <is>
          <t>Y</t>
        </is>
      </c>
      <c r="L758" s="15" t="n">
        <v>2010</v>
      </c>
      <c r="M758" s="16" t="n">
        <v>0.49245</v>
      </c>
      <c r="N758" s="16" t="n">
        <v>0</v>
      </c>
      <c r="O758" s="16" t="n">
        <v>0</v>
      </c>
      <c r="P758" s="16" t="n">
        <v>0.49245</v>
      </c>
      <c r="Q758">
        <f>--($A758=IF('الداشبورد'!$B$5="الكل",$A758,'الداشبورد'!$B$5))</f>
        <v/>
      </c>
      <c r="R758">
        <f>--($E758=IF('الداشبورد'!$B$6="الكل",$E758,'الداشبورد'!$B$6))</f>
        <v/>
      </c>
      <c r="S758">
        <f>--($K758=IF('الداشبورد'!$B$7="الكل",$K758,IF('الداشبورد'!$B$7="تصدير","Y","N")))</f>
        <v/>
      </c>
      <c r="T758">
        <f>--($J758=IF('الداشبورد'!$B$8="الكل",$J758,IF('الداشبورد'!$B$8="AL","A","C")))</f>
        <v/>
      </c>
      <c r="U758">
        <f>--($I758=IF('الداشبورد'!$B$9="الكل",$I758,IF('الداشبورد'!$B$9="بدون حالة","P",'الداشبورد'!$B$9)))</f>
        <v/>
      </c>
      <c r="V758">
        <f>--($D758=IF('الداشبورد'!$B$10="الكل",$D758,'الداشبورد'!$B$10))</f>
        <v/>
      </c>
      <c r="W758">
        <f>--($G758=IF('الداشبورد'!$B$11="الكل",$G758,'الداشبورد'!$B$11))</f>
        <v/>
      </c>
      <c r="X758">
        <f>Q758*R758*S758*T758*U758*V758*W758*--($C758&lt;&gt;"")</f>
        <v/>
      </c>
    </row>
    <row r="759">
      <c r="A759" s="15" t="n">
        <v>7</v>
      </c>
      <c r="B759" s="15" t="inlineStr">
        <is>
          <t>P185013</t>
        </is>
      </c>
      <c r="C759" s="15" t="inlineStr">
        <is>
          <t>1410/26/04</t>
        </is>
      </c>
      <c r="D759" s="15" t="inlineStr">
        <is>
          <t>Sadacavi</t>
        </is>
      </c>
      <c r="E759" s="15" t="inlineStr">
        <is>
          <t>MV</t>
        </is>
      </c>
      <c r="F759" s="15" t="inlineStr">
        <is>
          <t>12/20 KV 1X95</t>
        </is>
      </c>
      <c r="G759" s="15" t="inlineStr">
        <is>
          <t>EX06</t>
        </is>
      </c>
      <c r="H759" s="15" t="inlineStr">
        <is>
          <t>Wooden Drums</t>
        </is>
      </c>
      <c r="I759" s="15" t="inlineStr">
        <is>
          <t>OK</t>
        </is>
      </c>
      <c r="J759" s="15" t="inlineStr">
        <is>
          <t>A</t>
        </is>
      </c>
      <c r="K759" s="15" t="inlineStr">
        <is>
          <t>Y</t>
        </is>
      </c>
      <c r="L759" s="15" t="n">
        <v>2043</v>
      </c>
      <c r="M759" s="16" t="n">
        <v>0.500535</v>
      </c>
      <c r="N759" s="16" t="n">
        <v>0</v>
      </c>
      <c r="O759" s="16" t="n">
        <v>0</v>
      </c>
      <c r="P759" s="16" t="n">
        <v>0.500535</v>
      </c>
      <c r="Q759">
        <f>--($A759=IF('الداشبورد'!$B$5="الكل",$A759,'الداشبورد'!$B$5))</f>
        <v/>
      </c>
      <c r="R759">
        <f>--($E759=IF('الداشبورد'!$B$6="الكل",$E759,'الداشبورد'!$B$6))</f>
        <v/>
      </c>
      <c r="S759">
        <f>--($K759=IF('الداشبورد'!$B$7="الكل",$K759,IF('الداشبورد'!$B$7="تصدير","Y","N")))</f>
        <v/>
      </c>
      <c r="T759">
        <f>--($J759=IF('الداشبورد'!$B$8="الكل",$J759,IF('الداشبورد'!$B$8="AL","A","C")))</f>
        <v/>
      </c>
      <c r="U759">
        <f>--($I759=IF('الداشبورد'!$B$9="الكل",$I759,IF('الداشبورد'!$B$9="بدون حالة","P",'الداشبورد'!$B$9)))</f>
        <v/>
      </c>
      <c r="V759">
        <f>--($D759=IF('الداشبورد'!$B$10="الكل",$D759,'الداشبورد'!$B$10))</f>
        <v/>
      </c>
      <c r="W759">
        <f>--($G759=IF('الداشبورد'!$B$11="الكل",$G759,'الداشبورد'!$B$11))</f>
        <v/>
      </c>
      <c r="X759">
        <f>Q759*R759*S759*T759*U759*V759*W759*--($C759&lt;&gt;"")</f>
        <v/>
      </c>
    </row>
    <row r="760">
      <c r="A760" s="15" t="n">
        <v>7</v>
      </c>
      <c r="B760" s="15" t="inlineStr">
        <is>
          <t>P185016</t>
        </is>
      </c>
      <c r="C760" s="15" t="inlineStr">
        <is>
          <t>1410/26/04</t>
        </is>
      </c>
      <c r="D760" s="15" t="inlineStr">
        <is>
          <t>Sadacavi</t>
        </is>
      </c>
      <c r="E760" s="15" t="inlineStr">
        <is>
          <t>MV</t>
        </is>
      </c>
      <c r="F760" s="15" t="inlineStr">
        <is>
          <t>12/20 KV 1X95</t>
        </is>
      </c>
      <c r="G760" s="15" t="inlineStr">
        <is>
          <t>EX06</t>
        </is>
      </c>
      <c r="H760" s="15" t="inlineStr">
        <is>
          <t>Wooden Drums</t>
        </is>
      </c>
      <c r="I760" s="15" t="inlineStr">
        <is>
          <t>OK</t>
        </is>
      </c>
      <c r="J760" s="15" t="inlineStr">
        <is>
          <t>A</t>
        </is>
      </c>
      <c r="K760" s="15" t="inlineStr">
        <is>
          <t>Y</t>
        </is>
      </c>
      <c r="L760" s="15" t="n">
        <v>2085</v>
      </c>
      <c r="M760" s="16" t="n">
        <v>0.510825</v>
      </c>
      <c r="N760" s="16" t="n">
        <v>0</v>
      </c>
      <c r="O760" s="16" t="n">
        <v>0</v>
      </c>
      <c r="P760" s="16" t="n">
        <v>0.510825</v>
      </c>
      <c r="Q760">
        <f>--($A760=IF('الداشبورد'!$B$5="الكل",$A760,'الداشبورد'!$B$5))</f>
        <v/>
      </c>
      <c r="R760">
        <f>--($E760=IF('الداشبورد'!$B$6="الكل",$E760,'الداشبورد'!$B$6))</f>
        <v/>
      </c>
      <c r="S760">
        <f>--($K760=IF('الداشبورد'!$B$7="الكل",$K760,IF('الداشبورد'!$B$7="تصدير","Y","N")))</f>
        <v/>
      </c>
      <c r="T760">
        <f>--($J760=IF('الداشبورد'!$B$8="الكل",$J760,IF('الداشبورد'!$B$8="AL","A","C")))</f>
        <v/>
      </c>
      <c r="U760">
        <f>--($I760=IF('الداشبورد'!$B$9="الكل",$I760,IF('الداشبورد'!$B$9="بدون حالة","P",'الداشبورد'!$B$9)))</f>
        <v/>
      </c>
      <c r="V760">
        <f>--($D760=IF('الداشبورد'!$B$10="الكل",$D760,'الداشبورد'!$B$10))</f>
        <v/>
      </c>
      <c r="W760">
        <f>--($G760=IF('الداشبورد'!$B$11="الكل",$G760,'الداشبورد'!$B$11))</f>
        <v/>
      </c>
      <c r="X760">
        <f>Q760*R760*S760*T760*U760*V760*W760*--($C760&lt;&gt;"")</f>
        <v/>
      </c>
    </row>
    <row r="761">
      <c r="A761" s="15" t="n">
        <v>7</v>
      </c>
      <c r="B761" s="15" t="inlineStr">
        <is>
          <t>P185015</t>
        </is>
      </c>
      <c r="C761" s="15" t="inlineStr">
        <is>
          <t>1410/26/04</t>
        </is>
      </c>
      <c r="D761" s="15" t="inlineStr">
        <is>
          <t>Sadacavi</t>
        </is>
      </c>
      <c r="E761" s="15" t="inlineStr">
        <is>
          <t>MV</t>
        </is>
      </c>
      <c r="F761" s="15" t="inlineStr">
        <is>
          <t>12/20 KV 1X95</t>
        </is>
      </c>
      <c r="G761" s="15" t="inlineStr">
        <is>
          <t>EX06</t>
        </is>
      </c>
      <c r="H761" s="15" t="inlineStr">
        <is>
          <t>Wooden Drums</t>
        </is>
      </c>
      <c r="I761" s="15" t="inlineStr">
        <is>
          <t>OK</t>
        </is>
      </c>
      <c r="J761" s="15" t="inlineStr">
        <is>
          <t>A</t>
        </is>
      </c>
      <c r="K761" s="15" t="inlineStr">
        <is>
          <t>Y</t>
        </is>
      </c>
      <c r="L761" s="15" t="n">
        <v>2045</v>
      </c>
      <c r="M761" s="16" t="n">
        <v>0.5010249999999999</v>
      </c>
      <c r="N761" s="16" t="n">
        <v>0</v>
      </c>
      <c r="O761" s="16" t="n">
        <v>0</v>
      </c>
      <c r="P761" s="16" t="n">
        <v>0.5010249999999999</v>
      </c>
      <c r="Q761">
        <f>--($A761=IF('الداشبورد'!$B$5="الكل",$A761,'الداشبورد'!$B$5))</f>
        <v/>
      </c>
      <c r="R761">
        <f>--($E761=IF('الداشبورد'!$B$6="الكل",$E761,'الداشبورد'!$B$6))</f>
        <v/>
      </c>
      <c r="S761">
        <f>--($K761=IF('الداشبورد'!$B$7="الكل",$K761,IF('الداشبورد'!$B$7="تصدير","Y","N")))</f>
        <v/>
      </c>
      <c r="T761">
        <f>--($J761=IF('الداشبورد'!$B$8="الكل",$J761,IF('الداشبورد'!$B$8="AL","A","C")))</f>
        <v/>
      </c>
      <c r="U761">
        <f>--($I761=IF('الداشبورد'!$B$9="الكل",$I761,IF('الداشبورد'!$B$9="بدون حالة","P",'الداشبورد'!$B$9)))</f>
        <v/>
      </c>
      <c r="V761">
        <f>--($D761=IF('الداشبورد'!$B$10="الكل",$D761,'الداشبورد'!$B$10))</f>
        <v/>
      </c>
      <c r="W761">
        <f>--($G761=IF('الداشبورد'!$B$11="الكل",$G761,'الداشبورد'!$B$11))</f>
        <v/>
      </c>
      <c r="X761">
        <f>Q761*R761*S761*T761*U761*V761*W761*--($C761&lt;&gt;"")</f>
        <v/>
      </c>
    </row>
    <row r="762">
      <c r="A762" s="15" t="n">
        <v>4</v>
      </c>
      <c r="B762" s="15" t="inlineStr">
        <is>
          <t>E184434</t>
        </is>
      </c>
      <c r="C762" s="15" t="inlineStr">
        <is>
          <t>1460/26/04</t>
        </is>
      </c>
      <c r="D762" s="15" t="inlineStr">
        <is>
          <t>الاسكندرية للإنشاءات</t>
        </is>
      </c>
      <c r="E762" s="15" t="inlineStr">
        <is>
          <t>LV</t>
        </is>
      </c>
      <c r="F762" s="15" t="inlineStr">
        <is>
          <t>0.6/1 KV 4X10</t>
        </is>
      </c>
      <c r="G762" s="15" t="inlineStr">
        <is>
          <t>EX14</t>
        </is>
      </c>
      <c r="H762" s="15" t="inlineStr">
        <is>
          <t>Wooden Drums</t>
        </is>
      </c>
      <c r="I762" s="15" t="inlineStr">
        <is>
          <t>OK</t>
        </is>
      </c>
      <c r="J762" s="15" t="inlineStr">
        <is>
          <t>C</t>
        </is>
      </c>
      <c r="K762" s="15" t="inlineStr">
        <is>
          <t>N</t>
        </is>
      </c>
      <c r="L762" s="15" t="n">
        <v>412</v>
      </c>
      <c r="M762" s="16" t="n">
        <v>0.138844</v>
      </c>
      <c r="N762" s="16" t="n">
        <v>0</v>
      </c>
      <c r="O762" s="16" t="n">
        <v>0</v>
      </c>
      <c r="P762" s="16" t="n">
        <v>0.138844</v>
      </c>
      <c r="Q762">
        <f>--($A762=IF('الداشبورد'!$B$5="الكل",$A762,'الداشبورد'!$B$5))</f>
        <v/>
      </c>
      <c r="R762">
        <f>--($E762=IF('الداشبورد'!$B$6="الكل",$E762,'الداشبورد'!$B$6))</f>
        <v/>
      </c>
      <c r="S762">
        <f>--($K762=IF('الداشبورد'!$B$7="الكل",$K762,IF('الداشبورد'!$B$7="تصدير","Y","N")))</f>
        <v/>
      </c>
      <c r="T762">
        <f>--($J762=IF('الداشبورد'!$B$8="الكل",$J762,IF('الداشبورد'!$B$8="AL","A","C")))</f>
        <v/>
      </c>
      <c r="U762">
        <f>--($I762=IF('الداشبورد'!$B$9="الكل",$I762,IF('الداشبورد'!$B$9="بدون حالة","P",'الداشبورد'!$B$9)))</f>
        <v/>
      </c>
      <c r="V762">
        <f>--($D762=IF('الداشبورد'!$B$10="الكل",$D762,'الداشبورد'!$B$10))</f>
        <v/>
      </c>
      <c r="W762">
        <f>--($G762=IF('الداشبورد'!$B$11="الكل",$G762,'الداشبورد'!$B$11))</f>
        <v/>
      </c>
      <c r="X762">
        <f>Q762*R762*S762*T762*U762*V762*W762*--($C762&lt;&gt;"")</f>
        <v/>
      </c>
    </row>
    <row r="763">
      <c r="A763" s="15" t="n">
        <v>4</v>
      </c>
      <c r="B763" s="15" t="inlineStr">
        <is>
          <t>E184435</t>
        </is>
      </c>
      <c r="C763" s="15" t="inlineStr">
        <is>
          <t>1462/26/10</t>
        </is>
      </c>
      <c r="D763" s="15" t="inlineStr">
        <is>
          <t>Vigo trgovina d.o.o.</t>
        </is>
      </c>
      <c r="E763" s="15" t="inlineStr">
        <is>
          <t>LV</t>
        </is>
      </c>
      <c r="F763" s="15" t="inlineStr">
        <is>
          <t>0.6/1 KV 5X10</t>
        </is>
      </c>
      <c r="G763" s="15" t="inlineStr">
        <is>
          <t>EX13</t>
        </is>
      </c>
      <c r="H763" s="15" t="inlineStr">
        <is>
          <t>Wooden Drums</t>
        </is>
      </c>
      <c r="I763" s="15" t="inlineStr">
        <is>
          <t>OK</t>
        </is>
      </c>
      <c r="J763" s="15" t="inlineStr">
        <is>
          <t>C</t>
        </is>
      </c>
      <c r="K763" s="15" t="inlineStr">
        <is>
          <t>Y</t>
        </is>
      </c>
      <c r="L763" s="15" t="n">
        <v>525</v>
      </c>
      <c r="M763" s="16" t="n">
        <v>0.237825</v>
      </c>
      <c r="N763" s="16" t="n">
        <v>0</v>
      </c>
      <c r="O763" s="16" t="n">
        <v>0</v>
      </c>
      <c r="P763" s="16" t="n">
        <v>0.237825</v>
      </c>
      <c r="Q763">
        <f>--($A763=IF('الداشبورد'!$B$5="الكل",$A763,'الداشبورد'!$B$5))</f>
        <v/>
      </c>
      <c r="R763">
        <f>--($E763=IF('الداشبورد'!$B$6="الكل",$E763,'الداشبورد'!$B$6))</f>
        <v/>
      </c>
      <c r="S763">
        <f>--($K763=IF('الداشبورد'!$B$7="الكل",$K763,IF('الداشبورد'!$B$7="تصدير","Y","N")))</f>
        <v/>
      </c>
      <c r="T763">
        <f>--($J763=IF('الداشبورد'!$B$8="الكل",$J763,IF('الداشبورد'!$B$8="AL","A","C")))</f>
        <v/>
      </c>
      <c r="U763">
        <f>--($I763=IF('الداشبورد'!$B$9="الكل",$I763,IF('الداشبورد'!$B$9="بدون حالة","P",'الداشبورد'!$B$9)))</f>
        <v/>
      </c>
      <c r="V763">
        <f>--($D763=IF('الداشبورد'!$B$10="الكل",$D763,'الداشبورد'!$B$10))</f>
        <v/>
      </c>
      <c r="W763">
        <f>--($G763=IF('الداشبورد'!$B$11="الكل",$G763,'الداشبورد'!$B$11))</f>
        <v/>
      </c>
      <c r="X763">
        <f>Q763*R763*S763*T763*U763*V763*W763*--($C763&lt;&gt;"")</f>
        <v/>
      </c>
    </row>
    <row r="764">
      <c r="A764" s="15" t="n">
        <v>5</v>
      </c>
      <c r="B764" s="15" t="inlineStr">
        <is>
          <t>L184828</t>
        </is>
      </c>
      <c r="C764" s="15" t="inlineStr">
        <is>
          <t>1385/26/11</t>
        </is>
      </c>
      <c r="D764" s="15" t="inlineStr">
        <is>
          <t>الشركة العربية للصناعة والتجارة الدولية</t>
        </is>
      </c>
      <c r="E764" s="15" t="inlineStr">
        <is>
          <t>LV</t>
        </is>
      </c>
      <c r="F764" s="15" t="inlineStr">
        <is>
          <t>0.6/1 KV 4*25</t>
        </is>
      </c>
      <c r="G764" s="15" t="inlineStr">
        <is>
          <t>EX13</t>
        </is>
      </c>
      <c r="H764" s="15" t="inlineStr">
        <is>
          <t>Wooden Drums</t>
        </is>
      </c>
      <c r="I764" s="15" t="inlineStr">
        <is>
          <t>OK</t>
        </is>
      </c>
      <c r="J764" s="15" t="inlineStr">
        <is>
          <t>A</t>
        </is>
      </c>
      <c r="K764" s="15" t="inlineStr">
        <is>
          <t>N</t>
        </is>
      </c>
      <c r="L764" s="15" t="n">
        <v>2025</v>
      </c>
      <c r="M764" s="16" t="n">
        <v>0.5224500000000001</v>
      </c>
      <c r="N764" s="16" t="n">
        <v>0</v>
      </c>
      <c r="O764" s="16" t="n">
        <v>0</v>
      </c>
      <c r="P764" s="16" t="n">
        <v>0.5224500000000001</v>
      </c>
      <c r="Q764">
        <f>--($A764=IF('الداشبورد'!$B$5="الكل",$A764,'الداشبورد'!$B$5))</f>
        <v/>
      </c>
      <c r="R764">
        <f>--($E764=IF('الداشبورد'!$B$6="الكل",$E764,'الداشبورد'!$B$6))</f>
        <v/>
      </c>
      <c r="S764">
        <f>--($K764=IF('الداشبورد'!$B$7="الكل",$K764,IF('الداشبورد'!$B$7="تصدير","Y","N")))</f>
        <v/>
      </c>
      <c r="T764">
        <f>--($J764=IF('الداشبورد'!$B$8="الكل",$J764,IF('الداشبورد'!$B$8="AL","A","C")))</f>
        <v/>
      </c>
      <c r="U764">
        <f>--($I764=IF('الداشبورد'!$B$9="الكل",$I764,IF('الداشبورد'!$B$9="بدون حالة","P",'الداشبورد'!$B$9)))</f>
        <v/>
      </c>
      <c r="V764">
        <f>--($D764=IF('الداشبورد'!$B$10="الكل",$D764,'الداشبورد'!$B$10))</f>
        <v/>
      </c>
      <c r="W764">
        <f>--($G764=IF('الداشبورد'!$B$11="الكل",$G764,'الداشبورد'!$B$11))</f>
        <v/>
      </c>
      <c r="X764">
        <f>Q764*R764*S764*T764*U764*V764*W764*--($C764&lt;&gt;"")</f>
        <v/>
      </c>
    </row>
    <row r="765">
      <c r="A765" s="15" t="n">
        <v>6</v>
      </c>
      <c r="B765" s="15" t="inlineStr">
        <is>
          <t>J184753</t>
        </is>
      </c>
      <c r="C765" s="15" t="inlineStr">
        <is>
          <t>1777/26/03</t>
        </is>
      </c>
      <c r="D765" s="15" t="inlineStr">
        <is>
          <t>Faber Kabel</t>
        </is>
      </c>
      <c r="E765" s="15" t="inlineStr">
        <is>
          <t>LV</t>
        </is>
      </c>
      <c r="F765" s="15" t="inlineStr">
        <is>
          <t>0.6/1 KV 1X95</t>
        </is>
      </c>
      <c r="G765" s="15" t="inlineStr">
        <is>
          <t>EX09</t>
        </is>
      </c>
      <c r="H765" s="15" t="inlineStr">
        <is>
          <t>Wooden Drums</t>
        </is>
      </c>
      <c r="I765" s="15" t="inlineStr">
        <is>
          <t>OK</t>
        </is>
      </c>
      <c r="J765" s="15" t="inlineStr">
        <is>
          <t>A</t>
        </is>
      </c>
      <c r="K765" s="15" t="inlineStr">
        <is>
          <t>Y</t>
        </is>
      </c>
      <c r="L765" s="15" t="n">
        <v>3069</v>
      </c>
      <c r="M765" s="16" t="n">
        <v>0.7519049999999999</v>
      </c>
      <c r="N765" s="16" t="n">
        <v>0</v>
      </c>
      <c r="O765" s="16" t="n">
        <v>0</v>
      </c>
      <c r="P765" s="16" t="n">
        <v>0.7519049999999999</v>
      </c>
      <c r="Q765">
        <f>--($A765=IF('الداشبورد'!$B$5="الكل",$A765,'الداشبورد'!$B$5))</f>
        <v/>
      </c>
      <c r="R765">
        <f>--($E765=IF('الداشبورد'!$B$6="الكل",$E765,'الداشبورد'!$B$6))</f>
        <v/>
      </c>
      <c r="S765">
        <f>--($K765=IF('الداشبورد'!$B$7="الكل",$K765,IF('الداشبورد'!$B$7="تصدير","Y","N")))</f>
        <v/>
      </c>
      <c r="T765">
        <f>--($J765=IF('الداشبورد'!$B$8="الكل",$J765,IF('الداشبورد'!$B$8="AL","A","C")))</f>
        <v/>
      </c>
      <c r="U765">
        <f>--($I765=IF('الداشبورد'!$B$9="الكل",$I765,IF('الداشبورد'!$B$9="بدون حالة","P",'الداشبورد'!$B$9)))</f>
        <v/>
      </c>
      <c r="V765">
        <f>--($D765=IF('الداشبورد'!$B$10="الكل",$D765,'الداشبورد'!$B$10))</f>
        <v/>
      </c>
      <c r="W765">
        <f>--($G765=IF('الداشبورد'!$B$11="الكل",$G765,'الداشبورد'!$B$11))</f>
        <v/>
      </c>
      <c r="X765">
        <f>Q765*R765*S765*T765*U765*V765*W765*--($C765&lt;&gt;"")</f>
        <v/>
      </c>
    </row>
    <row r="766">
      <c r="A766" s="15" t="n">
        <v>6</v>
      </c>
      <c r="B766" s="15" t="inlineStr">
        <is>
          <t>J184752</t>
        </is>
      </c>
      <c r="C766" s="15" t="inlineStr">
        <is>
          <t>1777/26/03</t>
        </is>
      </c>
      <c r="D766" s="15" t="inlineStr">
        <is>
          <t>Faber Kabel</t>
        </is>
      </c>
      <c r="E766" s="15" t="inlineStr">
        <is>
          <t>LV</t>
        </is>
      </c>
      <c r="F766" s="15" t="inlineStr">
        <is>
          <t>0.6/1 KV 1X95</t>
        </is>
      </c>
      <c r="G766" s="15" t="inlineStr">
        <is>
          <t>EX09</t>
        </is>
      </c>
      <c r="H766" s="15" t="inlineStr">
        <is>
          <t>Wooden Drums</t>
        </is>
      </c>
      <c r="I766" s="15" t="inlineStr">
        <is>
          <t>OK</t>
        </is>
      </c>
      <c r="J766" s="15" t="inlineStr">
        <is>
          <t>A</t>
        </is>
      </c>
      <c r="K766" s="15" t="inlineStr">
        <is>
          <t>Y</t>
        </is>
      </c>
      <c r="L766" s="15" t="n">
        <v>3136</v>
      </c>
      <c r="M766" s="16" t="n">
        <v>0.7683199999999999</v>
      </c>
      <c r="N766" s="16" t="n">
        <v>0</v>
      </c>
      <c r="O766" s="16" t="n">
        <v>0</v>
      </c>
      <c r="P766" s="16" t="n">
        <v>0.7683199999999999</v>
      </c>
      <c r="Q766">
        <f>--($A766=IF('الداشبورد'!$B$5="الكل",$A766,'الداشبورد'!$B$5))</f>
        <v/>
      </c>
      <c r="R766">
        <f>--($E766=IF('الداشبورد'!$B$6="الكل",$E766,'الداشبورد'!$B$6))</f>
        <v/>
      </c>
      <c r="S766">
        <f>--($K766=IF('الداشبورد'!$B$7="الكل",$K766,IF('الداشبورد'!$B$7="تصدير","Y","N")))</f>
        <v/>
      </c>
      <c r="T766">
        <f>--($J766=IF('الداشبورد'!$B$8="الكل",$J766,IF('الداشبورد'!$B$8="AL","A","C")))</f>
        <v/>
      </c>
      <c r="U766">
        <f>--($I766=IF('الداشبورد'!$B$9="الكل",$I766,IF('الداشبورد'!$B$9="بدون حالة","P",'الداشبورد'!$B$9)))</f>
        <v/>
      </c>
      <c r="V766">
        <f>--($D766=IF('الداشبورد'!$B$10="الكل",$D766,'الداشبورد'!$B$10))</f>
        <v/>
      </c>
      <c r="W766">
        <f>--($G766=IF('الداشبورد'!$B$11="الكل",$G766,'الداشبورد'!$B$11))</f>
        <v/>
      </c>
      <c r="X766">
        <f>Q766*R766*S766*T766*U766*V766*W766*--($C766&lt;&gt;"")</f>
        <v/>
      </c>
    </row>
    <row r="767">
      <c r="A767" s="15" t="n">
        <v>7</v>
      </c>
      <c r="B767" s="15" t="inlineStr">
        <is>
          <t>R185004</t>
        </is>
      </c>
      <c r="C767" s="15" t="inlineStr">
        <is>
          <t>1237/26/02</t>
        </is>
      </c>
      <c r="D767" s="15" t="inlineStr">
        <is>
          <t>Al Jawad- Cote D'ivoire</t>
        </is>
      </c>
      <c r="E767" s="15" t="inlineStr">
        <is>
          <t>MV</t>
        </is>
      </c>
      <c r="F767" s="15" t="inlineStr">
        <is>
          <t>18/30KV 3*1*240</t>
        </is>
      </c>
      <c r="G767" s="15" t="inlineStr">
        <is>
          <t>CT03</t>
        </is>
      </c>
      <c r="H767" s="15" t="inlineStr">
        <is>
          <t>Wooden Drums</t>
        </is>
      </c>
      <c r="I767" s="15" t="inlineStr">
        <is>
          <t>OK</t>
        </is>
      </c>
      <c r="J767" s="15" t="inlineStr">
        <is>
          <t>A</t>
        </is>
      </c>
      <c r="K767" s="15" t="inlineStr">
        <is>
          <t>Y</t>
        </is>
      </c>
      <c r="L767" s="15" t="n">
        <v>605</v>
      </c>
      <c r="M767" s="16" t="n">
        <v>1.131955</v>
      </c>
      <c r="N767" s="16" t="n">
        <v>0</v>
      </c>
      <c r="O767" s="16" t="n">
        <v>0</v>
      </c>
      <c r="P767" s="16" t="n">
        <v>1.131955</v>
      </c>
      <c r="Q767">
        <f>--($A767=IF('الداشبورد'!$B$5="الكل",$A767,'الداشبورد'!$B$5))</f>
        <v/>
      </c>
      <c r="R767">
        <f>--($E767=IF('الداشبورد'!$B$6="الكل",$E767,'الداشبورد'!$B$6))</f>
        <v/>
      </c>
      <c r="S767">
        <f>--($K767=IF('الداشبورد'!$B$7="الكل",$K767,IF('الداشبورد'!$B$7="تصدير","Y","N")))</f>
        <v/>
      </c>
      <c r="T767">
        <f>--($J767=IF('الداشبورد'!$B$8="الكل",$J767,IF('الداشبورد'!$B$8="AL","A","C")))</f>
        <v/>
      </c>
      <c r="U767">
        <f>--($I767=IF('الداشبورد'!$B$9="الكل",$I767,IF('الداشبورد'!$B$9="بدون حالة","P",'الداشبورد'!$B$9)))</f>
        <v/>
      </c>
      <c r="V767">
        <f>--($D767=IF('الداشبورد'!$B$10="الكل",$D767,'الداشبورد'!$B$10))</f>
        <v/>
      </c>
      <c r="W767">
        <f>--($G767=IF('الداشبورد'!$B$11="الكل",$G767,'الداشبورد'!$B$11))</f>
        <v/>
      </c>
      <c r="X767">
        <f>Q767*R767*S767*T767*U767*V767*W767*--($C767&lt;&gt;"")</f>
        <v/>
      </c>
    </row>
    <row r="768">
      <c r="A768" s="15" t="n">
        <v>7</v>
      </c>
      <c r="B768" s="15" t="inlineStr">
        <is>
          <t>R185019</t>
        </is>
      </c>
      <c r="C768" s="15" t="inlineStr">
        <is>
          <t>1237/26/02</t>
        </is>
      </c>
      <c r="D768" s="15" t="inlineStr">
        <is>
          <t>Al Jawad- Cote D'ivoire</t>
        </is>
      </c>
      <c r="E768" s="15" t="inlineStr">
        <is>
          <t>MV</t>
        </is>
      </c>
      <c r="F768" s="15" t="inlineStr">
        <is>
          <t>18/30KV 3*1*240</t>
        </is>
      </c>
      <c r="G768" s="15" t="inlineStr">
        <is>
          <t>CT03</t>
        </is>
      </c>
      <c r="H768" s="15" t="inlineStr">
        <is>
          <t>Wooden Drums</t>
        </is>
      </c>
      <c r="I768" s="15" t="inlineStr">
        <is>
          <t>OK</t>
        </is>
      </c>
      <c r="J768" s="15" t="inlineStr">
        <is>
          <t>A</t>
        </is>
      </c>
      <c r="K768" s="15" t="inlineStr">
        <is>
          <t>Y</t>
        </is>
      </c>
      <c r="L768" s="15" t="n">
        <v>606</v>
      </c>
      <c r="M768" s="16" t="n">
        <v>1.133826</v>
      </c>
      <c r="N768" s="16" t="n">
        <v>0</v>
      </c>
      <c r="O768" s="16" t="n">
        <v>0</v>
      </c>
      <c r="P768" s="16" t="n">
        <v>1.133826</v>
      </c>
      <c r="Q768">
        <f>--($A768=IF('الداشبورد'!$B$5="الكل",$A768,'الداشبورد'!$B$5))</f>
        <v/>
      </c>
      <c r="R768">
        <f>--($E768=IF('الداشبورد'!$B$6="الكل",$E768,'الداشبورد'!$B$6))</f>
        <v/>
      </c>
      <c r="S768">
        <f>--($K768=IF('الداشبورد'!$B$7="الكل",$K768,IF('الداشبورد'!$B$7="تصدير","Y","N")))</f>
        <v/>
      </c>
      <c r="T768">
        <f>--($J768=IF('الداشبورد'!$B$8="الكل",$J768,IF('الداشبورد'!$B$8="AL","A","C")))</f>
        <v/>
      </c>
      <c r="U768">
        <f>--($I768=IF('الداشبورد'!$B$9="الكل",$I768,IF('الداشبورد'!$B$9="بدون حالة","P",'الداشبورد'!$B$9)))</f>
        <v/>
      </c>
      <c r="V768">
        <f>--($D768=IF('الداشبورد'!$B$10="الكل",$D768,'الداشبورد'!$B$10))</f>
        <v/>
      </c>
      <c r="W768">
        <f>--($G768=IF('الداشبورد'!$B$11="الكل",$G768,'الداشبورد'!$B$11))</f>
        <v/>
      </c>
      <c r="X768">
        <f>Q768*R768*S768*T768*U768*V768*W768*--($C768&lt;&gt;"")</f>
        <v/>
      </c>
    </row>
    <row r="769">
      <c r="A769" s="15" t="n">
        <v>7</v>
      </c>
      <c r="B769" s="15" t="inlineStr">
        <is>
          <t>R185018</t>
        </is>
      </c>
      <c r="C769" s="15" t="inlineStr">
        <is>
          <t>1237/26/02</t>
        </is>
      </c>
      <c r="D769" s="15" t="inlineStr">
        <is>
          <t>Al Jawad- Cote D'ivoire</t>
        </is>
      </c>
      <c r="E769" s="15" t="inlineStr">
        <is>
          <t>MV</t>
        </is>
      </c>
      <c r="F769" s="15" t="inlineStr">
        <is>
          <t>18/30KV 3*1*240</t>
        </is>
      </c>
      <c r="G769" s="15" t="inlineStr">
        <is>
          <t>CT03</t>
        </is>
      </c>
      <c r="H769" s="15" t="inlineStr">
        <is>
          <t>Wooden Drums</t>
        </is>
      </c>
      <c r="I769" s="15" t="inlineStr">
        <is>
          <t>OK</t>
        </is>
      </c>
      <c r="J769" s="15" t="inlineStr">
        <is>
          <t>A</t>
        </is>
      </c>
      <c r="K769" s="15" t="inlineStr">
        <is>
          <t>Y</t>
        </is>
      </c>
      <c r="L769" s="15" t="n">
        <v>605</v>
      </c>
      <c r="M769" s="16" t="n">
        <v>1.131955</v>
      </c>
      <c r="N769" s="16" t="n">
        <v>0</v>
      </c>
      <c r="O769" s="16" t="n">
        <v>0</v>
      </c>
      <c r="P769" s="16" t="n">
        <v>1.131955</v>
      </c>
      <c r="Q769">
        <f>--($A769=IF('الداشبورد'!$B$5="الكل",$A769,'الداشبورد'!$B$5))</f>
        <v/>
      </c>
      <c r="R769">
        <f>--($E769=IF('الداشبورد'!$B$6="الكل",$E769,'الداشبورد'!$B$6))</f>
        <v/>
      </c>
      <c r="S769">
        <f>--($K769=IF('الداشبورد'!$B$7="الكل",$K769,IF('الداشبورد'!$B$7="تصدير","Y","N")))</f>
        <v/>
      </c>
      <c r="T769">
        <f>--($J769=IF('الداشبورد'!$B$8="الكل",$J769,IF('الداشبورد'!$B$8="AL","A","C")))</f>
        <v/>
      </c>
      <c r="U769">
        <f>--($I769=IF('الداشبورد'!$B$9="الكل",$I769,IF('الداشبورد'!$B$9="بدون حالة","P",'الداشبورد'!$B$9)))</f>
        <v/>
      </c>
      <c r="V769">
        <f>--($D769=IF('الداشبورد'!$B$10="الكل",$D769,'الداشبورد'!$B$10))</f>
        <v/>
      </c>
      <c r="W769">
        <f>--($G769=IF('الداشبورد'!$B$11="الكل",$G769,'الداشبورد'!$B$11))</f>
        <v/>
      </c>
      <c r="X769">
        <f>Q769*R769*S769*T769*U769*V769*W769*--($C769&lt;&gt;"")</f>
        <v/>
      </c>
    </row>
    <row r="770">
      <c r="A770" s="15" t="n">
        <v>7</v>
      </c>
      <c r="B770" s="15" t="inlineStr">
        <is>
          <t>R185017</t>
        </is>
      </c>
      <c r="C770" s="15" t="inlineStr">
        <is>
          <t>1237/26/02</t>
        </is>
      </c>
      <c r="D770" s="15" t="inlineStr">
        <is>
          <t>Al Jawad- Cote D'ivoire</t>
        </is>
      </c>
      <c r="E770" s="15" t="inlineStr">
        <is>
          <t>MV</t>
        </is>
      </c>
      <c r="F770" s="15" t="inlineStr">
        <is>
          <t>18/30KV 3*1*240</t>
        </is>
      </c>
      <c r="G770" s="15" t="inlineStr">
        <is>
          <t>CT03</t>
        </is>
      </c>
      <c r="H770" s="15" t="inlineStr">
        <is>
          <t>Wooden Drums</t>
        </is>
      </c>
      <c r="I770" s="15" t="inlineStr">
        <is>
          <t>OK</t>
        </is>
      </c>
      <c r="J770" s="15" t="inlineStr">
        <is>
          <t>A</t>
        </is>
      </c>
      <c r="K770" s="15" t="inlineStr">
        <is>
          <t>Y</t>
        </is>
      </c>
      <c r="L770" s="15" t="n">
        <v>630</v>
      </c>
      <c r="M770" s="16" t="n">
        <v>1.17873</v>
      </c>
      <c r="N770" s="16" t="n">
        <v>0</v>
      </c>
      <c r="O770" s="16" t="n">
        <v>0</v>
      </c>
      <c r="P770" s="16" t="n">
        <v>1.17873</v>
      </c>
      <c r="Q770">
        <f>--($A770=IF('الداشبورد'!$B$5="الكل",$A770,'الداشبورد'!$B$5))</f>
        <v/>
      </c>
      <c r="R770">
        <f>--($E770=IF('الداشبورد'!$B$6="الكل",$E770,'الداشبورد'!$B$6))</f>
        <v/>
      </c>
      <c r="S770">
        <f>--($K770=IF('الداشبورد'!$B$7="الكل",$K770,IF('الداشبورد'!$B$7="تصدير","Y","N")))</f>
        <v/>
      </c>
      <c r="T770">
        <f>--($J770=IF('الداشبورد'!$B$8="الكل",$J770,IF('الداشبورد'!$B$8="AL","A","C")))</f>
        <v/>
      </c>
      <c r="U770">
        <f>--($I770=IF('الداشبورد'!$B$9="الكل",$I770,IF('الداشبورد'!$B$9="بدون حالة","P",'الداشبورد'!$B$9)))</f>
        <v/>
      </c>
      <c r="V770">
        <f>--($D770=IF('الداشبورد'!$B$10="الكل",$D770,'الداشبورد'!$B$10))</f>
        <v/>
      </c>
      <c r="W770">
        <f>--($G770=IF('الداشبورد'!$B$11="الكل",$G770,'الداشبورد'!$B$11))</f>
        <v/>
      </c>
      <c r="X770">
        <f>Q770*R770*S770*T770*U770*V770*W770*--($C770&lt;&gt;"")</f>
        <v/>
      </c>
    </row>
    <row r="771">
      <c r="A771" s="15" t="n">
        <v>3</v>
      </c>
      <c r="B771" s="15" t="inlineStr">
        <is>
          <t>E-34</t>
        </is>
      </c>
      <c r="C771" s="15" t="inlineStr">
        <is>
          <t>1385/26/11</t>
        </is>
      </c>
      <c r="D771" s="15" t="inlineStr">
        <is>
          <t>الشركة العربية للصناعة والتجارة الدولية</t>
        </is>
      </c>
      <c r="E771" s="15" t="inlineStr">
        <is>
          <t>LV</t>
        </is>
      </c>
      <c r="F771" s="15" t="inlineStr">
        <is>
          <t>0.6/1 KV 4*25</t>
        </is>
      </c>
      <c r="G771" s="15" t="inlineStr">
        <is>
          <t>EX04</t>
        </is>
      </c>
      <c r="H771" s="15" t="inlineStr">
        <is>
          <t>Wooden Drums</t>
        </is>
      </c>
      <c r="I771" s="15" t="inlineStr">
        <is>
          <t>Hold</t>
        </is>
      </c>
      <c r="J771" s="15" t="inlineStr">
        <is>
          <t>A</t>
        </is>
      </c>
      <c r="K771" s="15" t="inlineStr">
        <is>
          <t>N</t>
        </is>
      </c>
      <c r="L771" s="15" t="n">
        <v>2040</v>
      </c>
      <c r="M771" s="16" t="n">
        <v>0.52632</v>
      </c>
      <c r="N771" s="16" t="n">
        <v>0</v>
      </c>
      <c r="O771" s="16" t="n">
        <v>0</v>
      </c>
      <c r="P771" s="16" t="n">
        <v>0.52632</v>
      </c>
      <c r="Q771">
        <f>--($A771=IF('الداشبورد'!$B$5="الكل",$A771,'الداشبورد'!$B$5))</f>
        <v/>
      </c>
      <c r="R771">
        <f>--($E771=IF('الداشبورد'!$B$6="الكل",$E771,'الداشبورد'!$B$6))</f>
        <v/>
      </c>
      <c r="S771">
        <f>--($K771=IF('الداشبورد'!$B$7="الكل",$K771,IF('الداشبورد'!$B$7="تصدير","Y","N")))</f>
        <v/>
      </c>
      <c r="T771">
        <f>--($J771=IF('الداشبورد'!$B$8="الكل",$J771,IF('الداشبورد'!$B$8="AL","A","C")))</f>
        <v/>
      </c>
      <c r="U771">
        <f>--($I771=IF('الداشبورد'!$B$9="الكل",$I771,IF('الداشبورد'!$B$9="بدون حالة","P",'الداشبورد'!$B$9)))</f>
        <v/>
      </c>
      <c r="V771">
        <f>--($D771=IF('الداشبورد'!$B$10="الكل",$D771,'الداشبورد'!$B$10))</f>
        <v/>
      </c>
      <c r="W771">
        <f>--($G771=IF('الداشبورد'!$B$11="الكل",$G771,'الداشبورد'!$B$11))</f>
        <v/>
      </c>
      <c r="X771">
        <f>Q771*R771*S771*T771*U771*V771*W771*--($C771&lt;&gt;"")</f>
        <v/>
      </c>
    </row>
    <row r="772">
      <c r="A772" s="15" t="n">
        <v>7</v>
      </c>
      <c r="B772" s="15" t="inlineStr">
        <is>
          <t>E184979</t>
        </is>
      </c>
      <c r="C772" s="15" t="inlineStr">
        <is>
          <t>1501/26/01</t>
        </is>
      </c>
      <c r="D772" s="15" t="inlineStr">
        <is>
          <t>Eland Cables</t>
        </is>
      </c>
      <c r="E772" s="15" t="inlineStr">
        <is>
          <t>LV</t>
        </is>
      </c>
      <c r="F772" s="15" t="inlineStr">
        <is>
          <t>1.9/3.3KV 1*240/70</t>
        </is>
      </c>
      <c r="G772" s="15" t="inlineStr">
        <is>
          <t>EX03</t>
        </is>
      </c>
      <c r="H772" s="15" t="inlineStr">
        <is>
          <t>Wooden Drums</t>
        </is>
      </c>
      <c r="I772" s="15" t="inlineStr">
        <is>
          <t>OK</t>
        </is>
      </c>
      <c r="J772" s="15" t="inlineStr">
        <is>
          <t>C</t>
        </is>
      </c>
      <c r="K772" s="15" t="inlineStr">
        <is>
          <t>Y</t>
        </is>
      </c>
      <c r="L772" s="15" t="n">
        <v>189</v>
      </c>
      <c r="M772" s="16" t="n">
        <v>0.397278</v>
      </c>
      <c r="N772" s="16" t="n">
        <v>0.131922</v>
      </c>
      <c r="O772" s="16" t="n">
        <v>0</v>
      </c>
      <c r="P772" s="16" t="n">
        <v>0.5291999999999999</v>
      </c>
      <c r="Q772">
        <f>--($A772=IF('الداشبورد'!$B$5="الكل",$A772,'الداشبورد'!$B$5))</f>
        <v/>
      </c>
      <c r="R772">
        <f>--($E772=IF('الداشبورد'!$B$6="الكل",$E772,'الداشبورد'!$B$6))</f>
        <v/>
      </c>
      <c r="S772">
        <f>--($K772=IF('الداشبورد'!$B$7="الكل",$K772,IF('الداشبورد'!$B$7="تصدير","Y","N")))</f>
        <v/>
      </c>
      <c r="T772">
        <f>--($J772=IF('الداشبورد'!$B$8="الكل",$J772,IF('الداشبورد'!$B$8="AL","A","C")))</f>
        <v/>
      </c>
      <c r="U772">
        <f>--($I772=IF('الداشبورد'!$B$9="الكل",$I772,IF('الداشبورد'!$B$9="بدون حالة","P",'الداشبورد'!$B$9)))</f>
        <v/>
      </c>
      <c r="V772">
        <f>--($D772=IF('الداشبورد'!$B$10="الكل",$D772,'الداشبورد'!$B$10))</f>
        <v/>
      </c>
      <c r="W772">
        <f>--($G772=IF('الداشبورد'!$B$11="الكل",$G772,'الداشبورد'!$B$11))</f>
        <v/>
      </c>
      <c r="X772">
        <f>Q772*R772*S772*T772*U772*V772*W772*--($C772&lt;&gt;"")</f>
        <v/>
      </c>
    </row>
    <row r="773">
      <c r="A773" s="15" t="n">
        <v>7</v>
      </c>
      <c r="B773" s="15" t="inlineStr">
        <is>
          <t>Z185002</t>
        </is>
      </c>
      <c r="C773" s="15" t="inlineStr">
        <is>
          <t>803/26/01</t>
        </is>
      </c>
      <c r="D773" s="15" t="inlineStr">
        <is>
          <t>الشركة العربية للصناعة والتجارة الدولية</t>
        </is>
      </c>
      <c r="E773" s="15" t="inlineStr">
        <is>
          <t>MV</t>
        </is>
      </c>
      <c r="F773" s="15" t="inlineStr">
        <is>
          <t>18 / 30 KV 3 X 400 MM</t>
        </is>
      </c>
      <c r="G773" s="15" t="inlineStr">
        <is>
          <t>EX04</t>
        </is>
      </c>
      <c r="H773" s="15" t="inlineStr">
        <is>
          <t>Wooden Drums</t>
        </is>
      </c>
      <c r="I773" s="15" t="inlineStr">
        <is>
          <t>OK</t>
        </is>
      </c>
      <c r="J773" s="15" t="inlineStr">
        <is>
          <t>A</t>
        </is>
      </c>
      <c r="K773" s="15" t="inlineStr">
        <is>
          <t>N</t>
        </is>
      </c>
      <c r="L773" s="15" t="n">
        <v>402</v>
      </c>
      <c r="M773" s="16" t="n">
        <v>1.232532</v>
      </c>
      <c r="N773" s="16" t="n">
        <v>0</v>
      </c>
      <c r="O773" s="16" t="n">
        <v>0</v>
      </c>
      <c r="P773" s="16" t="n">
        <v>1.232532</v>
      </c>
      <c r="Q773">
        <f>--($A773=IF('الداشبورد'!$B$5="الكل",$A773,'الداشبورد'!$B$5))</f>
        <v/>
      </c>
      <c r="R773">
        <f>--($E773=IF('الداشبورد'!$B$6="الكل",$E773,'الداشبورد'!$B$6))</f>
        <v/>
      </c>
      <c r="S773">
        <f>--($K773=IF('الداشبورد'!$B$7="الكل",$K773,IF('الداشبورد'!$B$7="تصدير","Y","N")))</f>
        <v/>
      </c>
      <c r="T773">
        <f>--($J773=IF('الداشبورد'!$B$8="الكل",$J773,IF('الداشبورد'!$B$8="AL","A","C")))</f>
        <v/>
      </c>
      <c r="U773">
        <f>--($I773=IF('الداشبورد'!$B$9="الكل",$I773,IF('الداشبورد'!$B$9="بدون حالة","P",'الداشبورد'!$B$9)))</f>
        <v/>
      </c>
      <c r="V773">
        <f>--($D773=IF('الداشبورد'!$B$10="الكل",$D773,'الداشبورد'!$B$10))</f>
        <v/>
      </c>
      <c r="W773">
        <f>--($G773=IF('الداشبورد'!$B$11="الكل",$G773,'الداشبورد'!$B$11))</f>
        <v/>
      </c>
      <c r="X773">
        <f>Q773*R773*S773*T773*U773*V773*W773*--($C773&lt;&gt;"")</f>
        <v/>
      </c>
    </row>
    <row r="774">
      <c r="A774" s="15" t="n">
        <v>7</v>
      </c>
      <c r="B774" s="15" t="inlineStr">
        <is>
          <t>Z184999</t>
        </is>
      </c>
      <c r="C774" s="15" t="inlineStr">
        <is>
          <t>803/26/01</t>
        </is>
      </c>
      <c r="D774" s="15" t="inlineStr">
        <is>
          <t>الشركة العربية للصناعة والتجارة الدولية</t>
        </is>
      </c>
      <c r="E774" s="15" t="inlineStr">
        <is>
          <t>MV</t>
        </is>
      </c>
      <c r="F774" s="15" t="inlineStr">
        <is>
          <t>18 / 30 KV 3 X 400 MM</t>
        </is>
      </c>
      <c r="G774" s="15" t="inlineStr">
        <is>
          <t>EX04</t>
        </is>
      </c>
      <c r="H774" s="15" t="inlineStr">
        <is>
          <t>Wooden Drums</t>
        </is>
      </c>
      <c r="I774" s="15" t="inlineStr">
        <is>
          <t>OK</t>
        </is>
      </c>
      <c r="J774" s="15" t="inlineStr">
        <is>
          <t>A</t>
        </is>
      </c>
      <c r="K774" s="15" t="inlineStr">
        <is>
          <t>N</t>
        </is>
      </c>
      <c r="L774" s="15" t="n">
        <v>394</v>
      </c>
      <c r="M774" s="16" t="n">
        <v>1.208004</v>
      </c>
      <c r="N774" s="16" t="n">
        <v>0</v>
      </c>
      <c r="O774" s="16" t="n">
        <v>0</v>
      </c>
      <c r="P774" s="16" t="n">
        <v>1.208004</v>
      </c>
      <c r="Q774">
        <f>--($A774=IF('الداشبورد'!$B$5="الكل",$A774,'الداشبورد'!$B$5))</f>
        <v/>
      </c>
      <c r="R774">
        <f>--($E774=IF('الداشبورد'!$B$6="الكل",$E774,'الداشبورد'!$B$6))</f>
        <v/>
      </c>
      <c r="S774">
        <f>--($K774=IF('الداشبورد'!$B$7="الكل",$K774,IF('الداشبورد'!$B$7="تصدير","Y","N")))</f>
        <v/>
      </c>
      <c r="T774">
        <f>--($J774=IF('الداشبورد'!$B$8="الكل",$J774,IF('الداشبورد'!$B$8="AL","A","C")))</f>
        <v/>
      </c>
      <c r="U774">
        <f>--($I774=IF('الداشبورد'!$B$9="الكل",$I774,IF('الداشبورد'!$B$9="بدون حالة","P",'الداشبورد'!$B$9)))</f>
        <v/>
      </c>
      <c r="V774">
        <f>--($D774=IF('الداشبورد'!$B$10="الكل",$D774,'الداشبورد'!$B$10))</f>
        <v/>
      </c>
      <c r="W774">
        <f>--($G774=IF('الداشبورد'!$B$11="الكل",$G774,'الداشبورد'!$B$11))</f>
        <v/>
      </c>
      <c r="X774">
        <f>Q774*R774*S774*T774*U774*V774*W774*--($C774&lt;&gt;"")</f>
        <v/>
      </c>
    </row>
    <row r="775">
      <c r="A775" s="15" t="n">
        <v>7</v>
      </c>
      <c r="B775" s="15" t="inlineStr">
        <is>
          <t>Z184928</t>
        </is>
      </c>
      <c r="C775" s="15" t="inlineStr">
        <is>
          <t>803/26/01</t>
        </is>
      </c>
      <c r="D775" s="15" t="inlineStr">
        <is>
          <t>الشركة العربية للصناعة والتجارة الدولية</t>
        </is>
      </c>
      <c r="E775" s="15" t="inlineStr">
        <is>
          <t>MV</t>
        </is>
      </c>
      <c r="F775" s="15" t="inlineStr">
        <is>
          <t>18 / 30 KV 3 X 400 MM</t>
        </is>
      </c>
      <c r="G775" s="15" t="inlineStr">
        <is>
          <t>EX04</t>
        </is>
      </c>
      <c r="H775" s="15" t="inlineStr">
        <is>
          <t>Wooden Drums</t>
        </is>
      </c>
      <c r="I775" s="15" t="inlineStr">
        <is>
          <t>OK</t>
        </is>
      </c>
      <c r="J775" s="15" t="inlineStr">
        <is>
          <t>A</t>
        </is>
      </c>
      <c r="K775" s="15" t="inlineStr">
        <is>
          <t>N</t>
        </is>
      </c>
      <c r="L775" s="15" t="n">
        <v>398</v>
      </c>
      <c r="M775" s="16" t="n">
        <v>1.220268</v>
      </c>
      <c r="N775" s="16" t="n">
        <v>0</v>
      </c>
      <c r="O775" s="16" t="n">
        <v>0</v>
      </c>
      <c r="P775" s="16" t="n">
        <v>1.220268</v>
      </c>
      <c r="Q775">
        <f>--($A775=IF('الداشبورد'!$B$5="الكل",$A775,'الداشبورد'!$B$5))</f>
        <v/>
      </c>
      <c r="R775">
        <f>--($E775=IF('الداشبورد'!$B$6="الكل",$E775,'الداشبورد'!$B$6))</f>
        <v/>
      </c>
      <c r="S775">
        <f>--($K775=IF('الداشبورد'!$B$7="الكل",$K775,IF('الداشبورد'!$B$7="تصدير","Y","N")))</f>
        <v/>
      </c>
      <c r="T775">
        <f>--($J775=IF('الداشبورد'!$B$8="الكل",$J775,IF('الداشبورد'!$B$8="AL","A","C")))</f>
        <v/>
      </c>
      <c r="U775">
        <f>--($I775=IF('الداشبورد'!$B$9="الكل",$I775,IF('الداشبورد'!$B$9="بدون حالة","P",'الداشبورد'!$B$9)))</f>
        <v/>
      </c>
      <c r="V775">
        <f>--($D775=IF('الداشبورد'!$B$10="الكل",$D775,'الداشبورد'!$B$10))</f>
        <v/>
      </c>
      <c r="W775">
        <f>--($G775=IF('الداشبورد'!$B$11="الكل",$G775,'الداشبورد'!$B$11))</f>
        <v/>
      </c>
      <c r="X775">
        <f>Q775*R775*S775*T775*U775*V775*W775*--($C775&lt;&gt;"")</f>
        <v/>
      </c>
    </row>
    <row r="776">
      <c r="A776" s="15" t="n">
        <v>7</v>
      </c>
      <c r="B776" s="15" t="inlineStr">
        <is>
          <t>V184954</t>
        </is>
      </c>
      <c r="C776" s="15" t="inlineStr">
        <is>
          <t>803/26/01</t>
        </is>
      </c>
      <c r="D776" s="15" t="inlineStr">
        <is>
          <t>الشركة العربية للصناعة والتجارة الدولية</t>
        </is>
      </c>
      <c r="E776" s="15" t="inlineStr">
        <is>
          <t>MV</t>
        </is>
      </c>
      <c r="F776" s="15" t="inlineStr">
        <is>
          <t>18 / 30 KV 3 X 400 MM</t>
        </is>
      </c>
      <c r="G776" s="15" t="inlineStr">
        <is>
          <t>EX04</t>
        </is>
      </c>
      <c r="H776" s="15" t="inlineStr">
        <is>
          <t>Wooden Drums</t>
        </is>
      </c>
      <c r="I776" s="15" t="inlineStr">
        <is>
          <t>Hold</t>
        </is>
      </c>
      <c r="J776" s="15" t="inlineStr">
        <is>
          <t>A</t>
        </is>
      </c>
      <c r="K776" s="15" t="inlineStr">
        <is>
          <t>N</t>
        </is>
      </c>
      <c r="L776" s="15" t="n">
        <v>417</v>
      </c>
      <c r="M776" s="16" t="n">
        <v>1.278522</v>
      </c>
      <c r="N776" s="16" t="n">
        <v>0</v>
      </c>
      <c r="O776" s="16" t="n">
        <v>0</v>
      </c>
      <c r="P776" s="16" t="n">
        <v>1.278522</v>
      </c>
      <c r="Q776">
        <f>--($A776=IF('الداشبورد'!$B$5="الكل",$A776,'الداشبورد'!$B$5))</f>
        <v/>
      </c>
      <c r="R776">
        <f>--($E776=IF('الداشبورد'!$B$6="الكل",$E776,'الداشبورد'!$B$6))</f>
        <v/>
      </c>
      <c r="S776">
        <f>--($K776=IF('الداشبورد'!$B$7="الكل",$K776,IF('الداشبورد'!$B$7="تصدير","Y","N")))</f>
        <v/>
      </c>
      <c r="T776">
        <f>--($J776=IF('الداشبورد'!$B$8="الكل",$J776,IF('الداشبورد'!$B$8="AL","A","C")))</f>
        <v/>
      </c>
      <c r="U776">
        <f>--($I776=IF('الداشبورد'!$B$9="الكل",$I776,IF('الداشبورد'!$B$9="بدون حالة","P",'الداشبورد'!$B$9)))</f>
        <v/>
      </c>
      <c r="V776">
        <f>--($D776=IF('الداشبورد'!$B$10="الكل",$D776,'الداشبورد'!$B$10))</f>
        <v/>
      </c>
      <c r="W776">
        <f>--($G776=IF('الداشبورد'!$B$11="الكل",$G776,'الداشبورد'!$B$11))</f>
        <v/>
      </c>
      <c r="X776">
        <f>Q776*R776*S776*T776*U776*V776*W776*--($C776&lt;&gt;"")</f>
        <v/>
      </c>
    </row>
    <row r="777">
      <c r="A777" s="15" t="n">
        <v>7</v>
      </c>
      <c r="B777" s="15" t="inlineStr">
        <is>
          <t>V184974</t>
        </is>
      </c>
      <c r="C777" s="15" t="inlineStr">
        <is>
          <t>803/26/01</t>
        </is>
      </c>
      <c r="D777" s="15" t="inlineStr">
        <is>
          <t>الشركة العربية للصناعة والتجارة الدولية</t>
        </is>
      </c>
      <c r="E777" s="15" t="inlineStr">
        <is>
          <t>MV</t>
        </is>
      </c>
      <c r="F777" s="15" t="inlineStr">
        <is>
          <t>18 / 30 KV 3 X 400 MM</t>
        </is>
      </c>
      <c r="G777" s="15" t="inlineStr">
        <is>
          <t>EX04</t>
        </is>
      </c>
      <c r="H777" s="15" t="inlineStr">
        <is>
          <t>Wooden Drums</t>
        </is>
      </c>
      <c r="I777" s="15" t="inlineStr">
        <is>
          <t>OK</t>
        </is>
      </c>
      <c r="J777" s="15" t="inlineStr">
        <is>
          <t>A</t>
        </is>
      </c>
      <c r="K777" s="15" t="inlineStr">
        <is>
          <t>N</t>
        </is>
      </c>
      <c r="L777" s="15" t="n">
        <v>405</v>
      </c>
      <c r="M777" s="16" t="n">
        <v>1.24173</v>
      </c>
      <c r="N777" s="16" t="n">
        <v>0</v>
      </c>
      <c r="O777" s="16" t="n">
        <v>0</v>
      </c>
      <c r="P777" s="16" t="n">
        <v>1.24173</v>
      </c>
      <c r="Q777">
        <f>--($A777=IF('الداشبورد'!$B$5="الكل",$A777,'الداشبورد'!$B$5))</f>
        <v/>
      </c>
      <c r="R777">
        <f>--($E777=IF('الداشبورد'!$B$6="الكل",$E777,'الداشبورد'!$B$6))</f>
        <v/>
      </c>
      <c r="S777">
        <f>--($K777=IF('الداشبورد'!$B$7="الكل",$K777,IF('الداشبورد'!$B$7="تصدير","Y","N")))</f>
        <v/>
      </c>
      <c r="T777">
        <f>--($J777=IF('الداشبورد'!$B$8="الكل",$J777,IF('الداشبورد'!$B$8="AL","A","C")))</f>
        <v/>
      </c>
      <c r="U777">
        <f>--($I777=IF('الداشبورد'!$B$9="الكل",$I777,IF('الداشبورد'!$B$9="بدون حالة","P",'الداشبورد'!$B$9)))</f>
        <v/>
      </c>
      <c r="V777">
        <f>--($D777=IF('الداشبورد'!$B$10="الكل",$D777,'الداشبورد'!$B$10))</f>
        <v/>
      </c>
      <c r="W777">
        <f>--($G777=IF('الداشبورد'!$B$11="الكل",$G777,'الداشبورد'!$B$11))</f>
        <v/>
      </c>
      <c r="X777">
        <f>Q777*R777*S777*T777*U777*V777*W777*--($C777&lt;&gt;"")</f>
        <v/>
      </c>
    </row>
    <row r="778">
      <c r="A778" s="15" t="n">
        <v>7</v>
      </c>
      <c r="B778" s="15" t="inlineStr">
        <is>
          <t>Z185000</t>
        </is>
      </c>
      <c r="C778" s="15" t="inlineStr">
        <is>
          <t>803/26/01</t>
        </is>
      </c>
      <c r="D778" s="15" t="inlineStr">
        <is>
          <t>الشركة العربية للصناعة والتجارة الدولية</t>
        </is>
      </c>
      <c r="E778" s="15" t="inlineStr">
        <is>
          <t>MV</t>
        </is>
      </c>
      <c r="F778" s="15" t="inlineStr">
        <is>
          <t>18 / 30 KV 3 X 400 MM</t>
        </is>
      </c>
      <c r="G778" s="15" t="inlineStr">
        <is>
          <t>EX04</t>
        </is>
      </c>
      <c r="H778" s="15" t="inlineStr">
        <is>
          <t>Wooden Drums</t>
        </is>
      </c>
      <c r="I778" s="15" t="inlineStr">
        <is>
          <t>OK</t>
        </is>
      </c>
      <c r="J778" s="15" t="inlineStr">
        <is>
          <t>A</t>
        </is>
      </c>
      <c r="K778" s="15" t="inlineStr">
        <is>
          <t>N</t>
        </is>
      </c>
      <c r="L778" s="15" t="n">
        <v>403</v>
      </c>
      <c r="M778" s="16" t="n">
        <v>1.235598</v>
      </c>
      <c r="N778" s="16" t="n">
        <v>0</v>
      </c>
      <c r="O778" s="16" t="n">
        <v>0</v>
      </c>
      <c r="P778" s="16" t="n">
        <v>1.235598</v>
      </c>
      <c r="Q778">
        <f>--($A778=IF('الداشبورد'!$B$5="الكل",$A778,'الداشبورد'!$B$5))</f>
        <v/>
      </c>
      <c r="R778">
        <f>--($E778=IF('الداشبورد'!$B$6="الكل",$E778,'الداشبورد'!$B$6))</f>
        <v/>
      </c>
      <c r="S778">
        <f>--($K778=IF('الداشبورد'!$B$7="الكل",$K778,IF('الداشبورد'!$B$7="تصدير","Y","N")))</f>
        <v/>
      </c>
      <c r="T778">
        <f>--($J778=IF('الداشبورد'!$B$8="الكل",$J778,IF('الداشبورد'!$B$8="AL","A","C")))</f>
        <v/>
      </c>
      <c r="U778">
        <f>--($I778=IF('الداشبورد'!$B$9="الكل",$I778,IF('الداشبورد'!$B$9="بدون حالة","P",'الداشبورد'!$B$9)))</f>
        <v/>
      </c>
      <c r="V778">
        <f>--($D778=IF('الداشبورد'!$B$10="الكل",$D778,'الداشبورد'!$B$10))</f>
        <v/>
      </c>
      <c r="W778">
        <f>--($G778=IF('الداشبورد'!$B$11="الكل",$G778,'الداشبورد'!$B$11))</f>
        <v/>
      </c>
      <c r="X778">
        <f>Q778*R778*S778*T778*U778*V778*W778*--($C778&lt;&gt;"")</f>
        <v/>
      </c>
    </row>
    <row r="779">
      <c r="A779" s="15" t="n">
        <v>7</v>
      </c>
      <c r="B779" s="15" t="inlineStr">
        <is>
          <t>V185029</t>
        </is>
      </c>
      <c r="C779" s="15" t="inlineStr">
        <is>
          <t>803/26/01</t>
        </is>
      </c>
      <c r="D779" s="15" t="inlineStr">
        <is>
          <t>الشركة العربية للصناعة والتجارة الدولية</t>
        </is>
      </c>
      <c r="E779" s="15" t="inlineStr">
        <is>
          <t>MV</t>
        </is>
      </c>
      <c r="F779" s="15" t="inlineStr">
        <is>
          <t>18 / 30 KV 3 X 400 MM</t>
        </is>
      </c>
      <c r="G779" s="15" t="inlineStr">
        <is>
          <t>EX04</t>
        </is>
      </c>
      <c r="H779" s="15" t="inlineStr">
        <is>
          <t>Wooden Drums</t>
        </is>
      </c>
      <c r="I779" s="15" t="inlineStr">
        <is>
          <t>OK</t>
        </is>
      </c>
      <c r="J779" s="15" t="inlineStr">
        <is>
          <t>A</t>
        </is>
      </c>
      <c r="K779" s="15" t="inlineStr">
        <is>
          <t>N</t>
        </is>
      </c>
      <c r="L779" s="15" t="n">
        <v>399</v>
      </c>
      <c r="M779" s="16" t="n">
        <v>1.223334</v>
      </c>
      <c r="N779" s="16" t="n">
        <v>0</v>
      </c>
      <c r="O779" s="16" t="n">
        <v>0</v>
      </c>
      <c r="P779" s="16" t="n">
        <v>1.223334</v>
      </c>
      <c r="Q779">
        <f>--($A779=IF('الداشبورد'!$B$5="الكل",$A779,'الداشبورد'!$B$5))</f>
        <v/>
      </c>
      <c r="R779">
        <f>--($E779=IF('الداشبورد'!$B$6="الكل",$E779,'الداشبورد'!$B$6))</f>
        <v/>
      </c>
      <c r="S779">
        <f>--($K779=IF('الداشبورد'!$B$7="الكل",$K779,IF('الداشبورد'!$B$7="تصدير","Y","N")))</f>
        <v/>
      </c>
      <c r="T779">
        <f>--($J779=IF('الداشبورد'!$B$8="الكل",$J779,IF('الداشبورد'!$B$8="AL","A","C")))</f>
        <v/>
      </c>
      <c r="U779">
        <f>--($I779=IF('الداشبورد'!$B$9="الكل",$I779,IF('الداشبورد'!$B$9="بدون حالة","P",'الداشبورد'!$B$9)))</f>
        <v/>
      </c>
      <c r="V779">
        <f>--($D779=IF('الداشبورد'!$B$10="الكل",$D779,'الداشبورد'!$B$10))</f>
        <v/>
      </c>
      <c r="W779">
        <f>--($G779=IF('الداشبورد'!$B$11="الكل",$G779,'الداشبورد'!$B$11))</f>
        <v/>
      </c>
      <c r="X779">
        <f>Q779*R779*S779*T779*U779*V779*W779*--($C779&lt;&gt;"")</f>
        <v/>
      </c>
    </row>
    <row r="780">
      <c r="A780" s="15" t="n">
        <v>7</v>
      </c>
      <c r="B780" s="15" t="inlineStr">
        <is>
          <t>L184678</t>
        </is>
      </c>
      <c r="C780" s="15" t="inlineStr">
        <is>
          <t>1385/26/01</t>
        </is>
      </c>
      <c r="D780" s="15" t="inlineStr">
        <is>
          <t>الشركة العربية للصناعة والتجارة الدولية</t>
        </is>
      </c>
      <c r="E780" s="15" t="inlineStr">
        <is>
          <t>LV</t>
        </is>
      </c>
      <c r="F780" s="15" t="inlineStr">
        <is>
          <t>0.6/1 KV 3X400+240</t>
        </is>
      </c>
      <c r="G780" s="15" t="inlineStr">
        <is>
          <t>EX13</t>
        </is>
      </c>
      <c r="H780" s="15" t="inlineStr">
        <is>
          <t>Wooden Drums</t>
        </is>
      </c>
      <c r="I780" s="15" t="inlineStr">
        <is>
          <t>OK</t>
        </is>
      </c>
      <c r="J780" s="15" t="inlineStr">
        <is>
          <t>A</t>
        </is>
      </c>
      <c r="K780" s="15" t="inlineStr">
        <is>
          <t>N</t>
        </is>
      </c>
      <c r="L780" s="15" t="n">
        <v>1565</v>
      </c>
      <c r="M780" s="16" t="n">
        <v>5.93448</v>
      </c>
      <c r="N780" s="16" t="n">
        <v>0</v>
      </c>
      <c r="O780" s="16" t="n">
        <v>0</v>
      </c>
      <c r="P780" s="16" t="n">
        <v>5.93448</v>
      </c>
      <c r="Q780">
        <f>--($A780=IF('الداشبورد'!$B$5="الكل",$A780,'الداشبورد'!$B$5))</f>
        <v/>
      </c>
      <c r="R780">
        <f>--($E780=IF('الداشبورد'!$B$6="الكل",$E780,'الداشبورد'!$B$6))</f>
        <v/>
      </c>
      <c r="S780">
        <f>--($K780=IF('الداشبورد'!$B$7="الكل",$K780,IF('الداشبورد'!$B$7="تصدير","Y","N")))</f>
        <v/>
      </c>
      <c r="T780">
        <f>--($J780=IF('الداشبورد'!$B$8="الكل",$J780,IF('الداشبورد'!$B$8="AL","A","C")))</f>
        <v/>
      </c>
      <c r="U780">
        <f>--($I780=IF('الداشبورد'!$B$9="الكل",$I780,IF('الداشبورد'!$B$9="بدون حالة","P",'الداشبورد'!$B$9)))</f>
        <v/>
      </c>
      <c r="V780">
        <f>--($D780=IF('الداشبورد'!$B$10="الكل",$D780,'الداشبورد'!$B$10))</f>
        <v/>
      </c>
      <c r="W780">
        <f>--($G780=IF('الداشبورد'!$B$11="الكل",$G780,'الداشبورد'!$B$11))</f>
        <v/>
      </c>
      <c r="X780">
        <f>Q780*R780*S780*T780*U780*V780*W780*--($C780&lt;&gt;"")</f>
        <v/>
      </c>
    </row>
    <row r="781">
      <c r="A781" s="15" t="n">
        <v>7</v>
      </c>
      <c r="B781" s="15" t="inlineStr">
        <is>
          <t>37938</t>
        </is>
      </c>
      <c r="C781" s="15" t="inlineStr">
        <is>
          <t>1659/26/19</t>
        </is>
      </c>
      <c r="D781" s="15" t="inlineStr">
        <is>
          <t>Energya El Sewedy Helal International Limited – Ke</t>
        </is>
      </c>
      <c r="E781" s="15" t="inlineStr">
        <is>
          <t>CC</t>
        </is>
      </c>
      <c r="F781" s="15" t="inlineStr">
        <is>
          <t>300/500 V 3X2.5</t>
        </is>
      </c>
      <c r="G781" s="15" t="inlineStr">
        <is>
          <t>CO03</t>
        </is>
      </c>
      <c r="H781" s="15" t="inlineStr">
        <is>
          <t>Air coil 90 m</t>
        </is>
      </c>
      <c r="I781" s="15" t="inlineStr">
        <is>
          <t>OK</t>
        </is>
      </c>
      <c r="J781" s="15" t="inlineStr">
        <is>
          <t>C</t>
        </is>
      </c>
      <c r="K781" s="15" t="inlineStr">
        <is>
          <t>Y</t>
        </is>
      </c>
      <c r="L781" s="15" t="n">
        <v>3240</v>
      </c>
      <c r="M781" s="16" t="n">
        <v>0.20736</v>
      </c>
      <c r="N781" s="16" t="n">
        <v>0</v>
      </c>
      <c r="O781" s="16" t="n">
        <v>0</v>
      </c>
      <c r="P781" s="16" t="n">
        <v>0.20736</v>
      </c>
      <c r="Q781">
        <f>--($A781=IF('الداشبورد'!$B$5="الكل",$A781,'الداشبورد'!$B$5))</f>
        <v/>
      </c>
      <c r="R781">
        <f>--($E781=IF('الداشبورد'!$B$6="الكل",$E781,'الداشبورد'!$B$6))</f>
        <v/>
      </c>
      <c r="S781">
        <f>--($K781=IF('الداشبورد'!$B$7="الكل",$K781,IF('الداشبورد'!$B$7="تصدير","Y","N")))</f>
        <v/>
      </c>
      <c r="T781">
        <f>--($J781=IF('الداشبورد'!$B$8="الكل",$J781,IF('الداشبورد'!$B$8="AL","A","C")))</f>
        <v/>
      </c>
      <c r="U781">
        <f>--($I781=IF('الداشبورد'!$B$9="الكل",$I781,IF('الداشبورد'!$B$9="بدون حالة","P",'الداشبورد'!$B$9)))</f>
        <v/>
      </c>
      <c r="V781">
        <f>--($D781=IF('الداشبورد'!$B$10="الكل",$D781,'الداشبورد'!$B$10))</f>
        <v/>
      </c>
      <c r="W781">
        <f>--($G781=IF('الداشبورد'!$B$11="الكل",$G781,'الداشبورد'!$B$11))</f>
        <v/>
      </c>
      <c r="X781">
        <f>Q781*R781*S781*T781*U781*V781*W781*--($C781&lt;&gt;"")</f>
        <v/>
      </c>
    </row>
    <row r="782">
      <c r="A782" s="15" t="n">
        <v>7</v>
      </c>
      <c r="B782" s="15" t="inlineStr">
        <is>
          <t>37929</t>
        </is>
      </c>
      <c r="C782" s="15" t="inlineStr">
        <is>
          <t>1659/26/19</t>
        </is>
      </c>
      <c r="D782" s="15" t="inlineStr">
        <is>
          <t>Energya El Sewedy Helal International Limited – Ke</t>
        </is>
      </c>
      <c r="E782" s="15" t="inlineStr">
        <is>
          <t>CC</t>
        </is>
      </c>
      <c r="F782" s="15" t="inlineStr">
        <is>
          <t>300/500 V 3X2.5</t>
        </is>
      </c>
      <c r="G782" s="15" t="inlineStr">
        <is>
          <t>CO03</t>
        </is>
      </c>
      <c r="H782" s="15" t="inlineStr">
        <is>
          <t>Air coil 90 m</t>
        </is>
      </c>
      <c r="I782" s="15" t="inlineStr">
        <is>
          <t>OK</t>
        </is>
      </c>
      <c r="J782" s="15" t="inlineStr">
        <is>
          <t>C</t>
        </is>
      </c>
      <c r="K782" s="15" t="inlineStr">
        <is>
          <t>Y</t>
        </is>
      </c>
      <c r="L782" s="15" t="n">
        <v>3240</v>
      </c>
      <c r="M782" s="16" t="n">
        <v>0.20736</v>
      </c>
      <c r="N782" s="16" t="n">
        <v>0</v>
      </c>
      <c r="O782" s="16" t="n">
        <v>0</v>
      </c>
      <c r="P782" s="16" t="n">
        <v>0.20736</v>
      </c>
      <c r="Q782">
        <f>--($A782=IF('الداشبورد'!$B$5="الكل",$A782,'الداشبورد'!$B$5))</f>
        <v/>
      </c>
      <c r="R782">
        <f>--($E782=IF('الداشبورد'!$B$6="الكل",$E782,'الداشبورد'!$B$6))</f>
        <v/>
      </c>
      <c r="S782">
        <f>--($K782=IF('الداشبورد'!$B$7="الكل",$K782,IF('الداشبورد'!$B$7="تصدير","Y","N")))</f>
        <v/>
      </c>
      <c r="T782">
        <f>--($J782=IF('الداشبورد'!$B$8="الكل",$J782,IF('الداشبورد'!$B$8="AL","A","C")))</f>
        <v/>
      </c>
      <c r="U782">
        <f>--($I782=IF('الداشبورد'!$B$9="الكل",$I782,IF('الداشبورد'!$B$9="بدون حالة","P",'الداشبورد'!$B$9)))</f>
        <v/>
      </c>
      <c r="V782">
        <f>--($D782=IF('الداشبورد'!$B$10="الكل",$D782,'الداشبورد'!$B$10))</f>
        <v/>
      </c>
      <c r="W782">
        <f>--($G782=IF('الداشبورد'!$B$11="الكل",$G782,'الداشبورد'!$B$11))</f>
        <v/>
      </c>
      <c r="X782">
        <f>Q782*R782*S782*T782*U782*V782*W782*--($C782&lt;&gt;"")</f>
        <v/>
      </c>
    </row>
    <row r="783">
      <c r="A783" s="15" t="n">
        <v>7</v>
      </c>
      <c r="B783" s="15" t="inlineStr">
        <is>
          <t>37949</t>
        </is>
      </c>
      <c r="C783" s="15" t="inlineStr">
        <is>
          <t>1659/26/19</t>
        </is>
      </c>
      <c r="D783" s="15" t="inlineStr">
        <is>
          <t>Energya El Sewedy Helal International Limited – Ke</t>
        </is>
      </c>
      <c r="E783" s="15" t="inlineStr">
        <is>
          <t>CC</t>
        </is>
      </c>
      <c r="F783" s="15" t="inlineStr">
        <is>
          <t>300/500 V 3X2.5</t>
        </is>
      </c>
      <c r="G783" s="15" t="inlineStr">
        <is>
          <t>CO03</t>
        </is>
      </c>
      <c r="H783" s="15" t="inlineStr">
        <is>
          <t>Air coil 90 m</t>
        </is>
      </c>
      <c r="I783" s="15" t="inlineStr">
        <is>
          <t>OK</t>
        </is>
      </c>
      <c r="J783" s="15" t="inlineStr">
        <is>
          <t>C</t>
        </is>
      </c>
      <c r="K783" s="15" t="inlineStr">
        <is>
          <t>Y</t>
        </is>
      </c>
      <c r="L783" s="15" t="n">
        <v>3240</v>
      </c>
      <c r="M783" s="16" t="n">
        <v>0.20736</v>
      </c>
      <c r="N783" s="16" t="n">
        <v>0</v>
      </c>
      <c r="O783" s="16" t="n">
        <v>0</v>
      </c>
      <c r="P783" s="16" t="n">
        <v>0.20736</v>
      </c>
      <c r="Q783">
        <f>--($A783=IF('الداشبورد'!$B$5="الكل",$A783,'الداشبورد'!$B$5))</f>
        <v/>
      </c>
      <c r="R783">
        <f>--($E783=IF('الداشبورد'!$B$6="الكل",$E783,'الداشبورد'!$B$6))</f>
        <v/>
      </c>
      <c r="S783">
        <f>--($K783=IF('الداشبورد'!$B$7="الكل",$K783,IF('الداشبورد'!$B$7="تصدير","Y","N")))</f>
        <v/>
      </c>
      <c r="T783">
        <f>--($J783=IF('الداشبورد'!$B$8="الكل",$J783,IF('الداشبورد'!$B$8="AL","A","C")))</f>
        <v/>
      </c>
      <c r="U783">
        <f>--($I783=IF('الداشبورد'!$B$9="الكل",$I783,IF('الداشبورد'!$B$9="بدون حالة","P",'الداشبورد'!$B$9)))</f>
        <v/>
      </c>
      <c r="V783">
        <f>--($D783=IF('الداشبورد'!$B$10="الكل",$D783,'الداشبورد'!$B$10))</f>
        <v/>
      </c>
      <c r="W783">
        <f>--($G783=IF('الداشبورد'!$B$11="الكل",$G783,'الداشبورد'!$B$11))</f>
        <v/>
      </c>
      <c r="X783">
        <f>Q783*R783*S783*T783*U783*V783*W783*--($C783&lt;&gt;"")</f>
        <v/>
      </c>
    </row>
    <row r="784">
      <c r="A784" s="15" t="n">
        <v>7</v>
      </c>
      <c r="B784" s="15" t="inlineStr">
        <is>
          <t>37939</t>
        </is>
      </c>
      <c r="C784" s="15" t="inlineStr">
        <is>
          <t>1659/26/11</t>
        </is>
      </c>
      <c r="D784" s="15" t="inlineStr">
        <is>
          <t>Energya El Sewedy Helal International Limited – Ke</t>
        </is>
      </c>
      <c r="E784" s="15" t="inlineStr">
        <is>
          <t>CC</t>
        </is>
      </c>
      <c r="F784" s="15" t="inlineStr">
        <is>
          <t>300/500 V 2X1</t>
        </is>
      </c>
      <c r="G784" s="15" t="inlineStr">
        <is>
          <t>CO03</t>
        </is>
      </c>
      <c r="H784" s="15" t="inlineStr">
        <is>
          <t>Air coil 90 m</t>
        </is>
      </c>
      <c r="I784" s="15" t="inlineStr">
        <is>
          <t>OK</t>
        </is>
      </c>
      <c r="J784" s="15" t="inlineStr">
        <is>
          <t>C</t>
        </is>
      </c>
      <c r="K784" s="15" t="inlineStr">
        <is>
          <t>Y</t>
        </is>
      </c>
      <c r="L784" s="15" t="n">
        <v>6480</v>
      </c>
      <c r="M784" s="16" t="n">
        <v>0.10368</v>
      </c>
      <c r="N784" s="16" t="n">
        <v>0</v>
      </c>
      <c r="O784" s="16" t="n">
        <v>0</v>
      </c>
      <c r="P784" s="16" t="n">
        <v>0.10368</v>
      </c>
      <c r="Q784">
        <f>--($A784=IF('الداشبورد'!$B$5="الكل",$A784,'الداشبورد'!$B$5))</f>
        <v/>
      </c>
      <c r="R784">
        <f>--($E784=IF('الداشبورد'!$B$6="الكل",$E784,'الداشبورد'!$B$6))</f>
        <v/>
      </c>
      <c r="S784">
        <f>--($K784=IF('الداشبورد'!$B$7="الكل",$K784,IF('الداشبورد'!$B$7="تصدير","Y","N")))</f>
        <v/>
      </c>
      <c r="T784">
        <f>--($J784=IF('الداشبورد'!$B$8="الكل",$J784,IF('الداشبورد'!$B$8="AL","A","C")))</f>
        <v/>
      </c>
      <c r="U784">
        <f>--($I784=IF('الداشبورد'!$B$9="الكل",$I784,IF('الداشبورد'!$B$9="بدون حالة","P",'الداشبورد'!$B$9)))</f>
        <v/>
      </c>
      <c r="V784">
        <f>--($D784=IF('الداشبورد'!$B$10="الكل",$D784,'الداشبورد'!$B$10))</f>
        <v/>
      </c>
      <c r="W784">
        <f>--($G784=IF('الداشبورد'!$B$11="الكل",$G784,'الداشبورد'!$B$11))</f>
        <v/>
      </c>
      <c r="X784">
        <f>Q784*R784*S784*T784*U784*V784*W784*--($C784&lt;&gt;"")</f>
        <v/>
      </c>
    </row>
    <row r="785">
      <c r="A785" s="15" t="n">
        <v>7</v>
      </c>
      <c r="B785" s="15" t="inlineStr">
        <is>
          <t>37942</t>
        </is>
      </c>
      <c r="C785" s="15" t="inlineStr">
        <is>
          <t>1659/26/14</t>
        </is>
      </c>
      <c r="D785" s="15" t="inlineStr">
        <is>
          <t>Energya El Sewedy Helal International Limited – Ke</t>
        </is>
      </c>
      <c r="E785" s="15" t="inlineStr">
        <is>
          <t>LV</t>
        </is>
      </c>
      <c r="F785" s="15" t="inlineStr">
        <is>
          <t>300/500 V 2X2.5</t>
        </is>
      </c>
      <c r="G785" s="15" t="inlineStr">
        <is>
          <t>CO03</t>
        </is>
      </c>
      <c r="H785" s="15" t="inlineStr">
        <is>
          <t>Air coil 90 m</t>
        </is>
      </c>
      <c r="I785" s="15" t="inlineStr">
        <is>
          <t>OK</t>
        </is>
      </c>
      <c r="J785" s="15" t="inlineStr">
        <is>
          <t>C</t>
        </is>
      </c>
      <c r="K785" s="15" t="inlineStr">
        <is>
          <t>Y</t>
        </is>
      </c>
      <c r="L785" s="15" t="n">
        <v>3870</v>
      </c>
      <c r="M785" s="16" t="n">
        <v>0.16254</v>
      </c>
      <c r="N785" s="16" t="n">
        <v>0</v>
      </c>
      <c r="O785" s="16" t="n">
        <v>0</v>
      </c>
      <c r="P785" s="16" t="n">
        <v>0.16254</v>
      </c>
      <c r="Q785">
        <f>--($A785=IF('الداشبورد'!$B$5="الكل",$A785,'الداشبورد'!$B$5))</f>
        <v/>
      </c>
      <c r="R785">
        <f>--($E785=IF('الداشبورد'!$B$6="الكل",$E785,'الداشبورد'!$B$6))</f>
        <v/>
      </c>
      <c r="S785">
        <f>--($K785=IF('الداشبورد'!$B$7="الكل",$K785,IF('الداشبورد'!$B$7="تصدير","Y","N")))</f>
        <v/>
      </c>
      <c r="T785">
        <f>--($J785=IF('الداشبورد'!$B$8="الكل",$J785,IF('الداشبورد'!$B$8="AL","A","C")))</f>
        <v/>
      </c>
      <c r="U785">
        <f>--($I785=IF('الداشبورد'!$B$9="الكل",$I785,IF('الداشبورد'!$B$9="بدون حالة","P",'الداشبورد'!$B$9)))</f>
        <v/>
      </c>
      <c r="V785">
        <f>--($D785=IF('الداشبورد'!$B$10="الكل",$D785,'الداشبورد'!$B$10))</f>
        <v/>
      </c>
      <c r="W785">
        <f>--($G785=IF('الداشبورد'!$B$11="الكل",$G785,'الداشبورد'!$B$11))</f>
        <v/>
      </c>
      <c r="X785">
        <f>Q785*R785*S785*T785*U785*V785*W785*--($C785&lt;&gt;"")</f>
        <v/>
      </c>
    </row>
    <row r="786">
      <c r="A786" s="15" t="n">
        <v>7</v>
      </c>
      <c r="B786" s="15" t="inlineStr">
        <is>
          <t>37947</t>
        </is>
      </c>
      <c r="C786" s="15" t="inlineStr">
        <is>
          <t>8/25/35</t>
        </is>
      </c>
      <c r="D786" s="15" t="inlineStr">
        <is>
          <t>Helal Elsewedy</t>
        </is>
      </c>
      <c r="E786" s="15" t="inlineStr">
        <is>
          <t>BC</t>
        </is>
      </c>
      <c r="F786" s="15" t="inlineStr">
        <is>
          <t>450/750 1X4 MM2</t>
        </is>
      </c>
      <c r="G786" s="15" t="inlineStr">
        <is>
          <t>CO03</t>
        </is>
      </c>
      <c r="H786" s="15" t="inlineStr">
        <is>
          <t>Plastic Spool 100M</t>
        </is>
      </c>
      <c r="I786" s="15" t="inlineStr">
        <is>
          <t>OK</t>
        </is>
      </c>
      <c r="J786" s="15" t="inlineStr">
        <is>
          <t>C</t>
        </is>
      </c>
      <c r="K786" s="15" t="inlineStr">
        <is>
          <t>N</t>
        </is>
      </c>
      <c r="L786" s="15" t="n">
        <v>23400</v>
      </c>
      <c r="M786" s="16" t="n">
        <v>0.7956</v>
      </c>
      <c r="N786" s="16" t="n">
        <v>0</v>
      </c>
      <c r="O786" s="16" t="n">
        <v>0</v>
      </c>
      <c r="P786" s="16" t="n">
        <v>0.7956</v>
      </c>
      <c r="Q786">
        <f>--($A786=IF('الداشبورد'!$B$5="الكل",$A786,'الداشبورد'!$B$5))</f>
        <v/>
      </c>
      <c r="R786">
        <f>--($E786=IF('الداشبورد'!$B$6="الكل",$E786,'الداشبورد'!$B$6))</f>
        <v/>
      </c>
      <c r="S786">
        <f>--($K786=IF('الداشبورد'!$B$7="الكل",$K786,IF('الداشبورد'!$B$7="تصدير","Y","N")))</f>
        <v/>
      </c>
      <c r="T786">
        <f>--($J786=IF('الداشبورد'!$B$8="الكل",$J786,IF('الداشبورد'!$B$8="AL","A","C")))</f>
        <v/>
      </c>
      <c r="U786">
        <f>--($I786=IF('الداشبورد'!$B$9="الكل",$I786,IF('الداشبورد'!$B$9="بدون حالة","P",'الداشبورد'!$B$9)))</f>
        <v/>
      </c>
      <c r="V786">
        <f>--($D786=IF('الداشبورد'!$B$10="الكل",$D786,'الداشبورد'!$B$10))</f>
        <v/>
      </c>
      <c r="W786">
        <f>--($G786=IF('الداشبورد'!$B$11="الكل",$G786,'الداشبورد'!$B$11))</f>
        <v/>
      </c>
      <c r="X786">
        <f>Q786*R786*S786*T786*U786*V786*W786*--($C786&lt;&gt;"")</f>
        <v/>
      </c>
    </row>
    <row r="787">
      <c r="A787" s="15" t="n">
        <v>7</v>
      </c>
      <c r="B787" s="15" t="inlineStr">
        <is>
          <t>37927</t>
        </is>
      </c>
      <c r="C787" s="15" t="inlineStr">
        <is>
          <t>9/25/04</t>
        </is>
      </c>
      <c r="D787" s="15" t="inlineStr">
        <is>
          <t>Helal Elsewedy</t>
        </is>
      </c>
      <c r="E787" s="15" t="inlineStr">
        <is>
          <t>BC</t>
        </is>
      </c>
      <c r="F787" s="15" t="inlineStr">
        <is>
          <t>300/500 V 1X1</t>
        </is>
      </c>
      <c r="G787" s="15" t="inlineStr">
        <is>
          <t>CO03</t>
        </is>
      </c>
      <c r="H787" s="15" t="inlineStr">
        <is>
          <t>Plastic Spool 100M</t>
        </is>
      </c>
      <c r="I787" s="15" t="inlineStr">
        <is>
          <t>OK</t>
        </is>
      </c>
      <c r="J787" s="15" t="inlineStr">
        <is>
          <t>C</t>
        </is>
      </c>
      <c r="K787" s="15" t="inlineStr">
        <is>
          <t>N</t>
        </is>
      </c>
      <c r="L787" s="15" t="n">
        <v>5000</v>
      </c>
      <c r="M787" s="16" t="n">
        <v>0.04</v>
      </c>
      <c r="N787" s="16" t="n">
        <v>0</v>
      </c>
      <c r="O787" s="16" t="n">
        <v>0</v>
      </c>
      <c r="P787" s="16" t="n">
        <v>0.04</v>
      </c>
      <c r="Q787">
        <f>--($A787=IF('الداشبورد'!$B$5="الكل",$A787,'الداشبورد'!$B$5))</f>
        <v/>
      </c>
      <c r="R787">
        <f>--($E787=IF('الداشبورد'!$B$6="الكل",$E787,'الداشبورد'!$B$6))</f>
        <v/>
      </c>
      <c r="S787">
        <f>--($K787=IF('الداشبورد'!$B$7="الكل",$K787,IF('الداشبورد'!$B$7="تصدير","Y","N")))</f>
        <v/>
      </c>
      <c r="T787">
        <f>--($J787=IF('الداشبورد'!$B$8="الكل",$J787,IF('الداشبورد'!$B$8="AL","A","C")))</f>
        <v/>
      </c>
      <c r="U787">
        <f>--($I787=IF('الداشبورد'!$B$9="الكل",$I787,IF('الداشبورد'!$B$9="بدون حالة","P",'الداشبورد'!$B$9)))</f>
        <v/>
      </c>
      <c r="V787">
        <f>--($D787=IF('الداشبورد'!$B$10="الكل",$D787,'الداشبورد'!$B$10))</f>
        <v/>
      </c>
      <c r="W787">
        <f>--($G787=IF('الداشبورد'!$B$11="الكل",$G787,'الداشبورد'!$B$11))</f>
        <v/>
      </c>
      <c r="X787">
        <f>Q787*R787*S787*T787*U787*V787*W787*--($C787&lt;&gt;"")</f>
        <v/>
      </c>
    </row>
    <row r="788">
      <c r="A788" s="15" t="n">
        <v>7</v>
      </c>
      <c r="B788" s="15" t="inlineStr">
        <is>
          <t>37926</t>
        </is>
      </c>
      <c r="C788" s="15" t="inlineStr">
        <is>
          <t>9/25/03</t>
        </is>
      </c>
      <c r="D788" s="15" t="inlineStr">
        <is>
          <t>Helal Elsewedy</t>
        </is>
      </c>
      <c r="E788" s="15" t="inlineStr">
        <is>
          <t>BC</t>
        </is>
      </c>
      <c r="F788" s="15" t="inlineStr">
        <is>
          <t>300/500 1*1</t>
        </is>
      </c>
      <c r="G788" s="15" t="inlineStr">
        <is>
          <t>CO03</t>
        </is>
      </c>
      <c r="H788" s="15" t="inlineStr">
        <is>
          <t>Plastic Spool 100M</t>
        </is>
      </c>
      <c r="I788" s="15" t="inlineStr">
        <is>
          <t>OK</t>
        </is>
      </c>
      <c r="J788" s="15" t="inlineStr">
        <is>
          <t>C</t>
        </is>
      </c>
      <c r="K788" s="15" t="inlineStr">
        <is>
          <t>N</t>
        </is>
      </c>
      <c r="L788" s="15" t="n">
        <v>7200</v>
      </c>
      <c r="M788" s="16" t="n">
        <v>0.0576</v>
      </c>
      <c r="N788" s="16" t="n">
        <v>0</v>
      </c>
      <c r="O788" s="16" t="n">
        <v>0</v>
      </c>
      <c r="P788" s="16" t="n">
        <v>0.0576</v>
      </c>
      <c r="Q788">
        <f>--($A788=IF('الداشبورد'!$B$5="الكل",$A788,'الداشبورد'!$B$5))</f>
        <v/>
      </c>
      <c r="R788">
        <f>--($E788=IF('الداشبورد'!$B$6="الكل",$E788,'الداشبورد'!$B$6))</f>
        <v/>
      </c>
      <c r="S788">
        <f>--($K788=IF('الداشبورد'!$B$7="الكل",$K788,IF('الداشبورد'!$B$7="تصدير","Y","N")))</f>
        <v/>
      </c>
      <c r="T788">
        <f>--($J788=IF('الداشبورد'!$B$8="الكل",$J788,IF('الداشبورد'!$B$8="AL","A","C")))</f>
        <v/>
      </c>
      <c r="U788">
        <f>--($I788=IF('الداشبورد'!$B$9="الكل",$I788,IF('الداشبورد'!$B$9="بدون حالة","P",'الداشبورد'!$B$9)))</f>
        <v/>
      </c>
      <c r="V788">
        <f>--($D788=IF('الداشبورد'!$B$10="الكل",$D788,'الداشبورد'!$B$10))</f>
        <v/>
      </c>
      <c r="W788">
        <f>--($G788=IF('الداشبورد'!$B$11="الكل",$G788,'الداشبورد'!$B$11))</f>
        <v/>
      </c>
      <c r="X788">
        <f>Q788*R788*S788*T788*U788*V788*W788*--($C788&lt;&gt;"")</f>
        <v/>
      </c>
    </row>
    <row r="789">
      <c r="A789" s="15" t="n">
        <v>7</v>
      </c>
      <c r="B789" s="15" t="inlineStr">
        <is>
          <t>37948</t>
        </is>
      </c>
      <c r="C789" s="15" t="inlineStr">
        <is>
          <t>9/25/02</t>
        </is>
      </c>
      <c r="D789" s="15" t="inlineStr">
        <is>
          <t>Helal Elsewedy</t>
        </is>
      </c>
      <c r="E789" s="15" t="inlineStr">
        <is>
          <t>BC</t>
        </is>
      </c>
      <c r="F789" s="15" t="inlineStr">
        <is>
          <t>300/500 V 1X1</t>
        </is>
      </c>
      <c r="G789" s="15" t="inlineStr">
        <is>
          <t>CO03</t>
        </is>
      </c>
      <c r="H789" s="15" t="inlineStr">
        <is>
          <t>Plastic Spool 100M</t>
        </is>
      </c>
      <c r="I789" s="15" t="inlineStr">
        <is>
          <t>OK</t>
        </is>
      </c>
      <c r="J789" s="15" t="inlineStr">
        <is>
          <t>C</t>
        </is>
      </c>
      <c r="K789" s="15" t="inlineStr">
        <is>
          <t>N</t>
        </is>
      </c>
      <c r="L789" s="15" t="n">
        <v>16100</v>
      </c>
      <c r="M789" s="16" t="n">
        <v>0.1288</v>
      </c>
      <c r="N789" s="16" t="n">
        <v>0</v>
      </c>
      <c r="O789" s="16" t="n">
        <v>0</v>
      </c>
      <c r="P789" s="16" t="n">
        <v>0.1288</v>
      </c>
      <c r="Q789">
        <f>--($A789=IF('الداشبورد'!$B$5="الكل",$A789,'الداشبورد'!$B$5))</f>
        <v/>
      </c>
      <c r="R789">
        <f>--($E789=IF('الداشبورد'!$B$6="الكل",$E789,'الداشبورد'!$B$6))</f>
        <v/>
      </c>
      <c r="S789">
        <f>--($K789=IF('الداشبورد'!$B$7="الكل",$K789,IF('الداشبورد'!$B$7="تصدير","Y","N")))</f>
        <v/>
      </c>
      <c r="T789">
        <f>--($J789=IF('الداشبورد'!$B$8="الكل",$J789,IF('الداشبورد'!$B$8="AL","A","C")))</f>
        <v/>
      </c>
      <c r="U789">
        <f>--($I789=IF('الداشبورد'!$B$9="الكل",$I789,IF('الداشبورد'!$B$9="بدون حالة","P",'الداشبورد'!$B$9)))</f>
        <v/>
      </c>
      <c r="V789">
        <f>--($D789=IF('الداشبورد'!$B$10="الكل",$D789,'الداشبورد'!$B$10))</f>
        <v/>
      </c>
      <c r="W789">
        <f>--($G789=IF('الداشبورد'!$B$11="الكل",$G789,'الداشبورد'!$B$11))</f>
        <v/>
      </c>
      <c r="X789">
        <f>Q789*R789*S789*T789*U789*V789*W789*--($C789&lt;&gt;"")</f>
        <v/>
      </c>
    </row>
    <row r="790">
      <c r="A790" s="15" t="n">
        <v>7</v>
      </c>
      <c r="B790" s="15" t="inlineStr">
        <is>
          <t>37944</t>
        </is>
      </c>
      <c r="C790" s="15" t="inlineStr">
        <is>
          <t>9/25/16</t>
        </is>
      </c>
      <c r="D790" s="15" t="inlineStr">
        <is>
          <t>Helal Elsewedy</t>
        </is>
      </c>
      <c r="E790" s="15" t="inlineStr">
        <is>
          <t>BC</t>
        </is>
      </c>
      <c r="F790" s="15" t="inlineStr">
        <is>
          <t>450/750 V 1X2</t>
        </is>
      </c>
      <c r="G790" s="15" t="inlineStr">
        <is>
          <t>CO03</t>
        </is>
      </c>
      <c r="H790" s="15" t="inlineStr">
        <is>
          <t>Plastic Spool 100M</t>
        </is>
      </c>
      <c r="I790" s="15" t="inlineStr">
        <is>
          <t>OK</t>
        </is>
      </c>
      <c r="J790" s="15" t="inlineStr">
        <is>
          <t>C</t>
        </is>
      </c>
      <c r="K790" s="15" t="inlineStr">
        <is>
          <t>N</t>
        </is>
      </c>
      <c r="L790" s="15" t="n">
        <v>11300</v>
      </c>
      <c r="M790" s="16" t="n">
        <v>0.1808</v>
      </c>
      <c r="N790" s="16" t="n">
        <v>0</v>
      </c>
      <c r="O790" s="16" t="n">
        <v>0</v>
      </c>
      <c r="P790" s="16" t="n">
        <v>0.1808</v>
      </c>
      <c r="Q790">
        <f>--($A790=IF('الداشبورد'!$B$5="الكل",$A790,'الداشبورد'!$B$5))</f>
        <v/>
      </c>
      <c r="R790">
        <f>--($E790=IF('الداشبورد'!$B$6="الكل",$E790,'الداشبورد'!$B$6))</f>
        <v/>
      </c>
      <c r="S790">
        <f>--($K790=IF('الداشبورد'!$B$7="الكل",$K790,IF('الداشبورد'!$B$7="تصدير","Y","N")))</f>
        <v/>
      </c>
      <c r="T790">
        <f>--($J790=IF('الداشبورد'!$B$8="الكل",$J790,IF('الداشبورد'!$B$8="AL","A","C")))</f>
        <v/>
      </c>
      <c r="U790">
        <f>--($I790=IF('الداشبورد'!$B$9="الكل",$I790,IF('الداشبورد'!$B$9="بدون حالة","P",'الداشبورد'!$B$9)))</f>
        <v/>
      </c>
      <c r="V790">
        <f>--($D790=IF('الداشبورد'!$B$10="الكل",$D790,'الداشبورد'!$B$10))</f>
        <v/>
      </c>
      <c r="W790">
        <f>--($G790=IF('الداشبورد'!$B$11="الكل",$G790,'الداشبورد'!$B$11))</f>
        <v/>
      </c>
      <c r="X790">
        <f>Q790*R790*S790*T790*U790*V790*W790*--($C790&lt;&gt;"")</f>
        <v/>
      </c>
    </row>
    <row r="791">
      <c r="A791" s="15" t="n">
        <v>7</v>
      </c>
      <c r="B791" s="15" t="inlineStr">
        <is>
          <t>37945</t>
        </is>
      </c>
      <c r="C791" s="15" t="inlineStr">
        <is>
          <t>9/25/15</t>
        </is>
      </c>
      <c r="D791" s="15" t="inlineStr">
        <is>
          <t>Helal Elsewedy</t>
        </is>
      </c>
      <c r="E791" s="15" t="inlineStr">
        <is>
          <t>BC</t>
        </is>
      </c>
      <c r="F791" s="15" t="inlineStr">
        <is>
          <t>450/750 V 1X2</t>
        </is>
      </c>
      <c r="G791" s="15" t="inlineStr">
        <is>
          <t>CO03</t>
        </is>
      </c>
      <c r="H791" s="15" t="inlineStr">
        <is>
          <t>Plastic Spool 100M</t>
        </is>
      </c>
      <c r="I791" s="15" t="inlineStr">
        <is>
          <t>OK</t>
        </is>
      </c>
      <c r="J791" s="15" t="inlineStr">
        <is>
          <t>C</t>
        </is>
      </c>
      <c r="K791" s="15" t="inlineStr">
        <is>
          <t>N</t>
        </is>
      </c>
      <c r="L791" s="15" t="n">
        <v>6300</v>
      </c>
      <c r="M791" s="16" t="n">
        <v>0.1008</v>
      </c>
      <c r="N791" s="16" t="n">
        <v>0</v>
      </c>
      <c r="O791" s="16" t="n">
        <v>0</v>
      </c>
      <c r="P791" s="16" t="n">
        <v>0.1008</v>
      </c>
      <c r="Q791">
        <f>--($A791=IF('الداشبورد'!$B$5="الكل",$A791,'الداشبورد'!$B$5))</f>
        <v/>
      </c>
      <c r="R791">
        <f>--($E791=IF('الداشبورد'!$B$6="الكل",$E791,'الداشبورد'!$B$6))</f>
        <v/>
      </c>
      <c r="S791">
        <f>--($K791=IF('الداشبورد'!$B$7="الكل",$K791,IF('الداشبورد'!$B$7="تصدير","Y","N")))</f>
        <v/>
      </c>
      <c r="T791">
        <f>--($J791=IF('الداشبورد'!$B$8="الكل",$J791,IF('الداشبورد'!$B$8="AL","A","C")))</f>
        <v/>
      </c>
      <c r="U791">
        <f>--($I791=IF('الداشبورد'!$B$9="الكل",$I791,IF('الداشبورد'!$B$9="بدون حالة","P",'الداشبورد'!$B$9)))</f>
        <v/>
      </c>
      <c r="V791">
        <f>--($D791=IF('الداشبورد'!$B$10="الكل",$D791,'الداشبورد'!$B$10))</f>
        <v/>
      </c>
      <c r="W791">
        <f>--($G791=IF('الداشبورد'!$B$11="الكل",$G791,'الداشبورد'!$B$11))</f>
        <v/>
      </c>
      <c r="X791">
        <f>Q791*R791*S791*T791*U791*V791*W791*--($C791&lt;&gt;"")</f>
        <v/>
      </c>
    </row>
    <row r="792">
      <c r="A792" s="15" t="n">
        <v>7</v>
      </c>
      <c r="B792" s="15" t="inlineStr">
        <is>
          <t>L184936</t>
        </is>
      </c>
      <c r="C792" s="15" t="inlineStr">
        <is>
          <t>1815/26/01</t>
        </is>
      </c>
      <c r="D792" s="15" t="inlineStr">
        <is>
          <t>البحر الاحمر للمقاولات والتشييد والتنمية</t>
        </is>
      </c>
      <c r="E792" s="15" t="inlineStr">
        <is>
          <t>LV</t>
        </is>
      </c>
      <c r="F792" s="15" t="inlineStr">
        <is>
          <t>0.6/1 KV 4*16</t>
        </is>
      </c>
      <c r="G792" s="15" t="inlineStr">
        <is>
          <t>EX13</t>
        </is>
      </c>
      <c r="H792" s="15" t="inlineStr">
        <is>
          <t>Wooden Drums</t>
        </is>
      </c>
      <c r="I792" s="15" t="inlineStr">
        <is>
          <t>OK</t>
        </is>
      </c>
      <c r="J792" s="15" t="inlineStr">
        <is>
          <t>C</t>
        </is>
      </c>
      <c r="K792" s="15" t="inlineStr">
        <is>
          <t>N</t>
        </is>
      </c>
      <c r="L792" s="15" t="n">
        <v>3012</v>
      </c>
      <c r="M792" s="16" t="n">
        <v>1.64154</v>
      </c>
      <c r="N792" s="16" t="n">
        <v>0</v>
      </c>
      <c r="O792" s="16" t="n">
        <v>0</v>
      </c>
      <c r="P792" s="16" t="n">
        <v>1.64154</v>
      </c>
      <c r="Q792">
        <f>--($A792=IF('الداشبورد'!$B$5="الكل",$A792,'الداشبورد'!$B$5))</f>
        <v/>
      </c>
      <c r="R792">
        <f>--($E792=IF('الداشبورد'!$B$6="الكل",$E792,'الداشبورد'!$B$6))</f>
        <v/>
      </c>
      <c r="S792">
        <f>--($K792=IF('الداشبورد'!$B$7="الكل",$K792,IF('الداشبورد'!$B$7="تصدير","Y","N")))</f>
        <v/>
      </c>
      <c r="T792">
        <f>--($J792=IF('الداشبورد'!$B$8="الكل",$J792,IF('الداشبورد'!$B$8="AL","A","C")))</f>
        <v/>
      </c>
      <c r="U792">
        <f>--($I792=IF('الداشبورد'!$B$9="الكل",$I792,IF('الداشبورد'!$B$9="بدون حالة","P",'الداشبورد'!$B$9)))</f>
        <v/>
      </c>
      <c r="V792">
        <f>--($D792=IF('الداشبورد'!$B$10="الكل",$D792,'الداشبورد'!$B$10))</f>
        <v/>
      </c>
      <c r="W792">
        <f>--($G792=IF('الداشبورد'!$B$11="الكل",$G792,'الداشبورد'!$B$11))</f>
        <v/>
      </c>
      <c r="X792">
        <f>Q792*R792*S792*T792*U792*V792*W792*--($C792&lt;&gt;"")</f>
        <v/>
      </c>
    </row>
    <row r="793">
      <c r="A793" s="15" t="n">
        <v>7</v>
      </c>
      <c r="B793" s="15" t="inlineStr">
        <is>
          <t>L184935</t>
        </is>
      </c>
      <c r="C793" s="15" t="inlineStr">
        <is>
          <t>1815/26/01</t>
        </is>
      </c>
      <c r="D793" s="15" t="inlineStr">
        <is>
          <t>البحر الاحمر للمقاولات والتشييد والتنمية</t>
        </is>
      </c>
      <c r="E793" s="15" t="inlineStr">
        <is>
          <t>LV</t>
        </is>
      </c>
      <c r="F793" s="15" t="inlineStr">
        <is>
          <t>0.6/1 KV 4*16</t>
        </is>
      </c>
      <c r="G793" s="15" t="inlineStr">
        <is>
          <t>EX13</t>
        </is>
      </c>
      <c r="H793" s="15" t="inlineStr">
        <is>
          <t>Wooden Drums</t>
        </is>
      </c>
      <c r="I793" s="15" t="inlineStr">
        <is>
          <t>OK</t>
        </is>
      </c>
      <c r="J793" s="15" t="inlineStr">
        <is>
          <t>C</t>
        </is>
      </c>
      <c r="K793" s="15" t="inlineStr">
        <is>
          <t>N</t>
        </is>
      </c>
      <c r="L793" s="15" t="n">
        <v>3049</v>
      </c>
      <c r="M793" s="16" t="n">
        <v>1.661705</v>
      </c>
      <c r="N793" s="16" t="n">
        <v>0</v>
      </c>
      <c r="O793" s="16" t="n">
        <v>0</v>
      </c>
      <c r="P793" s="16" t="n">
        <v>1.661705</v>
      </c>
      <c r="Q793">
        <f>--($A793=IF('الداشبورد'!$B$5="الكل",$A793,'الداشبورد'!$B$5))</f>
        <v/>
      </c>
      <c r="R793">
        <f>--($E793=IF('الداشبورد'!$B$6="الكل",$E793,'الداشبورد'!$B$6))</f>
        <v/>
      </c>
      <c r="S793">
        <f>--($K793=IF('الداشبورد'!$B$7="الكل",$K793,IF('الداشبورد'!$B$7="تصدير","Y","N")))</f>
        <v/>
      </c>
      <c r="T793">
        <f>--($J793=IF('الداشبورد'!$B$8="الكل",$J793,IF('الداشبورد'!$B$8="AL","A","C")))</f>
        <v/>
      </c>
      <c r="U793">
        <f>--($I793=IF('الداشبورد'!$B$9="الكل",$I793,IF('الداشبورد'!$B$9="بدون حالة","P",'الداشبورد'!$B$9)))</f>
        <v/>
      </c>
      <c r="V793">
        <f>--($D793=IF('الداشبورد'!$B$10="الكل",$D793,'الداشبورد'!$B$10))</f>
        <v/>
      </c>
      <c r="W793">
        <f>--($G793=IF('الداشبورد'!$B$11="الكل",$G793,'الداشبورد'!$B$11))</f>
        <v/>
      </c>
      <c r="X793">
        <f>Q793*R793*S793*T793*U793*V793*W793*--($C793&lt;&gt;"")</f>
        <v/>
      </c>
    </row>
    <row r="794">
      <c r="A794" s="15" t="n">
        <v>7</v>
      </c>
      <c r="B794" s="15" t="inlineStr">
        <is>
          <t>L184989</t>
        </is>
      </c>
      <c r="C794" s="15" t="inlineStr">
        <is>
          <t>1815/26/01</t>
        </is>
      </c>
      <c r="D794" s="15" t="inlineStr">
        <is>
          <t>البحر الاحمر للمقاولات والتشييد والتنمية</t>
        </is>
      </c>
      <c r="E794" s="15" t="inlineStr">
        <is>
          <t>LV</t>
        </is>
      </c>
      <c r="F794" s="15" t="inlineStr">
        <is>
          <t>0.6/1 KV 4*16</t>
        </is>
      </c>
      <c r="G794" s="15" t="inlineStr">
        <is>
          <t>EX13</t>
        </is>
      </c>
      <c r="H794" s="15" t="inlineStr">
        <is>
          <t>Wooden Drums</t>
        </is>
      </c>
      <c r="I794" s="15" t="inlineStr">
        <is>
          <t>OK</t>
        </is>
      </c>
      <c r="J794" s="15" t="inlineStr">
        <is>
          <t>C</t>
        </is>
      </c>
      <c r="K794" s="15" t="inlineStr">
        <is>
          <t>N</t>
        </is>
      </c>
      <c r="L794" s="15" t="n">
        <v>3011</v>
      </c>
      <c r="M794" s="16" t="n">
        <v>1.640995</v>
      </c>
      <c r="N794" s="16" t="n">
        <v>0</v>
      </c>
      <c r="O794" s="16" t="n">
        <v>0</v>
      </c>
      <c r="P794" s="16" t="n">
        <v>1.640995</v>
      </c>
      <c r="Q794">
        <f>--($A794=IF('الداشبورد'!$B$5="الكل",$A794,'الداشبورد'!$B$5))</f>
        <v/>
      </c>
      <c r="R794">
        <f>--($E794=IF('الداشبورد'!$B$6="الكل",$E794,'الداشبورد'!$B$6))</f>
        <v/>
      </c>
      <c r="S794">
        <f>--($K794=IF('الداشبورد'!$B$7="الكل",$K794,IF('الداشبورد'!$B$7="تصدير","Y","N")))</f>
        <v/>
      </c>
      <c r="T794">
        <f>--($J794=IF('الداشبورد'!$B$8="الكل",$J794,IF('الداشبورد'!$B$8="AL","A","C")))</f>
        <v/>
      </c>
      <c r="U794">
        <f>--($I794=IF('الداشبورد'!$B$9="الكل",$I794,IF('الداشبورد'!$B$9="بدون حالة","P",'الداشبورد'!$B$9)))</f>
        <v/>
      </c>
      <c r="V794">
        <f>--($D794=IF('الداشبورد'!$B$10="الكل",$D794,'الداشبورد'!$B$10))</f>
        <v/>
      </c>
      <c r="W794">
        <f>--($G794=IF('الداشبورد'!$B$11="الكل",$G794,'الداشبورد'!$B$11))</f>
        <v/>
      </c>
      <c r="X794">
        <f>Q794*R794*S794*T794*U794*V794*W794*--($C794&lt;&gt;"")</f>
        <v/>
      </c>
    </row>
    <row r="795">
      <c r="A795" s="15" t="n">
        <v>7</v>
      </c>
      <c r="B795" s="15" t="inlineStr">
        <is>
          <t>L184990</t>
        </is>
      </c>
      <c r="C795" s="15" t="inlineStr">
        <is>
          <t>1815/26/01</t>
        </is>
      </c>
      <c r="D795" s="15" t="inlineStr">
        <is>
          <t>البحر الاحمر للمقاولات والتشييد والتنمية</t>
        </is>
      </c>
      <c r="E795" s="15" t="inlineStr">
        <is>
          <t>LV</t>
        </is>
      </c>
      <c r="F795" s="15" t="inlineStr">
        <is>
          <t>0.6/1 KV 4*16</t>
        </is>
      </c>
      <c r="G795" s="15" t="inlineStr">
        <is>
          <t>EX13</t>
        </is>
      </c>
      <c r="H795" s="15" t="inlineStr">
        <is>
          <t>Wooden Drums</t>
        </is>
      </c>
      <c r="I795" s="15" t="inlineStr">
        <is>
          <t>OK</t>
        </is>
      </c>
      <c r="J795" s="15" t="inlineStr">
        <is>
          <t>C</t>
        </is>
      </c>
      <c r="K795" s="15" t="inlineStr">
        <is>
          <t>N</t>
        </is>
      </c>
      <c r="L795" s="15" t="n">
        <v>3073</v>
      </c>
      <c r="M795" s="16" t="n">
        <v>1.674785</v>
      </c>
      <c r="N795" s="16" t="n">
        <v>0</v>
      </c>
      <c r="O795" s="16" t="n">
        <v>0</v>
      </c>
      <c r="P795" s="16" t="n">
        <v>1.674785</v>
      </c>
      <c r="Q795">
        <f>--($A795=IF('الداشبورد'!$B$5="الكل",$A795,'الداشبورد'!$B$5))</f>
        <v/>
      </c>
      <c r="R795">
        <f>--($E795=IF('الداشبورد'!$B$6="الكل",$E795,'الداشبورد'!$B$6))</f>
        <v/>
      </c>
      <c r="S795">
        <f>--($K795=IF('الداشبورد'!$B$7="الكل",$K795,IF('الداشبورد'!$B$7="تصدير","Y","N")))</f>
        <v/>
      </c>
      <c r="T795">
        <f>--($J795=IF('الداشبورد'!$B$8="الكل",$J795,IF('الداشبورد'!$B$8="AL","A","C")))</f>
        <v/>
      </c>
      <c r="U795">
        <f>--($I795=IF('الداشبورد'!$B$9="الكل",$I795,IF('الداشبورد'!$B$9="بدون حالة","P",'الداشبورد'!$B$9)))</f>
        <v/>
      </c>
      <c r="V795">
        <f>--($D795=IF('الداشبورد'!$B$10="الكل",$D795,'الداشبورد'!$B$10))</f>
        <v/>
      </c>
      <c r="W795">
        <f>--($G795=IF('الداشبورد'!$B$11="الكل",$G795,'الداشبورد'!$B$11))</f>
        <v/>
      </c>
      <c r="X795">
        <f>Q795*R795*S795*T795*U795*V795*W795*--($C795&lt;&gt;"")</f>
        <v/>
      </c>
    </row>
    <row r="796">
      <c r="A796" s="15" t="n">
        <v>7</v>
      </c>
      <c r="B796" s="15" t="inlineStr">
        <is>
          <t>L184823</t>
        </is>
      </c>
      <c r="C796" s="15" t="inlineStr">
        <is>
          <t>1815/26/01</t>
        </is>
      </c>
      <c r="D796" s="15" t="inlineStr">
        <is>
          <t>البحر الاحمر للمقاولات والتشييد والتنمية</t>
        </is>
      </c>
      <c r="E796" s="15" t="inlineStr">
        <is>
          <t>LV</t>
        </is>
      </c>
      <c r="F796" s="15" t="inlineStr">
        <is>
          <t>0.6/1 KV 4*16</t>
        </is>
      </c>
      <c r="G796" s="15" t="inlineStr">
        <is>
          <t>EX13</t>
        </is>
      </c>
      <c r="H796" s="15" t="inlineStr">
        <is>
          <t>Wooden Drums</t>
        </is>
      </c>
      <c r="I796" s="15" t="inlineStr">
        <is>
          <t>OK</t>
        </is>
      </c>
      <c r="J796" s="15" t="inlineStr">
        <is>
          <t>C</t>
        </is>
      </c>
      <c r="K796" s="15" t="inlineStr">
        <is>
          <t>N</t>
        </is>
      </c>
      <c r="L796" s="15" t="n">
        <v>3030</v>
      </c>
      <c r="M796" s="16" t="n">
        <v>1.65135</v>
      </c>
      <c r="N796" s="16" t="n">
        <v>0</v>
      </c>
      <c r="O796" s="16" t="n">
        <v>0</v>
      </c>
      <c r="P796" s="16" t="n">
        <v>1.65135</v>
      </c>
      <c r="Q796">
        <f>--($A796=IF('الداشبورد'!$B$5="الكل",$A796,'الداشبورد'!$B$5))</f>
        <v/>
      </c>
      <c r="R796">
        <f>--($E796=IF('الداشبورد'!$B$6="الكل",$E796,'الداشبورد'!$B$6))</f>
        <v/>
      </c>
      <c r="S796">
        <f>--($K796=IF('الداشبورد'!$B$7="الكل",$K796,IF('الداشبورد'!$B$7="تصدير","Y","N")))</f>
        <v/>
      </c>
      <c r="T796">
        <f>--($J796=IF('الداشبورد'!$B$8="الكل",$J796,IF('الداشبورد'!$B$8="AL","A","C")))</f>
        <v/>
      </c>
      <c r="U796">
        <f>--($I796=IF('الداشبورد'!$B$9="الكل",$I796,IF('الداشبورد'!$B$9="بدون حالة","P",'الداشبورد'!$B$9)))</f>
        <v/>
      </c>
      <c r="V796">
        <f>--($D796=IF('الداشبورد'!$B$10="الكل",$D796,'الداشبورد'!$B$10))</f>
        <v/>
      </c>
      <c r="W796">
        <f>--($G796=IF('الداشبورد'!$B$11="الكل",$G796,'الداشبورد'!$B$11))</f>
        <v/>
      </c>
      <c r="X796">
        <f>Q796*R796*S796*T796*U796*V796*W796*--($C796&lt;&gt;"")</f>
        <v/>
      </c>
    </row>
    <row r="797">
      <c r="A797" s="15" t="n">
        <v>7</v>
      </c>
      <c r="B797" s="15" t="inlineStr">
        <is>
          <t>L184987</t>
        </is>
      </c>
      <c r="C797" s="15" t="inlineStr">
        <is>
          <t>1815/26/01</t>
        </is>
      </c>
      <c r="D797" s="15" t="inlineStr">
        <is>
          <t>البحر الاحمر للمقاولات والتشييد والتنمية</t>
        </is>
      </c>
      <c r="E797" s="15" t="inlineStr">
        <is>
          <t>LV</t>
        </is>
      </c>
      <c r="F797" s="15" t="inlineStr">
        <is>
          <t>0.6/1 KV 4*16</t>
        </is>
      </c>
      <c r="G797" s="15" t="inlineStr">
        <is>
          <t>EX13</t>
        </is>
      </c>
      <c r="H797" s="15" t="inlineStr">
        <is>
          <t>Wooden Drums</t>
        </is>
      </c>
      <c r="I797" s="15" t="inlineStr">
        <is>
          <t>OK</t>
        </is>
      </c>
      <c r="J797" s="15" t="inlineStr">
        <is>
          <t>C</t>
        </is>
      </c>
      <c r="K797" s="15" t="inlineStr">
        <is>
          <t>N</t>
        </is>
      </c>
      <c r="L797" s="15" t="n">
        <v>3030</v>
      </c>
      <c r="M797" s="16" t="n">
        <v>1.65135</v>
      </c>
      <c r="N797" s="16" t="n">
        <v>0</v>
      </c>
      <c r="O797" s="16" t="n">
        <v>0</v>
      </c>
      <c r="P797" s="16" t="n">
        <v>1.65135</v>
      </c>
      <c r="Q797">
        <f>--($A797=IF('الداشبورد'!$B$5="الكل",$A797,'الداشبورد'!$B$5))</f>
        <v/>
      </c>
      <c r="R797">
        <f>--($E797=IF('الداشبورد'!$B$6="الكل",$E797,'الداشبورد'!$B$6))</f>
        <v/>
      </c>
      <c r="S797">
        <f>--($K797=IF('الداشبورد'!$B$7="الكل",$K797,IF('الداشبورد'!$B$7="تصدير","Y","N")))</f>
        <v/>
      </c>
      <c r="T797">
        <f>--($J797=IF('الداشبورد'!$B$8="الكل",$J797,IF('الداشبورد'!$B$8="AL","A","C")))</f>
        <v/>
      </c>
      <c r="U797">
        <f>--($I797=IF('الداشبورد'!$B$9="الكل",$I797,IF('الداشبورد'!$B$9="بدون حالة","P",'الداشبورد'!$B$9)))</f>
        <v/>
      </c>
      <c r="V797">
        <f>--($D797=IF('الداشبورد'!$B$10="الكل",$D797,'الداشبورد'!$B$10))</f>
        <v/>
      </c>
      <c r="W797">
        <f>--($G797=IF('الداشبورد'!$B$11="الكل",$G797,'الداشبورد'!$B$11))</f>
        <v/>
      </c>
      <c r="X797">
        <f>Q797*R797*S797*T797*U797*V797*W797*--($C797&lt;&gt;"")</f>
        <v/>
      </c>
    </row>
    <row r="798">
      <c r="A798" s="15" t="n">
        <v>7</v>
      </c>
      <c r="B798" s="15" t="inlineStr">
        <is>
          <t>L184991</t>
        </is>
      </c>
      <c r="C798" s="15" t="inlineStr">
        <is>
          <t>1815/26/01</t>
        </is>
      </c>
      <c r="D798" s="15" t="inlineStr">
        <is>
          <t>البحر الاحمر للمقاولات والتشييد والتنمية</t>
        </is>
      </c>
      <c r="E798" s="15" t="inlineStr">
        <is>
          <t>LV</t>
        </is>
      </c>
      <c r="F798" s="15" t="inlineStr">
        <is>
          <t>0.6/1 KV 4*16</t>
        </is>
      </c>
      <c r="G798" s="15" t="inlineStr">
        <is>
          <t>EX13</t>
        </is>
      </c>
      <c r="H798" s="15" t="inlineStr">
        <is>
          <t>Wooden Drums</t>
        </is>
      </c>
      <c r="I798" s="15" t="inlineStr">
        <is>
          <t>OK</t>
        </is>
      </c>
      <c r="J798" s="15" t="inlineStr">
        <is>
          <t>C</t>
        </is>
      </c>
      <c r="K798" s="15" t="inlineStr">
        <is>
          <t>N</t>
        </is>
      </c>
      <c r="L798" s="15" t="n">
        <v>3010</v>
      </c>
      <c r="M798" s="16" t="n">
        <v>1.64045</v>
      </c>
      <c r="N798" s="16" t="n">
        <v>0</v>
      </c>
      <c r="O798" s="16" t="n">
        <v>0</v>
      </c>
      <c r="P798" s="16" t="n">
        <v>1.64045</v>
      </c>
      <c r="Q798">
        <f>--($A798=IF('الداشبورد'!$B$5="الكل",$A798,'الداشبورد'!$B$5))</f>
        <v/>
      </c>
      <c r="R798">
        <f>--($E798=IF('الداشبورد'!$B$6="الكل",$E798,'الداشبورد'!$B$6))</f>
        <v/>
      </c>
      <c r="S798">
        <f>--($K798=IF('الداشبورد'!$B$7="الكل",$K798,IF('الداشبورد'!$B$7="تصدير","Y","N")))</f>
        <v/>
      </c>
      <c r="T798">
        <f>--($J798=IF('الداشبورد'!$B$8="الكل",$J798,IF('الداشبورد'!$B$8="AL","A","C")))</f>
        <v/>
      </c>
      <c r="U798">
        <f>--($I798=IF('الداشبورد'!$B$9="الكل",$I798,IF('الداشبورد'!$B$9="بدون حالة","P",'الداشبورد'!$B$9)))</f>
        <v/>
      </c>
      <c r="V798">
        <f>--($D798=IF('الداشبورد'!$B$10="الكل",$D798,'الداشبورد'!$B$10))</f>
        <v/>
      </c>
      <c r="W798">
        <f>--($G798=IF('الداشبورد'!$B$11="الكل",$G798,'الداشبورد'!$B$11))</f>
        <v/>
      </c>
      <c r="X798">
        <f>Q798*R798*S798*T798*U798*V798*W798*--($C798&lt;&gt;"")</f>
        <v/>
      </c>
    </row>
    <row r="799">
      <c r="A799" s="15" t="n">
        <v>7</v>
      </c>
      <c r="B799" s="15" t="inlineStr">
        <is>
          <t>J184985</t>
        </is>
      </c>
      <c r="C799" s="15" t="inlineStr">
        <is>
          <t>1815/26/01</t>
        </is>
      </c>
      <c r="D799" s="15" t="inlineStr">
        <is>
          <t>البحر الاحمر للمقاولات والتشييد والتنمية</t>
        </is>
      </c>
      <c r="E799" s="15" t="inlineStr">
        <is>
          <t>LV</t>
        </is>
      </c>
      <c r="F799" s="15" t="inlineStr">
        <is>
          <t>0.6/1 KV 4*16</t>
        </is>
      </c>
      <c r="G799" s="15" t="inlineStr">
        <is>
          <t>EX13</t>
        </is>
      </c>
      <c r="H799" s="15" t="inlineStr">
        <is>
          <t>Wooden Drums</t>
        </is>
      </c>
      <c r="I799" s="15" t="inlineStr">
        <is>
          <t>OK</t>
        </is>
      </c>
      <c r="J799" s="15" t="inlineStr">
        <is>
          <t>C</t>
        </is>
      </c>
      <c r="K799" s="15" t="inlineStr">
        <is>
          <t>N</t>
        </is>
      </c>
      <c r="L799" s="15" t="n">
        <v>1680</v>
      </c>
      <c r="M799" s="16" t="n">
        <v>0.9156</v>
      </c>
      <c r="N799" s="16" t="n">
        <v>0</v>
      </c>
      <c r="O799" s="16" t="n">
        <v>0</v>
      </c>
      <c r="P799" s="16" t="n">
        <v>0.9156</v>
      </c>
      <c r="Q799">
        <f>--($A799=IF('الداشبورد'!$B$5="الكل",$A799,'الداشبورد'!$B$5))</f>
        <v/>
      </c>
      <c r="R799">
        <f>--($E799=IF('الداشبورد'!$B$6="الكل",$E799,'الداشبورد'!$B$6))</f>
        <v/>
      </c>
      <c r="S799">
        <f>--($K799=IF('الداشبورد'!$B$7="الكل",$K799,IF('الداشبورد'!$B$7="تصدير","Y","N")))</f>
        <v/>
      </c>
      <c r="T799">
        <f>--($J799=IF('الداشبورد'!$B$8="الكل",$J799,IF('الداشبورد'!$B$8="AL","A","C")))</f>
        <v/>
      </c>
      <c r="U799">
        <f>--($I799=IF('الداشبورد'!$B$9="الكل",$I799,IF('الداشبورد'!$B$9="بدون حالة","P",'الداشبورد'!$B$9)))</f>
        <v/>
      </c>
      <c r="V799">
        <f>--($D799=IF('الداشبورد'!$B$10="الكل",$D799,'الداشبورد'!$B$10))</f>
        <v/>
      </c>
      <c r="W799">
        <f>--($G799=IF('الداشبورد'!$B$11="الكل",$G799,'الداشبورد'!$B$11))</f>
        <v/>
      </c>
      <c r="X799">
        <f>Q799*R799*S799*T799*U799*V799*W799*--($C799&lt;&gt;"")</f>
        <v/>
      </c>
    </row>
    <row r="800">
      <c r="A800" s="15" t="n">
        <v>7</v>
      </c>
      <c r="B800" s="15" t="inlineStr">
        <is>
          <t>37946</t>
        </is>
      </c>
      <c r="C800" s="15" t="inlineStr">
        <is>
          <t>9/25/14</t>
        </is>
      </c>
      <c r="D800" s="15" t="inlineStr">
        <is>
          <t>Helal Elsewedy</t>
        </is>
      </c>
      <c r="E800" s="15" t="inlineStr">
        <is>
          <t>BC</t>
        </is>
      </c>
      <c r="F800" s="15" t="inlineStr">
        <is>
          <t>450/750 V 1X2</t>
        </is>
      </c>
      <c r="G800" s="15" t="inlineStr">
        <is>
          <t>CO03</t>
        </is>
      </c>
      <c r="H800" s="15" t="inlineStr">
        <is>
          <t>Plastic Spool 100M</t>
        </is>
      </c>
      <c r="I800" s="15" t="inlineStr">
        <is>
          <t>OK</t>
        </is>
      </c>
      <c r="J800" s="15" t="inlineStr">
        <is>
          <t>C</t>
        </is>
      </c>
      <c r="K800" s="15" t="inlineStr">
        <is>
          <t>N</t>
        </is>
      </c>
      <c r="L800" s="15" t="n">
        <v>3100</v>
      </c>
      <c r="M800" s="16" t="n">
        <v>0.0496</v>
      </c>
      <c r="N800" s="16" t="n">
        <v>0</v>
      </c>
      <c r="O800" s="16" t="n">
        <v>0</v>
      </c>
      <c r="P800" s="16" t="n">
        <v>0.0496</v>
      </c>
      <c r="Q800">
        <f>--($A800=IF('الداشبورد'!$B$5="الكل",$A800,'الداشبورد'!$B$5))</f>
        <v/>
      </c>
      <c r="R800">
        <f>--($E800=IF('الداشبورد'!$B$6="الكل",$E800,'الداشبورد'!$B$6))</f>
        <v/>
      </c>
      <c r="S800">
        <f>--($K800=IF('الداشبورد'!$B$7="الكل",$K800,IF('الداشبورد'!$B$7="تصدير","Y","N")))</f>
        <v/>
      </c>
      <c r="T800">
        <f>--($J800=IF('الداشبورد'!$B$8="الكل",$J800,IF('الداشبورد'!$B$8="AL","A","C")))</f>
        <v/>
      </c>
      <c r="U800">
        <f>--($I800=IF('الداشبورد'!$B$9="الكل",$I800,IF('الداشبورد'!$B$9="بدون حالة","P",'الداشبورد'!$B$9)))</f>
        <v/>
      </c>
      <c r="V800">
        <f>--($D800=IF('الداشبورد'!$B$10="الكل",$D800,'الداشبورد'!$B$10))</f>
        <v/>
      </c>
      <c r="W800">
        <f>--($G800=IF('الداشبورد'!$B$11="الكل",$G800,'الداشبورد'!$B$11))</f>
        <v/>
      </c>
      <c r="X800">
        <f>Q800*R800*S800*T800*U800*V800*W800*--($C800&lt;&gt;"")</f>
        <v/>
      </c>
    </row>
    <row r="801">
      <c r="A801" s="15" t="n">
        <v>7</v>
      </c>
      <c r="B801" s="15" t="inlineStr">
        <is>
          <t>37943</t>
        </is>
      </c>
      <c r="C801" s="15" t="inlineStr">
        <is>
          <t>9/25/17</t>
        </is>
      </c>
      <c r="D801" s="15" t="inlineStr">
        <is>
          <t>Helal Elsewedy</t>
        </is>
      </c>
      <c r="E801" s="15" t="inlineStr">
        <is>
          <t>BC</t>
        </is>
      </c>
      <c r="F801" s="15" t="inlineStr">
        <is>
          <t>450/750 V 1X2</t>
        </is>
      </c>
      <c r="G801" s="15" t="inlineStr">
        <is>
          <t>CO03</t>
        </is>
      </c>
      <c r="H801" s="15" t="inlineStr">
        <is>
          <t>Plastic Spool 100M</t>
        </is>
      </c>
      <c r="I801" s="15" t="inlineStr">
        <is>
          <t>OK</t>
        </is>
      </c>
      <c r="J801" s="15" t="inlineStr">
        <is>
          <t>C</t>
        </is>
      </c>
      <c r="K801" s="15" t="inlineStr">
        <is>
          <t>N</t>
        </is>
      </c>
      <c r="L801" s="15" t="n">
        <v>1300</v>
      </c>
      <c r="M801" s="16" t="n">
        <v>0.0208</v>
      </c>
      <c r="N801" s="16" t="n">
        <v>0</v>
      </c>
      <c r="O801" s="16" t="n">
        <v>0</v>
      </c>
      <c r="P801" s="16" t="n">
        <v>0.0208</v>
      </c>
      <c r="Q801">
        <f>--($A801=IF('الداشبورد'!$B$5="الكل",$A801,'الداشبورد'!$B$5))</f>
        <v/>
      </c>
      <c r="R801">
        <f>--($E801=IF('الداشبورد'!$B$6="الكل",$E801,'الداشبورد'!$B$6))</f>
        <v/>
      </c>
      <c r="S801">
        <f>--($K801=IF('الداشبورد'!$B$7="الكل",$K801,IF('الداشبورد'!$B$7="تصدير","Y","N")))</f>
        <v/>
      </c>
      <c r="T801">
        <f>--($J801=IF('الداشبورد'!$B$8="الكل",$J801,IF('الداشبورد'!$B$8="AL","A","C")))</f>
        <v/>
      </c>
      <c r="U801">
        <f>--($I801=IF('الداشبورد'!$B$9="الكل",$I801,IF('الداشبورد'!$B$9="بدون حالة","P",'الداشبورد'!$B$9)))</f>
        <v/>
      </c>
      <c r="V801">
        <f>--($D801=IF('الداشبورد'!$B$10="الكل",$D801,'الداشبورد'!$B$10))</f>
        <v/>
      </c>
      <c r="W801">
        <f>--($G801=IF('الداشبورد'!$B$11="الكل",$G801,'الداشبورد'!$B$11))</f>
        <v/>
      </c>
      <c r="X801">
        <f>Q801*R801*S801*T801*U801*V801*W801*--($C801&lt;&gt;"")</f>
        <v/>
      </c>
    </row>
    <row r="802">
      <c r="A802" s="15" t="n">
        <v>7</v>
      </c>
      <c r="B802" s="15" t="inlineStr">
        <is>
          <t>G18479</t>
        </is>
      </c>
      <c r="C802" s="15" t="inlineStr">
        <is>
          <t>1641/26/21</t>
        </is>
      </c>
      <c r="D802" s="15" t="inlineStr">
        <is>
          <t>الشركة العربية للصناعة والتجارة الدولية</t>
        </is>
      </c>
      <c r="E802" s="15" t="inlineStr">
        <is>
          <t>LV</t>
        </is>
      </c>
      <c r="F802" s="15" t="inlineStr">
        <is>
          <t>0.6/1 KV 4*16</t>
        </is>
      </c>
      <c r="G802" s="15" t="inlineStr">
        <is>
          <t>EX13</t>
        </is>
      </c>
      <c r="H802" s="15" t="inlineStr">
        <is>
          <t>Wooden Drums</t>
        </is>
      </c>
      <c r="I802" s="15" t="inlineStr">
        <is>
          <t>P</t>
        </is>
      </c>
      <c r="J802" s="15" t="inlineStr">
        <is>
          <t>C</t>
        </is>
      </c>
      <c r="K802" s="15" t="inlineStr">
        <is>
          <t>N</t>
        </is>
      </c>
      <c r="L802" s="15" t="n">
        <v>175</v>
      </c>
      <c r="M802" s="16" t="n">
        <v>0.095375</v>
      </c>
      <c r="N802" s="16" t="n">
        <v>0</v>
      </c>
      <c r="O802" s="16" t="n">
        <v>0</v>
      </c>
      <c r="P802" s="16" t="n">
        <v>0.095375</v>
      </c>
      <c r="Q802">
        <f>--($A802=IF('الداشبورد'!$B$5="الكل",$A802,'الداشبورد'!$B$5))</f>
        <v/>
      </c>
      <c r="R802">
        <f>--($E802=IF('الداشبورد'!$B$6="الكل",$E802,'الداشبورد'!$B$6))</f>
        <v/>
      </c>
      <c r="S802">
        <f>--($K802=IF('الداشبورد'!$B$7="الكل",$K802,IF('الداشبورد'!$B$7="تصدير","Y","N")))</f>
        <v/>
      </c>
      <c r="T802">
        <f>--($J802=IF('الداشبورد'!$B$8="الكل",$J802,IF('الداشبورد'!$B$8="AL","A","C")))</f>
        <v/>
      </c>
      <c r="U802">
        <f>--($I802=IF('الداشبورد'!$B$9="الكل",$I802,IF('الداشبورد'!$B$9="بدون حالة","P",'الداشبورد'!$B$9)))</f>
        <v/>
      </c>
      <c r="V802">
        <f>--($D802=IF('الداشبورد'!$B$10="الكل",$D802,'الداشبورد'!$B$10))</f>
        <v/>
      </c>
      <c r="W802">
        <f>--($G802=IF('الداشبورد'!$B$11="الكل",$G802,'الداشبورد'!$B$11))</f>
        <v/>
      </c>
      <c r="X802">
        <f>Q802*R802*S802*T802*U802*V802*W802*--($C802&lt;&gt;"")</f>
        <v/>
      </c>
    </row>
    <row r="803">
      <c r="A803" s="15" t="n">
        <v>7</v>
      </c>
      <c r="B803" s="15" t="inlineStr">
        <is>
          <t>E184713</t>
        </is>
      </c>
      <c r="C803" s="15" t="inlineStr">
        <is>
          <t>1391/26/03</t>
        </is>
      </c>
      <c r="D803" s="15" t="inlineStr">
        <is>
          <t>Vigo trgovina d.o.o.</t>
        </is>
      </c>
      <c r="E803" s="15" t="inlineStr">
        <is>
          <t>LV</t>
        </is>
      </c>
      <c r="F803" s="15" t="inlineStr">
        <is>
          <t>0.6/1 KV 1X35</t>
        </is>
      </c>
      <c r="G803" s="15" t="inlineStr">
        <is>
          <t>EX13</t>
        </is>
      </c>
      <c r="H803" s="15" t="inlineStr">
        <is>
          <t>Wooden Drums</t>
        </is>
      </c>
      <c r="I803" s="15" t="inlineStr">
        <is>
          <t>P</t>
        </is>
      </c>
      <c r="J803" s="15" t="inlineStr">
        <is>
          <t>C</t>
        </is>
      </c>
      <c r="K803" s="15" t="inlineStr">
        <is>
          <t>Y</t>
        </is>
      </c>
      <c r="L803" s="15" t="n">
        <v>996</v>
      </c>
      <c r="M803" s="16" t="n">
        <v>0.296808</v>
      </c>
      <c r="N803" s="16" t="n">
        <v>0</v>
      </c>
      <c r="O803" s="16" t="n">
        <v>0</v>
      </c>
      <c r="P803" s="16" t="n">
        <v>0.296808</v>
      </c>
      <c r="Q803">
        <f>--($A803=IF('الداشبورد'!$B$5="الكل",$A803,'الداشبورد'!$B$5))</f>
        <v/>
      </c>
      <c r="R803">
        <f>--($E803=IF('الداشبورد'!$B$6="الكل",$E803,'الداشبورد'!$B$6))</f>
        <v/>
      </c>
      <c r="S803">
        <f>--($K803=IF('الداشبورد'!$B$7="الكل",$K803,IF('الداشبورد'!$B$7="تصدير","Y","N")))</f>
        <v/>
      </c>
      <c r="T803">
        <f>--($J803=IF('الداشبورد'!$B$8="الكل",$J803,IF('الداشبورد'!$B$8="AL","A","C")))</f>
        <v/>
      </c>
      <c r="U803">
        <f>--($I803=IF('الداشبورد'!$B$9="الكل",$I803,IF('الداشبورد'!$B$9="بدون حالة","P",'الداشبورد'!$B$9)))</f>
        <v/>
      </c>
      <c r="V803">
        <f>--($D803=IF('الداشبورد'!$B$10="الكل",$D803,'الداشبورد'!$B$10))</f>
        <v/>
      </c>
      <c r="W803">
        <f>--($G803=IF('الداشبورد'!$B$11="الكل",$G803,'الداشبورد'!$B$11))</f>
        <v/>
      </c>
      <c r="X803">
        <f>Q803*R803*S803*T803*U803*V803*W803*--($C803&lt;&gt;"")</f>
        <v/>
      </c>
    </row>
    <row r="804">
      <c r="A804" s="15" t="n">
        <v>7</v>
      </c>
      <c r="B804" s="15" t="inlineStr">
        <is>
          <t>R185038</t>
        </is>
      </c>
      <c r="C804" s="15" t="inlineStr">
        <is>
          <t>1411/26/02</t>
        </is>
      </c>
      <c r="D804" s="15" t="inlineStr">
        <is>
          <t>Sadacavi</t>
        </is>
      </c>
      <c r="E804" s="15" t="inlineStr">
        <is>
          <t>MV</t>
        </is>
      </c>
      <c r="F804" s="15" t="inlineStr">
        <is>
          <t>18/30 KV 1X70</t>
        </is>
      </c>
      <c r="G804" s="15" t="inlineStr">
        <is>
          <t>EX06</t>
        </is>
      </c>
      <c r="H804" s="15" t="inlineStr">
        <is>
          <t>Wooden Drums</t>
        </is>
      </c>
      <c r="I804" s="15" t="inlineStr">
        <is>
          <t>Hold</t>
        </is>
      </c>
      <c r="J804" s="15" t="inlineStr">
        <is>
          <t>A</t>
        </is>
      </c>
      <c r="K804" s="15" t="inlineStr">
        <is>
          <t>Y</t>
        </is>
      </c>
      <c r="L804" s="15" t="n">
        <v>2040</v>
      </c>
      <c r="M804" s="16" t="n">
        <v>0.3774</v>
      </c>
      <c r="N804" s="16" t="n">
        <v>0</v>
      </c>
      <c r="O804" s="16" t="n">
        <v>0</v>
      </c>
      <c r="P804" s="16" t="n">
        <v>0.3774</v>
      </c>
      <c r="Q804">
        <f>--($A804=IF('الداشبورد'!$B$5="الكل",$A804,'الداشبورد'!$B$5))</f>
        <v/>
      </c>
      <c r="R804">
        <f>--($E804=IF('الداشبورد'!$B$6="الكل",$E804,'الداشبورد'!$B$6))</f>
        <v/>
      </c>
      <c r="S804">
        <f>--($K804=IF('الداشبورد'!$B$7="الكل",$K804,IF('الداشبورد'!$B$7="تصدير","Y","N")))</f>
        <v/>
      </c>
      <c r="T804">
        <f>--($J804=IF('الداشبورد'!$B$8="الكل",$J804,IF('الداشبورد'!$B$8="AL","A","C")))</f>
        <v/>
      </c>
      <c r="U804">
        <f>--($I804=IF('الداشبورد'!$B$9="الكل",$I804,IF('الداشبورد'!$B$9="بدون حالة","P",'الداشبورد'!$B$9)))</f>
        <v/>
      </c>
      <c r="V804">
        <f>--($D804=IF('الداشبورد'!$B$10="الكل",$D804,'الداشبورد'!$B$10))</f>
        <v/>
      </c>
      <c r="W804">
        <f>--($G804=IF('الداشبورد'!$B$11="الكل",$G804,'الداشبورد'!$B$11))</f>
        <v/>
      </c>
      <c r="X804">
        <f>Q804*R804*S804*T804*U804*V804*W804*--($C804&lt;&gt;"")</f>
        <v/>
      </c>
    </row>
    <row r="805">
      <c r="A805" s="15" t="n">
        <v>7</v>
      </c>
      <c r="B805" s="15" t="inlineStr">
        <is>
          <t>Z184683</t>
        </is>
      </c>
      <c r="C805" s="15" t="inlineStr">
        <is>
          <t>1101/26/01</t>
        </is>
      </c>
      <c r="D805" s="15" t="inlineStr">
        <is>
          <t>شركة مصر العليا لتوزيع الكهرباء</t>
        </is>
      </c>
      <c r="E805" s="15" t="inlineStr">
        <is>
          <t>MV</t>
        </is>
      </c>
      <c r="F805" s="15" t="inlineStr">
        <is>
          <t>12/20KV 3X300</t>
        </is>
      </c>
      <c r="G805" s="15" t="inlineStr">
        <is>
          <t>EX07</t>
        </is>
      </c>
      <c r="H805" s="15" t="inlineStr">
        <is>
          <t>Wooden Drums</t>
        </is>
      </c>
      <c r="I805" s="15" t="inlineStr">
        <is>
          <t>OK</t>
        </is>
      </c>
      <c r="J805" s="15" t="inlineStr">
        <is>
          <t>A</t>
        </is>
      </c>
      <c r="K805" s="15" t="inlineStr">
        <is>
          <t>N</t>
        </is>
      </c>
      <c r="L805" s="15" t="n">
        <v>408</v>
      </c>
      <c r="M805" s="16" t="n">
        <v>0.9665520000000002</v>
      </c>
      <c r="N805" s="16" t="n">
        <v>0</v>
      </c>
      <c r="O805" s="16" t="n">
        <v>0</v>
      </c>
      <c r="P805" s="16" t="n">
        <v>0.9665520000000002</v>
      </c>
      <c r="Q805">
        <f>--($A805=IF('الداشبورد'!$B$5="الكل",$A805,'الداشبورد'!$B$5))</f>
        <v/>
      </c>
      <c r="R805">
        <f>--($E805=IF('الداشبورد'!$B$6="الكل",$E805,'الداشبورد'!$B$6))</f>
        <v/>
      </c>
      <c r="S805">
        <f>--($K805=IF('الداشبورد'!$B$7="الكل",$K805,IF('الداشبورد'!$B$7="تصدير","Y","N")))</f>
        <v/>
      </c>
      <c r="T805">
        <f>--($J805=IF('الداشبورد'!$B$8="الكل",$J805,IF('الداشبورد'!$B$8="AL","A","C")))</f>
        <v/>
      </c>
      <c r="U805">
        <f>--($I805=IF('الداشبورد'!$B$9="الكل",$I805,IF('الداشبورد'!$B$9="بدون حالة","P",'الداشبورد'!$B$9)))</f>
        <v/>
      </c>
      <c r="V805">
        <f>--($D805=IF('الداشبورد'!$B$10="الكل",$D805,'الداشبورد'!$B$10))</f>
        <v/>
      </c>
      <c r="W805">
        <f>--($G805=IF('الداشبورد'!$B$11="الكل",$G805,'الداشبورد'!$B$11))</f>
        <v/>
      </c>
      <c r="X805">
        <f>Q805*R805*S805*T805*U805*V805*W805*--($C805&lt;&gt;"")</f>
        <v/>
      </c>
    </row>
    <row r="806">
      <c r="A806" s="15" t="n">
        <v>7</v>
      </c>
      <c r="B806" s="15" t="inlineStr">
        <is>
          <t>Z185001</t>
        </is>
      </c>
      <c r="C806" s="15" t="inlineStr">
        <is>
          <t>1101/26/01</t>
        </is>
      </c>
      <c r="D806" s="15" t="inlineStr">
        <is>
          <t>شركة مصر العليا لتوزيع الكهرباء</t>
        </is>
      </c>
      <c r="E806" s="15" t="inlineStr">
        <is>
          <t>MV</t>
        </is>
      </c>
      <c r="F806" s="15" t="inlineStr">
        <is>
          <t>12/20KV 3X300</t>
        </is>
      </c>
      <c r="G806" s="15" t="inlineStr">
        <is>
          <t>EX07</t>
        </is>
      </c>
      <c r="H806" s="15" t="inlineStr">
        <is>
          <t>Wooden Drums</t>
        </is>
      </c>
      <c r="I806" s="15" t="inlineStr">
        <is>
          <t>OK</t>
        </is>
      </c>
      <c r="J806" s="15" t="inlineStr">
        <is>
          <t>A</t>
        </is>
      </c>
      <c r="K806" s="15" t="inlineStr">
        <is>
          <t>N</t>
        </is>
      </c>
      <c r="L806" s="15" t="n">
        <v>406</v>
      </c>
      <c r="M806" s="16" t="n">
        <v>0.9618140000000001</v>
      </c>
      <c r="N806" s="16" t="n">
        <v>0</v>
      </c>
      <c r="O806" s="16" t="n">
        <v>0</v>
      </c>
      <c r="P806" s="16" t="n">
        <v>0.9618140000000001</v>
      </c>
      <c r="Q806">
        <f>--($A806=IF('الداشبورد'!$B$5="الكل",$A806,'الداشبورد'!$B$5))</f>
        <v/>
      </c>
      <c r="R806">
        <f>--($E806=IF('الداشبورد'!$B$6="الكل",$E806,'الداشبورد'!$B$6))</f>
        <v/>
      </c>
      <c r="S806">
        <f>--($K806=IF('الداشبورد'!$B$7="الكل",$K806,IF('الداشبورد'!$B$7="تصدير","Y","N")))</f>
        <v/>
      </c>
      <c r="T806">
        <f>--($J806=IF('الداشبورد'!$B$8="الكل",$J806,IF('الداشبورد'!$B$8="AL","A","C")))</f>
        <v/>
      </c>
      <c r="U806">
        <f>--($I806=IF('الداشبورد'!$B$9="الكل",$I806,IF('الداشبورد'!$B$9="بدون حالة","P",'الداشبورد'!$B$9)))</f>
        <v/>
      </c>
      <c r="V806">
        <f>--($D806=IF('الداشبورد'!$B$10="الكل",$D806,'الداشبورد'!$B$10))</f>
        <v/>
      </c>
      <c r="W806">
        <f>--($G806=IF('الداشبورد'!$B$11="الكل",$G806,'الداشبورد'!$B$11))</f>
        <v/>
      </c>
      <c r="X806">
        <f>Q806*R806*S806*T806*U806*V806*W806*--($C806&lt;&gt;"")</f>
        <v/>
      </c>
    </row>
    <row r="807">
      <c r="A807" s="15" t="n">
        <v>7</v>
      </c>
      <c r="B807" s="15" t="inlineStr">
        <is>
          <t>Z185009</t>
        </is>
      </c>
      <c r="C807" s="15" t="inlineStr">
        <is>
          <t>1101/26/01</t>
        </is>
      </c>
      <c r="D807" s="15" t="inlineStr">
        <is>
          <t>شركة مصر العليا لتوزيع الكهرباء</t>
        </is>
      </c>
      <c r="E807" s="15" t="inlineStr">
        <is>
          <t>MV</t>
        </is>
      </c>
      <c r="F807" s="15" t="inlineStr">
        <is>
          <t>12/20KV 3X300</t>
        </is>
      </c>
      <c r="G807" s="15" t="inlineStr">
        <is>
          <t>EX07</t>
        </is>
      </c>
      <c r="H807" s="15" t="inlineStr">
        <is>
          <t>Wooden Drums</t>
        </is>
      </c>
      <c r="I807" s="15" t="inlineStr">
        <is>
          <t>OK</t>
        </is>
      </c>
      <c r="J807" s="15" t="inlineStr">
        <is>
          <t>A</t>
        </is>
      </c>
      <c r="K807" s="15" t="inlineStr">
        <is>
          <t>N</t>
        </is>
      </c>
      <c r="L807" s="15" t="n">
        <v>400</v>
      </c>
      <c r="M807" s="16" t="n">
        <v>0.9476000000000001</v>
      </c>
      <c r="N807" s="16" t="n">
        <v>0</v>
      </c>
      <c r="O807" s="16" t="n">
        <v>0</v>
      </c>
      <c r="P807" s="16" t="n">
        <v>0.9476000000000001</v>
      </c>
      <c r="Q807">
        <f>--($A807=IF('الداشبورد'!$B$5="الكل",$A807,'الداشبورد'!$B$5))</f>
        <v/>
      </c>
      <c r="R807">
        <f>--($E807=IF('الداشبورد'!$B$6="الكل",$E807,'الداشبورد'!$B$6))</f>
        <v/>
      </c>
      <c r="S807">
        <f>--($K807=IF('الداشبورد'!$B$7="الكل",$K807,IF('الداشبورد'!$B$7="تصدير","Y","N")))</f>
        <v/>
      </c>
      <c r="T807">
        <f>--($J807=IF('الداشبورد'!$B$8="الكل",$J807,IF('الداشبورد'!$B$8="AL","A","C")))</f>
        <v/>
      </c>
      <c r="U807">
        <f>--($I807=IF('الداشبورد'!$B$9="الكل",$I807,IF('الداشبورد'!$B$9="بدون حالة","P",'الداشبورد'!$B$9)))</f>
        <v/>
      </c>
      <c r="V807">
        <f>--($D807=IF('الداشبورد'!$B$10="الكل",$D807,'الداشبورد'!$B$10))</f>
        <v/>
      </c>
      <c r="W807">
        <f>--($G807=IF('الداشبورد'!$B$11="الكل",$G807,'الداشبورد'!$B$11))</f>
        <v/>
      </c>
      <c r="X807">
        <f>Q807*R807*S807*T807*U807*V807*W807*--($C807&lt;&gt;"")</f>
        <v/>
      </c>
    </row>
    <row r="808">
      <c r="A808" s="15" t="n">
        <v>7</v>
      </c>
      <c r="B808" s="15" t="inlineStr">
        <is>
          <t>T184956</t>
        </is>
      </c>
      <c r="C808" s="15" t="inlineStr">
        <is>
          <t>1101/26/01</t>
        </is>
      </c>
      <c r="D808" s="15" t="inlineStr">
        <is>
          <t>شركة مصر العليا لتوزيع الكهرباء</t>
        </is>
      </c>
      <c r="E808" s="15" t="inlineStr">
        <is>
          <t>MV</t>
        </is>
      </c>
      <c r="F808" s="15" t="inlineStr">
        <is>
          <t>12/20KV 3X300</t>
        </is>
      </c>
      <c r="G808" s="15" t="inlineStr">
        <is>
          <t>EX07</t>
        </is>
      </c>
      <c r="H808" s="15" t="inlineStr">
        <is>
          <t>Wooden Drums</t>
        </is>
      </c>
      <c r="I808" s="15" t="inlineStr">
        <is>
          <t>OK</t>
        </is>
      </c>
      <c r="J808" s="15" t="inlineStr">
        <is>
          <t>A</t>
        </is>
      </c>
      <c r="K808" s="15" t="inlineStr">
        <is>
          <t>N</t>
        </is>
      </c>
      <c r="L808" s="15" t="n">
        <v>400</v>
      </c>
      <c r="M808" s="16" t="n">
        <v>0.9476000000000001</v>
      </c>
      <c r="N808" s="16" t="n">
        <v>0</v>
      </c>
      <c r="O808" s="16" t="n">
        <v>0</v>
      </c>
      <c r="P808" s="16" t="n">
        <v>0.9476000000000001</v>
      </c>
      <c r="Q808">
        <f>--($A808=IF('الداشبورد'!$B$5="الكل",$A808,'الداشبورد'!$B$5))</f>
        <v/>
      </c>
      <c r="R808">
        <f>--($E808=IF('الداشبورد'!$B$6="الكل",$E808,'الداشبورد'!$B$6))</f>
        <v/>
      </c>
      <c r="S808">
        <f>--($K808=IF('الداشبورد'!$B$7="الكل",$K808,IF('الداشبورد'!$B$7="تصدير","Y","N")))</f>
        <v/>
      </c>
      <c r="T808">
        <f>--($J808=IF('الداشبورد'!$B$8="الكل",$J808,IF('الداشبورد'!$B$8="AL","A","C")))</f>
        <v/>
      </c>
      <c r="U808">
        <f>--($I808=IF('الداشبورد'!$B$9="الكل",$I808,IF('الداشبورد'!$B$9="بدون حالة","P",'الداشبورد'!$B$9)))</f>
        <v/>
      </c>
      <c r="V808">
        <f>--($D808=IF('الداشبورد'!$B$10="الكل",$D808,'الداشبورد'!$B$10))</f>
        <v/>
      </c>
      <c r="W808">
        <f>--($G808=IF('الداشبورد'!$B$11="الكل",$G808,'الداشبورد'!$B$11))</f>
        <v/>
      </c>
      <c r="X808">
        <f>Q808*R808*S808*T808*U808*V808*W808*--($C808&lt;&gt;"")</f>
        <v/>
      </c>
    </row>
    <row r="809">
      <c r="A809" s="15" t="n">
        <v>7</v>
      </c>
      <c r="B809" s="15" t="inlineStr">
        <is>
          <t>V185042</t>
        </is>
      </c>
      <c r="C809" s="15" t="inlineStr">
        <is>
          <t>1101/26/01</t>
        </is>
      </c>
      <c r="D809" s="15" t="inlineStr">
        <is>
          <t>شركة مصر العليا لتوزيع الكهرباء</t>
        </is>
      </c>
      <c r="E809" s="15" t="inlineStr">
        <is>
          <t>MV</t>
        </is>
      </c>
      <c r="F809" s="15" t="inlineStr">
        <is>
          <t>12/20KV 3X300</t>
        </is>
      </c>
      <c r="G809" s="15" t="inlineStr">
        <is>
          <t>EX07</t>
        </is>
      </c>
      <c r="H809" s="15" t="inlineStr">
        <is>
          <t>Wooden Drums</t>
        </is>
      </c>
      <c r="I809" s="15" t="inlineStr">
        <is>
          <t>OK</t>
        </is>
      </c>
      <c r="J809" s="15" t="inlineStr">
        <is>
          <t>A</t>
        </is>
      </c>
      <c r="K809" s="15" t="inlineStr">
        <is>
          <t>N</t>
        </is>
      </c>
      <c r="L809" s="15" t="n">
        <v>400</v>
      </c>
      <c r="M809" s="16" t="n">
        <v>0.9476000000000001</v>
      </c>
      <c r="N809" s="16" t="n">
        <v>0</v>
      </c>
      <c r="O809" s="16" t="n">
        <v>0</v>
      </c>
      <c r="P809" s="16" t="n">
        <v>0.9476000000000001</v>
      </c>
      <c r="Q809">
        <f>--($A809=IF('الداشبورد'!$B$5="الكل",$A809,'الداشبورد'!$B$5))</f>
        <v/>
      </c>
      <c r="R809">
        <f>--($E809=IF('الداشبورد'!$B$6="الكل",$E809,'الداشبورد'!$B$6))</f>
        <v/>
      </c>
      <c r="S809">
        <f>--($K809=IF('الداشبورد'!$B$7="الكل",$K809,IF('الداشبورد'!$B$7="تصدير","Y","N")))</f>
        <v/>
      </c>
      <c r="T809">
        <f>--($J809=IF('الداشبورد'!$B$8="الكل",$J809,IF('الداشبورد'!$B$8="AL","A","C")))</f>
        <v/>
      </c>
      <c r="U809">
        <f>--($I809=IF('الداشبورد'!$B$9="الكل",$I809,IF('الداشبورد'!$B$9="بدون حالة","P",'الداشبورد'!$B$9)))</f>
        <v/>
      </c>
      <c r="V809">
        <f>--($D809=IF('الداشبورد'!$B$10="الكل",$D809,'الداشبورد'!$B$10))</f>
        <v/>
      </c>
      <c r="W809">
        <f>--($G809=IF('الداشبورد'!$B$11="الكل",$G809,'الداشبورد'!$B$11))</f>
        <v/>
      </c>
      <c r="X809">
        <f>Q809*R809*S809*T809*U809*V809*W809*--($C809&lt;&gt;"")</f>
        <v/>
      </c>
    </row>
    <row r="810">
      <c r="A810" s="15" t="n">
        <v>6</v>
      </c>
      <c r="B810" s="15" t="inlineStr">
        <is>
          <t>P184743</t>
        </is>
      </c>
      <c r="C810" s="15" t="inlineStr">
        <is>
          <t>1410/26/05</t>
        </is>
      </c>
      <c r="D810" s="15" t="inlineStr">
        <is>
          <t>Sadacavi</t>
        </is>
      </c>
      <c r="E810" s="15" t="inlineStr">
        <is>
          <t>MV</t>
        </is>
      </c>
      <c r="F810" s="15" t="inlineStr">
        <is>
          <t>12/20 KV 1X240</t>
        </is>
      </c>
      <c r="G810" s="15" t="inlineStr">
        <is>
          <t>EX06</t>
        </is>
      </c>
      <c r="H810" s="15" t="inlineStr">
        <is>
          <t>Wooden Drums</t>
        </is>
      </c>
      <c r="I810" s="15" t="inlineStr">
        <is>
          <t>OK</t>
        </is>
      </c>
      <c r="J810" s="15" t="inlineStr">
        <is>
          <t>A</t>
        </is>
      </c>
      <c r="K810" s="15" t="inlineStr">
        <is>
          <t>Y</t>
        </is>
      </c>
      <c r="L810" s="15" t="n">
        <v>1520</v>
      </c>
      <c r="M810" s="16" t="n">
        <v>0.95152</v>
      </c>
      <c r="N810" s="16" t="n">
        <v>0</v>
      </c>
      <c r="O810" s="16" t="n">
        <v>0</v>
      </c>
      <c r="P810" s="16" t="n">
        <v>0.95152</v>
      </c>
      <c r="Q810">
        <f>--($A810=IF('الداشبورد'!$B$5="الكل",$A810,'الداشبورد'!$B$5))</f>
        <v/>
      </c>
      <c r="R810">
        <f>--($E810=IF('الداشبورد'!$B$6="الكل",$E810,'الداشبورد'!$B$6))</f>
        <v/>
      </c>
      <c r="S810">
        <f>--($K810=IF('الداشبورد'!$B$7="الكل",$K810,IF('الداشبورد'!$B$7="تصدير","Y","N")))</f>
        <v/>
      </c>
      <c r="T810">
        <f>--($J810=IF('الداشبورد'!$B$8="الكل",$J810,IF('الداشبورد'!$B$8="AL","A","C")))</f>
        <v/>
      </c>
      <c r="U810">
        <f>--($I810=IF('الداشبورد'!$B$9="الكل",$I810,IF('الداشبورد'!$B$9="بدون حالة","P",'الداشبورد'!$B$9)))</f>
        <v/>
      </c>
      <c r="V810">
        <f>--($D810=IF('الداشبورد'!$B$10="الكل",$D810,'الداشبورد'!$B$10))</f>
        <v/>
      </c>
      <c r="W810">
        <f>--($G810=IF('الداشبورد'!$B$11="الكل",$G810,'الداشبورد'!$B$11))</f>
        <v/>
      </c>
      <c r="X810">
        <f>Q810*R810*S810*T810*U810*V810*W810*--($C810&lt;&gt;"")</f>
        <v/>
      </c>
    </row>
    <row r="811">
      <c r="A811" s="15" t="n">
        <v>7</v>
      </c>
      <c r="B811" s="15" t="inlineStr">
        <is>
          <t>V184953</t>
        </is>
      </c>
      <c r="C811" s="15" t="inlineStr">
        <is>
          <t>1385/26/03</t>
        </is>
      </c>
      <c r="D811" s="15" t="inlineStr">
        <is>
          <t>الشركة العربية للصناعة والتجارة الدولية</t>
        </is>
      </c>
      <c r="E811" s="15" t="inlineStr">
        <is>
          <t>LV</t>
        </is>
      </c>
      <c r="F811" s="15" t="inlineStr">
        <is>
          <t>0.6/1 KV 3*240+120</t>
        </is>
      </c>
      <c r="G811" s="15" t="inlineStr">
        <is>
          <t>RW01</t>
        </is>
      </c>
      <c r="H811" s="15" t="inlineStr">
        <is>
          <t>Wooden Drums</t>
        </is>
      </c>
      <c r="I811" s="15" t="inlineStr">
        <is>
          <t>OK</t>
        </is>
      </c>
      <c r="J811" s="15" t="inlineStr">
        <is>
          <t>A</t>
        </is>
      </c>
      <c r="K811" s="15" t="inlineStr">
        <is>
          <t>N</t>
        </is>
      </c>
      <c r="L811" s="15" t="n">
        <v>1006</v>
      </c>
      <c r="M811" s="16" t="n">
        <v>2.210182</v>
      </c>
      <c r="N811" s="16" t="n">
        <v>0</v>
      </c>
      <c r="O811" s="16" t="n">
        <v>0</v>
      </c>
      <c r="P811" s="16" t="n">
        <v>2.210182</v>
      </c>
      <c r="Q811">
        <f>--($A811=IF('الداشبورد'!$B$5="الكل",$A811,'الداشبورد'!$B$5))</f>
        <v/>
      </c>
      <c r="R811">
        <f>--($E811=IF('الداشبورد'!$B$6="الكل",$E811,'الداشبورد'!$B$6))</f>
        <v/>
      </c>
      <c r="S811">
        <f>--($K811=IF('الداشبورد'!$B$7="الكل",$K811,IF('الداشبورد'!$B$7="تصدير","Y","N")))</f>
        <v/>
      </c>
      <c r="T811">
        <f>--($J811=IF('الداشبورد'!$B$8="الكل",$J811,IF('الداشبورد'!$B$8="AL","A","C")))</f>
        <v/>
      </c>
      <c r="U811">
        <f>--($I811=IF('الداشبورد'!$B$9="الكل",$I811,IF('الداشبورد'!$B$9="بدون حالة","P",'الداشبورد'!$B$9)))</f>
        <v/>
      </c>
      <c r="V811">
        <f>--($D811=IF('الداشبورد'!$B$10="الكل",$D811,'الداشبورد'!$B$10))</f>
        <v/>
      </c>
      <c r="W811">
        <f>--($G811=IF('الداشبورد'!$B$11="الكل",$G811,'الداشبورد'!$B$11))</f>
        <v/>
      </c>
      <c r="X811">
        <f>Q811*R811*S811*T811*U811*V811*W811*--($C811&lt;&gt;"")</f>
        <v/>
      </c>
    </row>
    <row r="812">
      <c r="A812" s="15" t="n">
        <v>7</v>
      </c>
      <c r="B812" s="15" t="inlineStr">
        <is>
          <t>R185006</t>
        </is>
      </c>
      <c r="C812" s="15" t="inlineStr">
        <is>
          <t>1237/26/02</t>
        </is>
      </c>
      <c r="D812" s="15" t="inlineStr">
        <is>
          <t>Al Jawad- Cote D'ivoire</t>
        </is>
      </c>
      <c r="E812" s="15" t="inlineStr">
        <is>
          <t>MV</t>
        </is>
      </c>
      <c r="F812" s="15" t="inlineStr">
        <is>
          <t>18/30KV 3*1*240</t>
        </is>
      </c>
      <c r="G812" s="15" t="inlineStr">
        <is>
          <t>CT03</t>
        </is>
      </c>
      <c r="H812" s="15" t="inlineStr">
        <is>
          <t>Wooden Drums</t>
        </is>
      </c>
      <c r="I812" s="15" t="inlineStr">
        <is>
          <t>OK</t>
        </is>
      </c>
      <c r="J812" s="15" t="inlineStr">
        <is>
          <t>A</t>
        </is>
      </c>
      <c r="K812" s="15" t="inlineStr">
        <is>
          <t>Y</t>
        </is>
      </c>
      <c r="L812" s="15" t="n">
        <v>600</v>
      </c>
      <c r="M812" s="16" t="n">
        <v>1.1226</v>
      </c>
      <c r="N812" s="16" t="n">
        <v>0</v>
      </c>
      <c r="O812" s="16" t="n">
        <v>0</v>
      </c>
      <c r="P812" s="16" t="n">
        <v>1.1226</v>
      </c>
      <c r="Q812">
        <f>--($A812=IF('الداشبورد'!$B$5="الكل",$A812,'الداشبورد'!$B$5))</f>
        <v/>
      </c>
      <c r="R812">
        <f>--($E812=IF('الداشبورد'!$B$6="الكل",$E812,'الداشبورد'!$B$6))</f>
        <v/>
      </c>
      <c r="S812">
        <f>--($K812=IF('الداشبورد'!$B$7="الكل",$K812,IF('الداشبورد'!$B$7="تصدير","Y","N")))</f>
        <v/>
      </c>
      <c r="T812">
        <f>--($J812=IF('الداشبورد'!$B$8="الكل",$J812,IF('الداشبورد'!$B$8="AL","A","C")))</f>
        <v/>
      </c>
      <c r="U812">
        <f>--($I812=IF('الداشبورد'!$B$9="الكل",$I812,IF('الداشبورد'!$B$9="بدون حالة","P",'الداشبورد'!$B$9)))</f>
        <v/>
      </c>
      <c r="V812">
        <f>--($D812=IF('الداشبورد'!$B$10="الكل",$D812,'الداشبورد'!$B$10))</f>
        <v/>
      </c>
      <c r="W812">
        <f>--($G812=IF('الداشبورد'!$B$11="الكل",$G812,'الداشبورد'!$B$11))</f>
        <v/>
      </c>
      <c r="X812">
        <f>Q812*R812*S812*T812*U812*V812*W812*--($C812&lt;&gt;"")</f>
        <v/>
      </c>
    </row>
    <row r="813">
      <c r="A813" s="15" t="n">
        <v>7</v>
      </c>
      <c r="B813" s="15" t="inlineStr">
        <is>
          <t>V184950</t>
        </is>
      </c>
      <c r="C813" s="15" t="inlineStr">
        <is>
          <t>1101/26/01</t>
        </is>
      </c>
      <c r="D813" s="15" t="inlineStr">
        <is>
          <t>شركة مصر العليا لتوزيع الكهرباء</t>
        </is>
      </c>
      <c r="E813" s="15" t="inlineStr">
        <is>
          <t>MV</t>
        </is>
      </c>
      <c r="F813" s="15" t="inlineStr">
        <is>
          <t>12/20KV 3X300</t>
        </is>
      </c>
      <c r="G813" s="15" t="inlineStr">
        <is>
          <t>EX07</t>
        </is>
      </c>
      <c r="H813" s="15" t="inlineStr">
        <is>
          <t>Wooden Drums</t>
        </is>
      </c>
      <c r="I813" s="15" t="inlineStr">
        <is>
          <t>OK</t>
        </is>
      </c>
      <c r="J813" s="15" t="inlineStr">
        <is>
          <t>A</t>
        </is>
      </c>
      <c r="K813" s="15" t="inlineStr">
        <is>
          <t>N</t>
        </is>
      </c>
      <c r="L813" s="15" t="n">
        <v>405</v>
      </c>
      <c r="M813" s="16" t="n">
        <v>0.9594450000000001</v>
      </c>
      <c r="N813" s="16" t="n">
        <v>0</v>
      </c>
      <c r="O813" s="16" t="n">
        <v>0</v>
      </c>
      <c r="P813" s="16" t="n">
        <v>0.9594450000000001</v>
      </c>
      <c r="Q813">
        <f>--($A813=IF('الداشبورد'!$B$5="الكل",$A813,'الداشبورد'!$B$5))</f>
        <v/>
      </c>
      <c r="R813">
        <f>--($E813=IF('الداشبورد'!$B$6="الكل",$E813,'الداشبورد'!$B$6))</f>
        <v/>
      </c>
      <c r="S813">
        <f>--($K813=IF('الداشبورد'!$B$7="الكل",$K813,IF('الداشبورد'!$B$7="تصدير","Y","N")))</f>
        <v/>
      </c>
      <c r="T813">
        <f>--($J813=IF('الداشبورد'!$B$8="الكل",$J813,IF('الداشبورد'!$B$8="AL","A","C")))</f>
        <v/>
      </c>
      <c r="U813">
        <f>--($I813=IF('الداشبورد'!$B$9="الكل",$I813,IF('الداشبورد'!$B$9="بدون حالة","P",'الداشبورد'!$B$9)))</f>
        <v/>
      </c>
      <c r="V813">
        <f>--($D813=IF('الداشبورد'!$B$10="الكل",$D813,'الداشبورد'!$B$10))</f>
        <v/>
      </c>
      <c r="W813">
        <f>--($G813=IF('الداشبورد'!$B$11="الكل",$G813,'الداشبورد'!$B$11))</f>
        <v/>
      </c>
      <c r="X813">
        <f>Q813*R813*S813*T813*U813*V813*W813*--($C813&lt;&gt;"")</f>
        <v/>
      </c>
    </row>
    <row r="814">
      <c r="A814" s="15" t="n">
        <v>7</v>
      </c>
      <c r="B814" s="15" t="inlineStr">
        <is>
          <t>L184898</t>
        </is>
      </c>
      <c r="C814" s="15" t="inlineStr">
        <is>
          <t>1549/26/07</t>
        </is>
      </c>
      <c r="D814" s="15" t="inlineStr">
        <is>
          <t>Next Technologies Limited</t>
        </is>
      </c>
      <c r="E814" s="15" t="inlineStr">
        <is>
          <t>LV</t>
        </is>
      </c>
      <c r="F814" s="15" t="inlineStr">
        <is>
          <t>0.6/1 KV 4*50</t>
        </is>
      </c>
      <c r="G814" s="15" t="inlineStr">
        <is>
          <t>EX08</t>
        </is>
      </c>
      <c r="H814" s="15" t="inlineStr">
        <is>
          <t>Wooden Drums</t>
        </is>
      </c>
      <c r="I814" s="15" t="inlineStr">
        <is>
          <t>OK</t>
        </is>
      </c>
      <c r="J814" s="15" t="inlineStr">
        <is>
          <t>C</t>
        </is>
      </c>
      <c r="K814" s="15" t="inlineStr">
        <is>
          <t>Y</t>
        </is>
      </c>
      <c r="L814" s="15" t="n">
        <v>105</v>
      </c>
      <c r="M814" s="16" t="n">
        <v>0.168945</v>
      </c>
      <c r="N814" s="16" t="n">
        <v>0</v>
      </c>
      <c r="O814" s="16" t="n">
        <v>0</v>
      </c>
      <c r="P814" s="16" t="n">
        <v>0.168945</v>
      </c>
      <c r="Q814">
        <f>--($A814=IF('الداشبورد'!$B$5="الكل",$A814,'الداشبورد'!$B$5))</f>
        <v/>
      </c>
      <c r="R814">
        <f>--($E814=IF('الداشبورد'!$B$6="الكل",$E814,'الداشبورد'!$B$6))</f>
        <v/>
      </c>
      <c r="S814">
        <f>--($K814=IF('الداشبورد'!$B$7="الكل",$K814,IF('الداشبورد'!$B$7="تصدير","Y","N")))</f>
        <v/>
      </c>
      <c r="T814">
        <f>--($J814=IF('الداشبورد'!$B$8="الكل",$J814,IF('الداشبورد'!$B$8="AL","A","C")))</f>
        <v/>
      </c>
      <c r="U814">
        <f>--($I814=IF('الداشبورد'!$B$9="الكل",$I814,IF('الداشبورد'!$B$9="بدون حالة","P",'الداشبورد'!$B$9)))</f>
        <v/>
      </c>
      <c r="V814">
        <f>--($D814=IF('الداشبورد'!$B$10="الكل",$D814,'الداشبورد'!$B$10))</f>
        <v/>
      </c>
      <c r="W814">
        <f>--($G814=IF('الداشبورد'!$B$11="الكل",$G814,'الداشبورد'!$B$11))</f>
        <v/>
      </c>
      <c r="X814">
        <f>Q814*R814*S814*T814*U814*V814*W814*--($C814&lt;&gt;"")</f>
        <v/>
      </c>
    </row>
    <row r="815">
      <c r="A815" s="15" t="n">
        <v>7</v>
      </c>
      <c r="B815" s="15" t="inlineStr">
        <is>
          <t>Z184926</t>
        </is>
      </c>
      <c r="C815" s="15" t="inlineStr">
        <is>
          <t>803/26/01</t>
        </is>
      </c>
      <c r="D815" s="15" t="inlineStr">
        <is>
          <t>الشركة العربية للصناعة والتجارة الدولية</t>
        </is>
      </c>
      <c r="E815" s="15" t="inlineStr">
        <is>
          <t>MV</t>
        </is>
      </c>
      <c r="F815" s="15" t="inlineStr">
        <is>
          <t>18 / 30 KV 3 X 400 MM</t>
        </is>
      </c>
      <c r="G815" s="15" t="inlineStr">
        <is>
          <t>EX04</t>
        </is>
      </c>
      <c r="H815" s="15" t="inlineStr">
        <is>
          <t>Wooden Drums</t>
        </is>
      </c>
      <c r="I815" s="15" t="inlineStr">
        <is>
          <t>OK</t>
        </is>
      </c>
      <c r="J815" s="15" t="inlineStr">
        <is>
          <t>A</t>
        </is>
      </c>
      <c r="K815" s="15" t="inlineStr">
        <is>
          <t>N</t>
        </is>
      </c>
      <c r="L815" s="15" t="n">
        <v>395</v>
      </c>
      <c r="M815" s="16" t="n">
        <v>1.21107</v>
      </c>
      <c r="N815" s="16" t="n">
        <v>0</v>
      </c>
      <c r="O815" s="16" t="n">
        <v>0</v>
      </c>
      <c r="P815" s="16" t="n">
        <v>1.21107</v>
      </c>
      <c r="Q815">
        <f>--($A815=IF('الداشبورد'!$B$5="الكل",$A815,'الداشبورد'!$B$5))</f>
        <v/>
      </c>
      <c r="R815">
        <f>--($E815=IF('الداشبورد'!$B$6="الكل",$E815,'الداشبورد'!$B$6))</f>
        <v/>
      </c>
      <c r="S815">
        <f>--($K815=IF('الداشبورد'!$B$7="الكل",$K815,IF('الداشبورد'!$B$7="تصدير","Y","N")))</f>
        <v/>
      </c>
      <c r="T815">
        <f>--($J815=IF('الداشبورد'!$B$8="الكل",$J815,IF('الداشبورد'!$B$8="AL","A","C")))</f>
        <v/>
      </c>
      <c r="U815">
        <f>--($I815=IF('الداشبورد'!$B$9="الكل",$I815,IF('الداشبورد'!$B$9="بدون حالة","P",'الداشبورد'!$B$9)))</f>
        <v/>
      </c>
      <c r="V815">
        <f>--($D815=IF('الداشبورد'!$B$10="الكل",$D815,'الداشبورد'!$B$10))</f>
        <v/>
      </c>
      <c r="W815">
        <f>--($G815=IF('الداشبورد'!$B$11="الكل",$G815,'الداشبورد'!$B$11))</f>
        <v/>
      </c>
      <c r="X815">
        <f>Q815*R815*S815*T815*U815*V815*W815*--($C815&lt;&gt;"")</f>
        <v/>
      </c>
    </row>
    <row r="816">
      <c r="A816" s="15" t="n">
        <v>6</v>
      </c>
      <c r="B816" s="15" t="inlineStr">
        <is>
          <t>V184628</t>
        </is>
      </c>
      <c r="C816" s="15" t="inlineStr">
        <is>
          <t>1101/26/01</t>
        </is>
      </c>
      <c r="D816" s="15" t="inlineStr">
        <is>
          <t>شركة مصر العليا لتوزيع الكهرباء</t>
        </is>
      </c>
      <c r="E816" s="15" t="inlineStr">
        <is>
          <t>MV</t>
        </is>
      </c>
      <c r="F816" s="15" t="inlineStr">
        <is>
          <t>12/20KV 3X300</t>
        </is>
      </c>
      <c r="G816" s="15" t="inlineStr">
        <is>
          <t>EX07</t>
        </is>
      </c>
      <c r="H816" s="15" t="inlineStr">
        <is>
          <t>Wooden Drums</t>
        </is>
      </c>
      <c r="I816" s="15" t="inlineStr">
        <is>
          <t>OK</t>
        </is>
      </c>
      <c r="J816" s="15" t="inlineStr">
        <is>
          <t>A</t>
        </is>
      </c>
      <c r="K816" s="15" t="inlineStr">
        <is>
          <t>N</t>
        </is>
      </c>
      <c r="L816" s="15" t="n">
        <v>405</v>
      </c>
      <c r="M816" s="16" t="n">
        <v>0.9594450000000001</v>
      </c>
      <c r="N816" s="16" t="n">
        <v>0</v>
      </c>
      <c r="O816" s="16" t="n">
        <v>0</v>
      </c>
      <c r="P816" s="16" t="n">
        <v>0.9594450000000001</v>
      </c>
      <c r="Q816">
        <f>--($A816=IF('الداشبورد'!$B$5="الكل",$A816,'الداشبورد'!$B$5))</f>
        <v/>
      </c>
      <c r="R816">
        <f>--($E816=IF('الداشبورد'!$B$6="الكل",$E816,'الداشبورد'!$B$6))</f>
        <v/>
      </c>
      <c r="S816">
        <f>--($K816=IF('الداشبورد'!$B$7="الكل",$K816,IF('الداشبورد'!$B$7="تصدير","Y","N")))</f>
        <v/>
      </c>
      <c r="T816">
        <f>--($J816=IF('الداشبورد'!$B$8="الكل",$J816,IF('الداشبورد'!$B$8="AL","A","C")))</f>
        <v/>
      </c>
      <c r="U816">
        <f>--($I816=IF('الداشبورد'!$B$9="الكل",$I816,IF('الداشبورد'!$B$9="بدون حالة","P",'الداشبورد'!$B$9)))</f>
        <v/>
      </c>
      <c r="V816">
        <f>--($D816=IF('الداشبورد'!$B$10="الكل",$D816,'الداشبورد'!$B$10))</f>
        <v/>
      </c>
      <c r="W816">
        <f>--($G816=IF('الداشبورد'!$B$11="الكل",$G816,'الداشبورد'!$B$11))</f>
        <v/>
      </c>
      <c r="X816">
        <f>Q816*R816*S816*T816*U816*V816*W816*--($C816&lt;&gt;"")</f>
        <v/>
      </c>
    </row>
    <row r="817">
      <c r="A817" s="15" t="n">
        <v>1</v>
      </c>
      <c r="B817" s="15" t="inlineStr">
        <is>
          <t>L184238</t>
        </is>
      </c>
      <c r="C817" s="15" t="inlineStr">
        <is>
          <t>395/26/01</t>
        </is>
      </c>
      <c r="D817" s="15" t="inlineStr">
        <is>
          <t>Eland Cables</t>
        </is>
      </c>
      <c r="E817" s="15" t="inlineStr">
        <is>
          <t>MV</t>
        </is>
      </c>
      <c r="F817" s="15" t="inlineStr">
        <is>
          <t>6.35/11 KV 1X240</t>
        </is>
      </c>
      <c r="G817" s="15" t="inlineStr">
        <is>
          <t>EX09</t>
        </is>
      </c>
      <c r="H817" s="15" t="inlineStr">
        <is>
          <t>Wooden Drums</t>
        </is>
      </c>
      <c r="I817" s="15" t="inlineStr">
        <is>
          <t>OK</t>
        </is>
      </c>
      <c r="J817" s="15" t="inlineStr">
        <is>
          <t>C</t>
        </is>
      </c>
      <c r="K817" s="15" t="inlineStr">
        <is>
          <t>Y</t>
        </is>
      </c>
      <c r="L817" s="15" t="n">
        <v>753</v>
      </c>
      <c r="M817" s="16" t="n">
        <v>1.582806</v>
      </c>
      <c r="N817" s="16" t="n">
        <v>0</v>
      </c>
      <c r="O817" s="16" t="n">
        <v>0.274845</v>
      </c>
      <c r="P817" s="16" t="n">
        <v>1.857651</v>
      </c>
      <c r="Q817">
        <f>--($A817=IF('الداشبورد'!$B$5="الكل",$A817,'الداشبورد'!$B$5))</f>
        <v/>
      </c>
      <c r="R817">
        <f>--($E817=IF('الداشبورد'!$B$6="الكل",$E817,'الداشبورد'!$B$6))</f>
        <v/>
      </c>
      <c r="S817">
        <f>--($K817=IF('الداشبورد'!$B$7="الكل",$K817,IF('الداشبورد'!$B$7="تصدير","Y","N")))</f>
        <v/>
      </c>
      <c r="T817">
        <f>--($J817=IF('الداشبورد'!$B$8="الكل",$J817,IF('الداشبورد'!$B$8="AL","A","C")))</f>
        <v/>
      </c>
      <c r="U817">
        <f>--($I817=IF('الداشبورد'!$B$9="الكل",$I817,IF('الداشبورد'!$B$9="بدون حالة","P",'الداشبورد'!$B$9)))</f>
        <v/>
      </c>
      <c r="V817">
        <f>--($D817=IF('الداشبورد'!$B$10="الكل",$D817,'الداشبورد'!$B$10))</f>
        <v/>
      </c>
      <c r="W817">
        <f>--($G817=IF('الداشبورد'!$B$11="الكل",$G817,'الداشبورد'!$B$11))</f>
        <v/>
      </c>
      <c r="X817">
        <f>Q817*R817*S817*T817*U817*V817*W817*--($C817&lt;&gt;"")</f>
        <v/>
      </c>
    </row>
    <row r="818">
      <c r="A818" s="15" t="n">
        <v>4</v>
      </c>
      <c r="B818" s="15" t="inlineStr">
        <is>
          <t>O184448</t>
        </is>
      </c>
      <c r="C818" s="15" t="inlineStr">
        <is>
          <t>1215/26/03</t>
        </is>
      </c>
      <c r="D818" s="15" t="inlineStr">
        <is>
          <t>Eland Cables</t>
        </is>
      </c>
      <c r="E818" s="15" t="inlineStr">
        <is>
          <t>MV</t>
        </is>
      </c>
      <c r="F818" s="15" t="inlineStr">
        <is>
          <t>6.35/11KV 1*300</t>
        </is>
      </c>
      <c r="G818" s="15" t="inlineStr">
        <is>
          <t>EX04</t>
        </is>
      </c>
      <c r="H818" s="15" t="inlineStr">
        <is>
          <t>Wooden Drums</t>
        </is>
      </c>
      <c r="I818" s="15" t="inlineStr">
        <is>
          <t>OK</t>
        </is>
      </c>
      <c r="J818" s="15" t="inlineStr">
        <is>
          <t>C</t>
        </is>
      </c>
      <c r="K818" s="15" t="inlineStr">
        <is>
          <t>Y</t>
        </is>
      </c>
      <c r="L818" s="15" t="n">
        <v>1010</v>
      </c>
      <c r="M818" s="16" t="n">
        <v>2.64519</v>
      </c>
      <c r="N818" s="16" t="n">
        <v>0</v>
      </c>
      <c r="O818" s="16" t="n">
        <v>0.36865</v>
      </c>
      <c r="P818" s="16" t="n">
        <v>3.01384</v>
      </c>
      <c r="Q818">
        <f>--($A818=IF('الداشبورد'!$B$5="الكل",$A818,'الداشبورد'!$B$5))</f>
        <v/>
      </c>
      <c r="R818">
        <f>--($E818=IF('الداشبورد'!$B$6="الكل",$E818,'الداشبورد'!$B$6))</f>
        <v/>
      </c>
      <c r="S818">
        <f>--($K818=IF('الداشبورد'!$B$7="الكل",$K818,IF('الداشبورد'!$B$7="تصدير","Y","N")))</f>
        <v/>
      </c>
      <c r="T818">
        <f>--($J818=IF('الداشبورد'!$B$8="الكل",$J818,IF('الداشبورد'!$B$8="AL","A","C")))</f>
        <v/>
      </c>
      <c r="U818">
        <f>--($I818=IF('الداشبورد'!$B$9="الكل",$I818,IF('الداشبورد'!$B$9="بدون حالة","P",'الداشبورد'!$B$9)))</f>
        <v/>
      </c>
      <c r="V818">
        <f>--($D818=IF('الداشبورد'!$B$10="الكل",$D818,'الداشبورد'!$B$10))</f>
        <v/>
      </c>
      <c r="W818">
        <f>--($G818=IF('الداشبورد'!$B$11="الكل",$G818,'الداشبورد'!$B$11))</f>
        <v/>
      </c>
      <c r="X818">
        <f>Q818*R818*S818*T818*U818*V818*W818*--($C818&lt;&gt;"")</f>
        <v/>
      </c>
    </row>
    <row r="819">
      <c r="A819" s="15" t="n">
        <v>7</v>
      </c>
      <c r="B819" s="15" t="inlineStr">
        <is>
          <t>V184916</t>
        </is>
      </c>
      <c r="C819" s="15" t="inlineStr">
        <is>
          <t>1101/26/01</t>
        </is>
      </c>
      <c r="D819" s="15" t="inlineStr">
        <is>
          <t>شركة مصر العليا لتوزيع الكهرباء</t>
        </is>
      </c>
      <c r="E819" s="15" t="inlineStr">
        <is>
          <t>MV</t>
        </is>
      </c>
      <c r="F819" s="15" t="inlineStr">
        <is>
          <t>12/20KV 3X300</t>
        </is>
      </c>
      <c r="G819" s="15" t="inlineStr">
        <is>
          <t>EX04</t>
        </is>
      </c>
      <c r="H819" s="15" t="inlineStr">
        <is>
          <t>Wooden Drums</t>
        </is>
      </c>
      <c r="I819" s="15" t="inlineStr">
        <is>
          <t>OK</t>
        </is>
      </c>
      <c r="J819" s="15" t="inlineStr">
        <is>
          <t>A</t>
        </is>
      </c>
      <c r="K819" s="15" t="inlineStr">
        <is>
          <t>N</t>
        </is>
      </c>
      <c r="L819" s="15" t="n">
        <v>400</v>
      </c>
      <c r="M819" s="16" t="n">
        <v>0.9476000000000001</v>
      </c>
      <c r="N819" s="16" t="n">
        <v>0</v>
      </c>
      <c r="O819" s="16" t="n">
        <v>0</v>
      </c>
      <c r="P819" s="16" t="n">
        <v>0.9476000000000001</v>
      </c>
      <c r="Q819">
        <f>--($A819=IF('الداشبورد'!$B$5="الكل",$A819,'الداشبورد'!$B$5))</f>
        <v/>
      </c>
      <c r="R819">
        <f>--($E819=IF('الداشبورد'!$B$6="الكل",$E819,'الداشبورد'!$B$6))</f>
        <v/>
      </c>
      <c r="S819">
        <f>--($K819=IF('الداشبورد'!$B$7="الكل",$K819,IF('الداشبورد'!$B$7="تصدير","Y","N")))</f>
        <v/>
      </c>
      <c r="T819">
        <f>--($J819=IF('الداشبورد'!$B$8="الكل",$J819,IF('الداشبورد'!$B$8="AL","A","C")))</f>
        <v/>
      </c>
      <c r="U819">
        <f>--($I819=IF('الداشبورد'!$B$9="الكل",$I819,IF('الداشبورد'!$B$9="بدون حالة","P",'الداشبورد'!$B$9)))</f>
        <v/>
      </c>
      <c r="V819">
        <f>--($D819=IF('الداشبورد'!$B$10="الكل",$D819,'الداشبورد'!$B$10))</f>
        <v/>
      </c>
      <c r="W819">
        <f>--($G819=IF('الداشبورد'!$B$11="الكل",$G819,'الداشبورد'!$B$11))</f>
        <v/>
      </c>
      <c r="X819">
        <f>Q819*R819*S819*T819*U819*V819*W819*--($C819&lt;&gt;"")</f>
        <v/>
      </c>
    </row>
    <row r="820">
      <c r="A820" s="15" t="n">
        <v>1</v>
      </c>
      <c r="B820" s="15" t="inlineStr">
        <is>
          <t>L184231</t>
        </is>
      </c>
      <c r="C820" s="15" t="inlineStr">
        <is>
          <t>395/26/01</t>
        </is>
      </c>
      <c r="D820" s="15" t="inlineStr">
        <is>
          <t>Eland Cables</t>
        </is>
      </c>
      <c r="E820" s="15" t="inlineStr">
        <is>
          <t>MV</t>
        </is>
      </c>
      <c r="F820" s="15" t="inlineStr">
        <is>
          <t>6.35/11 KV 1X240</t>
        </is>
      </c>
      <c r="G820" s="15" t="inlineStr">
        <is>
          <t>EX09</t>
        </is>
      </c>
      <c r="H820" s="15" t="inlineStr">
        <is>
          <t>Wooden Drums</t>
        </is>
      </c>
      <c r="I820" s="15" t="inlineStr">
        <is>
          <t>OK</t>
        </is>
      </c>
      <c r="J820" s="15" t="inlineStr">
        <is>
          <t>C</t>
        </is>
      </c>
      <c r="K820" s="15" t="inlineStr">
        <is>
          <t>Y</t>
        </is>
      </c>
      <c r="L820" s="15" t="n">
        <v>753</v>
      </c>
      <c r="M820" s="16" t="n">
        <v>1.582806</v>
      </c>
      <c r="N820" s="16" t="n">
        <v>0</v>
      </c>
      <c r="O820" s="16" t="n">
        <v>0.274845</v>
      </c>
      <c r="P820" s="16" t="n">
        <v>1.857651</v>
      </c>
      <c r="Q820">
        <f>--($A820=IF('الداشبورد'!$B$5="الكل",$A820,'الداشبورد'!$B$5))</f>
        <v/>
      </c>
      <c r="R820">
        <f>--($E820=IF('الداشبورد'!$B$6="الكل",$E820,'الداشبورد'!$B$6))</f>
        <v/>
      </c>
      <c r="S820">
        <f>--($K820=IF('الداشبورد'!$B$7="الكل",$K820,IF('الداشبورد'!$B$7="تصدير","Y","N")))</f>
        <v/>
      </c>
      <c r="T820">
        <f>--($J820=IF('الداشبورد'!$B$8="الكل",$J820,IF('الداشبورد'!$B$8="AL","A","C")))</f>
        <v/>
      </c>
      <c r="U820">
        <f>--($I820=IF('الداشبورد'!$B$9="الكل",$I820,IF('الداشبورد'!$B$9="بدون حالة","P",'الداشبورد'!$B$9)))</f>
        <v/>
      </c>
      <c r="V820">
        <f>--($D820=IF('الداشبورد'!$B$10="الكل",$D820,'الداشبورد'!$B$10))</f>
        <v/>
      </c>
      <c r="W820">
        <f>--($G820=IF('الداشبورد'!$B$11="الكل",$G820,'الداشبورد'!$B$11))</f>
        <v/>
      </c>
      <c r="X820">
        <f>Q820*R820*S820*T820*U820*V820*W820*--($C820&lt;&gt;"")</f>
        <v/>
      </c>
    </row>
    <row r="821">
      <c r="A821" s="15" t="n">
        <v>4</v>
      </c>
      <c r="B821" s="15" t="inlineStr">
        <is>
          <t>O184447</t>
        </is>
      </c>
      <c r="C821" s="15" t="inlineStr">
        <is>
          <t>1214/26/03</t>
        </is>
      </c>
      <c r="D821" s="15" t="inlineStr">
        <is>
          <t>Eland Cables</t>
        </is>
      </c>
      <c r="E821" s="15" t="inlineStr">
        <is>
          <t>MV</t>
        </is>
      </c>
      <c r="F821" s="15" t="inlineStr">
        <is>
          <t>6.35/11KV 1*300</t>
        </is>
      </c>
      <c r="G821" s="15" t="inlineStr">
        <is>
          <t>EX04</t>
        </is>
      </c>
      <c r="H821" s="15" t="inlineStr">
        <is>
          <t>Wooden Drums</t>
        </is>
      </c>
      <c r="I821" s="15" t="inlineStr">
        <is>
          <t>OK</t>
        </is>
      </c>
      <c r="J821" s="15" t="inlineStr">
        <is>
          <t>C</t>
        </is>
      </c>
      <c r="K821" s="15" t="inlineStr">
        <is>
          <t>Y</t>
        </is>
      </c>
      <c r="L821" s="15" t="n">
        <v>1090</v>
      </c>
      <c r="M821" s="16" t="n">
        <v>2.85471</v>
      </c>
      <c r="N821" s="16" t="n">
        <v>0</v>
      </c>
      <c r="O821" s="16" t="n">
        <v>0.39785</v>
      </c>
      <c r="P821" s="16" t="n">
        <v>3.25256</v>
      </c>
      <c r="Q821">
        <f>--($A821=IF('الداشبورد'!$B$5="الكل",$A821,'الداشبورد'!$B$5))</f>
        <v/>
      </c>
      <c r="R821">
        <f>--($E821=IF('الداشبورد'!$B$6="الكل",$E821,'الداشبورد'!$B$6))</f>
        <v/>
      </c>
      <c r="S821">
        <f>--($K821=IF('الداشبورد'!$B$7="الكل",$K821,IF('الداشبورد'!$B$7="تصدير","Y","N")))</f>
        <v/>
      </c>
      <c r="T821">
        <f>--($J821=IF('الداشبورد'!$B$8="الكل",$J821,IF('الداشبورد'!$B$8="AL","A","C")))</f>
        <v/>
      </c>
      <c r="U821">
        <f>--($I821=IF('الداشبورد'!$B$9="الكل",$I821,IF('الداشبورد'!$B$9="بدون حالة","P",'الداشبورد'!$B$9)))</f>
        <v/>
      </c>
      <c r="V821">
        <f>--($D821=IF('الداشبورد'!$B$10="الكل",$D821,'الداشبورد'!$B$10))</f>
        <v/>
      </c>
      <c r="W821">
        <f>--($G821=IF('الداشبورد'!$B$11="الكل",$G821,'الداشبورد'!$B$11))</f>
        <v/>
      </c>
      <c r="X821">
        <f>Q821*R821*S821*T821*U821*V821*W821*--($C821&lt;&gt;"")</f>
        <v/>
      </c>
    </row>
    <row r="822">
      <c r="A822" s="15" t="n">
        <v>4</v>
      </c>
      <c r="B822" s="15" t="inlineStr">
        <is>
          <t>O184446</t>
        </is>
      </c>
      <c r="C822" s="15" t="inlineStr">
        <is>
          <t>1214/26/03</t>
        </is>
      </c>
      <c r="D822" s="15" t="inlineStr">
        <is>
          <t>Eland Cables</t>
        </is>
      </c>
      <c r="E822" s="15" t="inlineStr">
        <is>
          <t>MV</t>
        </is>
      </c>
      <c r="F822" s="15" t="inlineStr">
        <is>
          <t>6.35/11KV 1*300</t>
        </is>
      </c>
      <c r="G822" s="15" t="inlineStr">
        <is>
          <t>EX04</t>
        </is>
      </c>
      <c r="H822" s="15" t="inlineStr">
        <is>
          <t>Wooden Drums</t>
        </is>
      </c>
      <c r="I822" s="15" t="inlineStr">
        <is>
          <t>OK</t>
        </is>
      </c>
      <c r="J822" s="15" t="inlineStr">
        <is>
          <t>C</t>
        </is>
      </c>
      <c r="K822" s="15" t="inlineStr">
        <is>
          <t>Y</t>
        </is>
      </c>
      <c r="L822" s="15" t="n">
        <v>1010</v>
      </c>
      <c r="M822" s="16" t="n">
        <v>2.64519</v>
      </c>
      <c r="N822" s="16" t="n">
        <v>0</v>
      </c>
      <c r="O822" s="16" t="n">
        <v>0.36865</v>
      </c>
      <c r="P822" s="16" t="n">
        <v>3.01384</v>
      </c>
      <c r="Q822">
        <f>--($A822=IF('الداشبورد'!$B$5="الكل",$A822,'الداشبورد'!$B$5))</f>
        <v/>
      </c>
      <c r="R822">
        <f>--($E822=IF('الداشبورد'!$B$6="الكل",$E822,'الداشبورد'!$B$6))</f>
        <v/>
      </c>
      <c r="S822">
        <f>--($K822=IF('الداشبورد'!$B$7="الكل",$K822,IF('الداشبورد'!$B$7="تصدير","Y","N")))</f>
        <v/>
      </c>
      <c r="T822">
        <f>--($J822=IF('الداشبورد'!$B$8="الكل",$J822,IF('الداشبورد'!$B$8="AL","A","C")))</f>
        <v/>
      </c>
      <c r="U822">
        <f>--($I822=IF('الداشبورد'!$B$9="الكل",$I822,IF('الداشبورد'!$B$9="بدون حالة","P",'الداشبورد'!$B$9)))</f>
        <v/>
      </c>
      <c r="V822">
        <f>--($D822=IF('الداشبورد'!$B$10="الكل",$D822,'الداشبورد'!$B$10))</f>
        <v/>
      </c>
      <c r="W822">
        <f>--($G822=IF('الداشبورد'!$B$11="الكل",$G822,'الداشبورد'!$B$11))</f>
        <v/>
      </c>
      <c r="X822">
        <f>Q822*R822*S822*T822*U822*V822*W822*--($C822&lt;&gt;"")</f>
        <v/>
      </c>
    </row>
    <row r="823">
      <c r="A823" s="15" t="n">
        <v>6</v>
      </c>
      <c r="B823" s="15" t="inlineStr">
        <is>
          <t>M184851</t>
        </is>
      </c>
      <c r="C823" s="15" t="inlineStr">
        <is>
          <t>837/26/03</t>
        </is>
      </c>
      <c r="D823" s="15" t="inlineStr">
        <is>
          <t>Faber Kabel</t>
        </is>
      </c>
      <c r="E823" s="15" t="inlineStr">
        <is>
          <t>LV</t>
        </is>
      </c>
      <c r="F823" s="15" t="inlineStr">
        <is>
          <t>600/1000 4X185</t>
        </is>
      </c>
      <c r="G823" s="15" t="inlineStr">
        <is>
          <t>EX03</t>
        </is>
      </c>
      <c r="H823" s="15" t="inlineStr">
        <is>
          <t>Wooden Drums</t>
        </is>
      </c>
      <c r="I823" s="15" t="inlineStr">
        <is>
          <t>OK</t>
        </is>
      </c>
      <c r="J823" s="15" t="inlineStr">
        <is>
          <t>A</t>
        </is>
      </c>
      <c r="K823" s="15" t="inlineStr">
        <is>
          <t>Y</t>
        </is>
      </c>
      <c r="L823" s="15" t="n">
        <v>515</v>
      </c>
      <c r="M823" s="16" t="n">
        <v>0.9594450000000001</v>
      </c>
      <c r="N823" s="16" t="n">
        <v>0</v>
      </c>
      <c r="O823" s="16" t="n">
        <v>0</v>
      </c>
      <c r="P823" s="16" t="n">
        <v>0.9594450000000001</v>
      </c>
      <c r="Q823">
        <f>--($A823=IF('الداشبورد'!$B$5="الكل",$A823,'الداشبورد'!$B$5))</f>
        <v/>
      </c>
      <c r="R823">
        <f>--($E823=IF('الداشبورد'!$B$6="الكل",$E823,'الداشبورد'!$B$6))</f>
        <v/>
      </c>
      <c r="S823">
        <f>--($K823=IF('الداشبورد'!$B$7="الكل",$K823,IF('الداشبورد'!$B$7="تصدير","Y","N")))</f>
        <v/>
      </c>
      <c r="T823">
        <f>--($J823=IF('الداشبورد'!$B$8="الكل",$J823,IF('الداشبورد'!$B$8="AL","A","C")))</f>
        <v/>
      </c>
      <c r="U823">
        <f>--($I823=IF('الداشبورد'!$B$9="الكل",$I823,IF('الداشبورد'!$B$9="بدون حالة","P",'الداشبورد'!$B$9)))</f>
        <v/>
      </c>
      <c r="V823">
        <f>--($D823=IF('الداشبورد'!$B$10="الكل",$D823,'الداشبورد'!$B$10))</f>
        <v/>
      </c>
      <c r="W823">
        <f>--($G823=IF('الداشبورد'!$B$11="الكل",$G823,'الداشبورد'!$B$11))</f>
        <v/>
      </c>
      <c r="X823">
        <f>Q823*R823*S823*T823*U823*V823*W823*--($C823&lt;&gt;"")</f>
        <v/>
      </c>
    </row>
    <row r="824">
      <c r="A824" s="15" t="n">
        <v>1</v>
      </c>
      <c r="B824" s="15" t="inlineStr">
        <is>
          <t>L184232</t>
        </is>
      </c>
      <c r="C824" s="15" t="inlineStr">
        <is>
          <t>395/26/01</t>
        </is>
      </c>
      <c r="D824" s="15" t="inlineStr">
        <is>
          <t>Eland Cables</t>
        </is>
      </c>
      <c r="E824" s="15" t="inlineStr">
        <is>
          <t>MV</t>
        </is>
      </c>
      <c r="F824" s="15" t="inlineStr">
        <is>
          <t>6.35/11 KV 1X240</t>
        </is>
      </c>
      <c r="G824" s="15" t="inlineStr">
        <is>
          <t>EX09</t>
        </is>
      </c>
      <c r="H824" s="15" t="inlineStr">
        <is>
          <t>Wooden Drums</t>
        </is>
      </c>
      <c r="I824" s="15" t="inlineStr">
        <is>
          <t>OK</t>
        </is>
      </c>
      <c r="J824" s="15" t="inlineStr">
        <is>
          <t>C</t>
        </is>
      </c>
      <c r="K824" s="15" t="inlineStr">
        <is>
          <t>Y</t>
        </is>
      </c>
      <c r="L824" s="15" t="n">
        <v>753</v>
      </c>
      <c r="M824" s="16" t="n">
        <v>1.582806</v>
      </c>
      <c r="N824" s="16" t="n">
        <v>0</v>
      </c>
      <c r="O824" s="16" t="n">
        <v>0.274845</v>
      </c>
      <c r="P824" s="16" t="n">
        <v>1.857651</v>
      </c>
      <c r="Q824">
        <f>--($A824=IF('الداشبورد'!$B$5="الكل",$A824,'الداشبورد'!$B$5))</f>
        <v/>
      </c>
      <c r="R824">
        <f>--($E824=IF('الداشبورد'!$B$6="الكل",$E824,'الداشبورد'!$B$6))</f>
        <v/>
      </c>
      <c r="S824">
        <f>--($K824=IF('الداشبورد'!$B$7="الكل",$K824,IF('الداشبورد'!$B$7="تصدير","Y","N")))</f>
        <v/>
      </c>
      <c r="T824">
        <f>--($J824=IF('الداشبورد'!$B$8="الكل",$J824,IF('الداشبورد'!$B$8="AL","A","C")))</f>
        <v/>
      </c>
      <c r="U824">
        <f>--($I824=IF('الداشبورد'!$B$9="الكل",$I824,IF('الداشبورد'!$B$9="بدون حالة","P",'الداشبورد'!$B$9)))</f>
        <v/>
      </c>
      <c r="V824">
        <f>--($D824=IF('الداشبورد'!$B$10="الكل",$D824,'الداشبورد'!$B$10))</f>
        <v/>
      </c>
      <c r="W824">
        <f>--($G824=IF('الداشبورد'!$B$11="الكل",$G824,'الداشبورد'!$B$11))</f>
        <v/>
      </c>
      <c r="X824">
        <f>Q824*R824*S824*T824*U824*V824*W824*--($C824&lt;&gt;"")</f>
        <v/>
      </c>
    </row>
    <row r="825">
      <c r="A825" s="15" t="n">
        <v>6</v>
      </c>
      <c r="B825" s="15" t="inlineStr">
        <is>
          <t>L184827</t>
        </is>
      </c>
      <c r="C825" s="15" t="inlineStr">
        <is>
          <t>1385/26/12</t>
        </is>
      </c>
      <c r="D825" s="15" t="inlineStr">
        <is>
          <t>الشركة العربية للصناعة والتجارة الدولية</t>
        </is>
      </c>
      <c r="E825" s="15" t="inlineStr">
        <is>
          <t>LV</t>
        </is>
      </c>
      <c r="F825" s="15" t="inlineStr">
        <is>
          <t>0.6/1 KV 3X25+16</t>
        </is>
      </c>
      <c r="G825" s="15" t="inlineStr">
        <is>
          <t>EX13</t>
        </is>
      </c>
      <c r="H825" s="15" t="inlineStr">
        <is>
          <t>Wooden Drums</t>
        </is>
      </c>
      <c r="I825" s="15" t="inlineStr">
        <is>
          <t>OK</t>
        </is>
      </c>
      <c r="J825" s="15" t="inlineStr">
        <is>
          <t>A</t>
        </is>
      </c>
      <c r="K825" s="15" t="inlineStr">
        <is>
          <t>N</t>
        </is>
      </c>
      <c r="L825" s="15" t="n">
        <v>1620</v>
      </c>
      <c r="M825" s="16" t="n">
        <v>0.3807</v>
      </c>
      <c r="N825" s="16" t="n">
        <v>0</v>
      </c>
      <c r="O825" s="16" t="n">
        <v>0</v>
      </c>
      <c r="P825" s="16" t="n">
        <v>0.3807</v>
      </c>
      <c r="Q825">
        <f>--($A825=IF('الداشبورد'!$B$5="الكل",$A825,'الداشبورد'!$B$5))</f>
        <v/>
      </c>
      <c r="R825">
        <f>--($E825=IF('الداشبورد'!$B$6="الكل",$E825,'الداشبورد'!$B$6))</f>
        <v/>
      </c>
      <c r="S825">
        <f>--($K825=IF('الداشبورد'!$B$7="الكل",$K825,IF('الداشبورد'!$B$7="تصدير","Y","N")))</f>
        <v/>
      </c>
      <c r="T825">
        <f>--($J825=IF('الداشبورد'!$B$8="الكل",$J825,IF('الداشبورد'!$B$8="AL","A","C")))</f>
        <v/>
      </c>
      <c r="U825">
        <f>--($I825=IF('الداشبورد'!$B$9="الكل",$I825,IF('الداشبورد'!$B$9="بدون حالة","P",'الداشبورد'!$B$9)))</f>
        <v/>
      </c>
      <c r="V825">
        <f>--($D825=IF('الداشبورد'!$B$10="الكل",$D825,'الداشبورد'!$B$10))</f>
        <v/>
      </c>
      <c r="W825">
        <f>--($G825=IF('الداشبورد'!$B$11="الكل",$G825,'الداشبورد'!$B$11))</f>
        <v/>
      </c>
      <c r="X825">
        <f>Q825*R825*S825*T825*U825*V825*W825*--($C825&lt;&gt;"")</f>
        <v/>
      </c>
    </row>
    <row r="826">
      <c r="A826" s="15" t="n">
        <v>6</v>
      </c>
      <c r="B826" s="15" t="inlineStr">
        <is>
          <t>P184728</t>
        </is>
      </c>
      <c r="C826" s="15" t="inlineStr">
        <is>
          <t>1704/26/01</t>
        </is>
      </c>
      <c r="D826" s="15" t="inlineStr">
        <is>
          <t>Helukabel Germany</t>
        </is>
      </c>
      <c r="E826" s="15" t="inlineStr">
        <is>
          <t>LV</t>
        </is>
      </c>
      <c r="F826" s="15" t="inlineStr">
        <is>
          <t>0.6/1 KV 5X120</t>
        </is>
      </c>
      <c r="G826" s="15" t="inlineStr">
        <is>
          <t>EX03</t>
        </is>
      </c>
      <c r="H826" s="15" t="inlineStr">
        <is>
          <t>Wooden Drums</t>
        </is>
      </c>
      <c r="I826" s="15" t="inlineStr">
        <is>
          <t>OK</t>
        </is>
      </c>
      <c r="J826" s="15" t="inlineStr">
        <is>
          <t>A</t>
        </is>
      </c>
      <c r="K826" s="15" t="inlineStr">
        <is>
          <t>Y</t>
        </is>
      </c>
      <c r="L826" s="15" t="n">
        <v>1026</v>
      </c>
      <c r="M826" s="16" t="n">
        <v>1.664172</v>
      </c>
      <c r="N826" s="16" t="n">
        <v>0</v>
      </c>
      <c r="O826" s="16" t="n">
        <v>0</v>
      </c>
      <c r="P826" s="16" t="n">
        <v>1.664172</v>
      </c>
      <c r="Q826">
        <f>--($A826=IF('الداشبورد'!$B$5="الكل",$A826,'الداشبورد'!$B$5))</f>
        <v/>
      </c>
      <c r="R826">
        <f>--($E826=IF('الداشبورد'!$B$6="الكل",$E826,'الداشبورد'!$B$6))</f>
        <v/>
      </c>
      <c r="S826">
        <f>--($K826=IF('الداشبورد'!$B$7="الكل",$K826,IF('الداشبورد'!$B$7="تصدير","Y","N")))</f>
        <v/>
      </c>
      <c r="T826">
        <f>--($J826=IF('الداشبورد'!$B$8="الكل",$J826,IF('الداشبورد'!$B$8="AL","A","C")))</f>
        <v/>
      </c>
      <c r="U826">
        <f>--($I826=IF('الداشبورد'!$B$9="الكل",$I826,IF('الداشبورد'!$B$9="بدون حالة","P",'الداشبورد'!$B$9)))</f>
        <v/>
      </c>
      <c r="V826">
        <f>--($D826=IF('الداشبورد'!$B$10="الكل",$D826,'الداشبورد'!$B$10))</f>
        <v/>
      </c>
      <c r="W826">
        <f>--($G826=IF('الداشبورد'!$B$11="الكل",$G826,'الداشبورد'!$B$11))</f>
        <v/>
      </c>
      <c r="X826">
        <f>Q826*R826*S826*T826*U826*V826*W826*--($C826&lt;&gt;"")</f>
        <v/>
      </c>
    </row>
    <row r="827">
      <c r="A827" s="15" t="n">
        <v>6</v>
      </c>
      <c r="B827" s="15" t="inlineStr">
        <is>
          <t>M184836</t>
        </is>
      </c>
      <c r="C827" s="15" t="inlineStr">
        <is>
          <t>837/26/03</t>
        </is>
      </c>
      <c r="D827" s="15" t="inlineStr">
        <is>
          <t>Faber Kabel</t>
        </is>
      </c>
      <c r="E827" s="15" t="inlineStr">
        <is>
          <t>LV</t>
        </is>
      </c>
      <c r="F827" s="15" t="inlineStr">
        <is>
          <t>600/1000 4X185</t>
        </is>
      </c>
      <c r="G827" s="15" t="inlineStr">
        <is>
          <t>EX03</t>
        </is>
      </c>
      <c r="H827" s="15" t="inlineStr">
        <is>
          <t>Wooden Drums</t>
        </is>
      </c>
      <c r="I827" s="15" t="inlineStr">
        <is>
          <t>OK</t>
        </is>
      </c>
      <c r="J827" s="15" t="inlineStr">
        <is>
          <t>A</t>
        </is>
      </c>
      <c r="K827" s="15" t="inlineStr">
        <is>
          <t>Y</t>
        </is>
      </c>
      <c r="L827" s="15" t="n">
        <v>512</v>
      </c>
      <c r="M827" s="16" t="n">
        <v>0.953856</v>
      </c>
      <c r="N827" s="16" t="n">
        <v>0</v>
      </c>
      <c r="O827" s="16" t="n">
        <v>0</v>
      </c>
      <c r="P827" s="16" t="n">
        <v>0.953856</v>
      </c>
      <c r="Q827">
        <f>--($A827=IF('الداشبورد'!$B$5="الكل",$A827,'الداشبورد'!$B$5))</f>
        <v/>
      </c>
      <c r="R827">
        <f>--($E827=IF('الداشبورد'!$B$6="الكل",$E827,'الداشبورد'!$B$6))</f>
        <v/>
      </c>
      <c r="S827">
        <f>--($K827=IF('الداشبورد'!$B$7="الكل",$K827,IF('الداشبورد'!$B$7="تصدير","Y","N")))</f>
        <v/>
      </c>
      <c r="T827">
        <f>--($J827=IF('الداشبورد'!$B$8="الكل",$J827,IF('الداشبورد'!$B$8="AL","A","C")))</f>
        <v/>
      </c>
      <c r="U827">
        <f>--($I827=IF('الداشبورد'!$B$9="الكل",$I827,IF('الداشبورد'!$B$9="بدون حالة","P",'الداشبورد'!$B$9)))</f>
        <v/>
      </c>
      <c r="V827">
        <f>--($D827=IF('الداشبورد'!$B$10="الكل",$D827,'الداشبورد'!$B$10))</f>
        <v/>
      </c>
      <c r="W827">
        <f>--($G827=IF('الداشبورد'!$B$11="الكل",$G827,'الداشبورد'!$B$11))</f>
        <v/>
      </c>
      <c r="X827">
        <f>Q827*R827*S827*T827*U827*V827*W827*--($C827&lt;&gt;"")</f>
        <v/>
      </c>
    </row>
    <row r="828">
      <c r="A828" s="15" t="n">
        <v>7</v>
      </c>
      <c r="B828" s="15" t="inlineStr">
        <is>
          <t>G184605</t>
        </is>
      </c>
      <c r="C828" s="15" t="inlineStr">
        <is>
          <t>1554/26/28</t>
        </is>
      </c>
      <c r="D828" s="15" t="inlineStr">
        <is>
          <t>المجموعه الهندسيه</t>
        </is>
      </c>
      <c r="E828" s="15" t="inlineStr">
        <is>
          <t>LV</t>
        </is>
      </c>
      <c r="F828" s="15" t="inlineStr">
        <is>
          <t>450/750 V 1*120</t>
        </is>
      </c>
      <c r="G828" s="15" t="inlineStr">
        <is>
          <t>EX01</t>
        </is>
      </c>
      <c r="H828" s="15" t="inlineStr">
        <is>
          <t>Wooden Drums</t>
        </is>
      </c>
      <c r="I828" s="15" t="inlineStr">
        <is>
          <t>P</t>
        </is>
      </c>
      <c r="J828" s="15" t="inlineStr">
        <is>
          <t>C</t>
        </is>
      </c>
      <c r="K828" s="15" t="inlineStr">
        <is>
          <t>N</t>
        </is>
      </c>
      <c r="L828" s="15" t="n">
        <v>105</v>
      </c>
      <c r="M828" s="16" t="n">
        <v>0.10815</v>
      </c>
      <c r="N828" s="16" t="n">
        <v>0</v>
      </c>
      <c r="O828" s="16" t="n">
        <v>0</v>
      </c>
      <c r="P828" s="16" t="n">
        <v>0.10815</v>
      </c>
      <c r="Q828">
        <f>--($A828=IF('الداشبورد'!$B$5="الكل",$A828,'الداشبورد'!$B$5))</f>
        <v/>
      </c>
      <c r="R828">
        <f>--($E828=IF('الداشبورد'!$B$6="الكل",$E828,'الداشبورد'!$B$6))</f>
        <v/>
      </c>
      <c r="S828">
        <f>--($K828=IF('الداشبورد'!$B$7="الكل",$K828,IF('الداشبورد'!$B$7="تصدير","Y","N")))</f>
        <v/>
      </c>
      <c r="T828">
        <f>--($J828=IF('الداشبورد'!$B$8="الكل",$J828,IF('الداشبورد'!$B$8="AL","A","C")))</f>
        <v/>
      </c>
      <c r="U828">
        <f>--($I828=IF('الداشبورد'!$B$9="الكل",$I828,IF('الداشبورد'!$B$9="بدون حالة","P",'الداشبورد'!$B$9)))</f>
        <v/>
      </c>
      <c r="V828">
        <f>--($D828=IF('الداشبورد'!$B$10="الكل",$D828,'الداشبورد'!$B$10))</f>
        <v/>
      </c>
      <c r="W828">
        <f>--($G828=IF('الداشبورد'!$B$11="الكل",$G828,'الداشبورد'!$B$11))</f>
        <v/>
      </c>
      <c r="X828">
        <f>Q828*R828*S828*T828*U828*V828*W828*--($C828&lt;&gt;"")</f>
        <v/>
      </c>
    </row>
    <row r="829">
      <c r="A829" s="15" t="n">
        <v>6</v>
      </c>
      <c r="B829" s="15" t="inlineStr">
        <is>
          <t>P184636</t>
        </is>
      </c>
      <c r="C829" s="15" t="inlineStr">
        <is>
          <t>1385/26/10</t>
        </is>
      </c>
      <c r="D829" s="15" t="inlineStr">
        <is>
          <t>الشركة العربية للصناعة والتجارة الدولية</t>
        </is>
      </c>
      <c r="E829" s="15" t="inlineStr">
        <is>
          <t>LV</t>
        </is>
      </c>
      <c r="F829" s="15" t="inlineStr">
        <is>
          <t>0.6/1 KV 4*35</t>
        </is>
      </c>
      <c r="G829" s="15" t="inlineStr">
        <is>
          <t>EX13</t>
        </is>
      </c>
      <c r="H829" s="15" t="inlineStr">
        <is>
          <t>Wooden Drums</t>
        </is>
      </c>
      <c r="I829" s="15" t="inlineStr">
        <is>
          <t>OK</t>
        </is>
      </c>
      <c r="J829" s="15" t="inlineStr">
        <is>
          <t>A</t>
        </is>
      </c>
      <c r="K829" s="15" t="inlineStr">
        <is>
          <t>N</t>
        </is>
      </c>
      <c r="L829" s="15" t="n">
        <v>2056</v>
      </c>
      <c r="M829" s="16" t="n">
        <v>0.746328</v>
      </c>
      <c r="N829" s="16" t="n">
        <v>0</v>
      </c>
      <c r="O829" s="16" t="n">
        <v>0</v>
      </c>
      <c r="P829" s="16" t="n">
        <v>0.746328</v>
      </c>
      <c r="Q829">
        <f>--($A829=IF('الداشبورد'!$B$5="الكل",$A829,'الداشبورد'!$B$5))</f>
        <v/>
      </c>
      <c r="R829">
        <f>--($E829=IF('الداشبورد'!$B$6="الكل",$E829,'الداشبورد'!$B$6))</f>
        <v/>
      </c>
      <c r="S829">
        <f>--($K829=IF('الداشبورد'!$B$7="الكل",$K829,IF('الداشبورد'!$B$7="تصدير","Y","N")))</f>
        <v/>
      </c>
      <c r="T829">
        <f>--($J829=IF('الداشبورد'!$B$8="الكل",$J829,IF('الداشبورد'!$B$8="AL","A","C")))</f>
        <v/>
      </c>
      <c r="U829">
        <f>--($I829=IF('الداشبورد'!$B$9="الكل",$I829,IF('الداشبورد'!$B$9="بدون حالة","P",'الداشبورد'!$B$9)))</f>
        <v/>
      </c>
      <c r="V829">
        <f>--($D829=IF('الداشبورد'!$B$10="الكل",$D829,'الداشبورد'!$B$10))</f>
        <v/>
      </c>
      <c r="W829">
        <f>--($G829=IF('الداشبورد'!$B$11="الكل",$G829,'الداشبورد'!$B$11))</f>
        <v/>
      </c>
      <c r="X829">
        <f>Q829*R829*S829*T829*U829*V829*W829*--($C829&lt;&gt;"")</f>
        <v/>
      </c>
    </row>
    <row r="830">
      <c r="A830" s="15" t="n">
        <v>6</v>
      </c>
      <c r="B830" s="15" t="inlineStr">
        <is>
          <t>P185020</t>
        </is>
      </c>
      <c r="C830" s="15" t="inlineStr">
        <is>
          <t>1704/26/01</t>
        </is>
      </c>
      <c r="D830" s="15" t="inlineStr">
        <is>
          <t>Helukabel Germany</t>
        </is>
      </c>
      <c r="E830" s="15" t="inlineStr">
        <is>
          <t>LV</t>
        </is>
      </c>
      <c r="F830" s="15" t="inlineStr">
        <is>
          <t>0.6/1 KV 5X120</t>
        </is>
      </c>
      <c r="G830" s="15" t="inlineStr">
        <is>
          <t>EX03</t>
        </is>
      </c>
      <c r="H830" s="15" t="inlineStr">
        <is>
          <t>Wooden Drums</t>
        </is>
      </c>
      <c r="I830" s="15" t="inlineStr">
        <is>
          <t>OK</t>
        </is>
      </c>
      <c r="J830" s="15" t="inlineStr">
        <is>
          <t>A</t>
        </is>
      </c>
      <c r="K830" s="15" t="inlineStr">
        <is>
          <t>Y</t>
        </is>
      </c>
      <c r="L830" s="15" t="n">
        <v>1019</v>
      </c>
      <c r="M830" s="16" t="n">
        <v>1.652818</v>
      </c>
      <c r="N830" s="16" t="n">
        <v>0</v>
      </c>
      <c r="O830" s="16" t="n">
        <v>0</v>
      </c>
      <c r="P830" s="16" t="n">
        <v>1.652818</v>
      </c>
      <c r="Q830">
        <f>--($A830=IF('الداشبورد'!$B$5="الكل",$A830,'الداشبورد'!$B$5))</f>
        <v/>
      </c>
      <c r="R830">
        <f>--($E830=IF('الداشبورد'!$B$6="الكل",$E830,'الداشبورد'!$B$6))</f>
        <v/>
      </c>
      <c r="S830">
        <f>--($K830=IF('الداشبورد'!$B$7="الكل",$K830,IF('الداشبورد'!$B$7="تصدير","Y","N")))</f>
        <v/>
      </c>
      <c r="T830">
        <f>--($J830=IF('الداشبورد'!$B$8="الكل",$J830,IF('الداشبورد'!$B$8="AL","A","C")))</f>
        <v/>
      </c>
      <c r="U830">
        <f>--($I830=IF('الداشبورد'!$B$9="الكل",$I830,IF('الداشبورد'!$B$9="بدون حالة","P",'الداشبورد'!$B$9)))</f>
        <v/>
      </c>
      <c r="V830">
        <f>--($D830=IF('الداشبورد'!$B$10="الكل",$D830,'الداشبورد'!$B$10))</f>
        <v/>
      </c>
      <c r="W830">
        <f>--($G830=IF('الداشبورد'!$B$11="الكل",$G830,'الداشبورد'!$B$11))</f>
        <v/>
      </c>
      <c r="X830">
        <f>Q830*R830*S830*T830*U830*V830*W830*--($C830&lt;&gt;"")</f>
        <v/>
      </c>
    </row>
    <row r="831">
      <c r="A831" s="15" t="n">
        <v>5</v>
      </c>
      <c r="B831" s="15" t="inlineStr">
        <is>
          <t>V184976</t>
        </is>
      </c>
      <c r="C831" s="15" t="inlineStr">
        <is>
          <t>1853/26/01</t>
        </is>
      </c>
      <c r="D831" s="15" t="inlineStr">
        <is>
          <t>شيماء محمد احمد عبدالمغيث</t>
        </is>
      </c>
      <c r="E831" s="15" t="inlineStr">
        <is>
          <t>MV</t>
        </is>
      </c>
      <c r="F831" s="15" t="inlineStr">
        <is>
          <t>12/20KV 3X300</t>
        </is>
      </c>
      <c r="G831" s="15" t="inlineStr">
        <is>
          <t>EX07</t>
        </is>
      </c>
      <c r="H831" s="15" t="inlineStr">
        <is>
          <t>Wooden Drums</t>
        </is>
      </c>
      <c r="I831" s="15" t="inlineStr">
        <is>
          <t>OK</t>
        </is>
      </c>
      <c r="J831" s="15" t="inlineStr">
        <is>
          <t>A</t>
        </is>
      </c>
      <c r="K831" s="15" t="inlineStr">
        <is>
          <t>N</t>
        </is>
      </c>
      <c r="L831" s="15" t="n">
        <v>205</v>
      </c>
      <c r="M831" s="16" t="n">
        <v>0.48421</v>
      </c>
      <c r="N831" s="16" t="n">
        <v>0</v>
      </c>
      <c r="O831" s="16" t="n">
        <v>0</v>
      </c>
      <c r="P831" s="16" t="n">
        <v>0.48421</v>
      </c>
      <c r="Q831">
        <f>--($A831=IF('الداشبورد'!$B$5="الكل",$A831,'الداشبورد'!$B$5))</f>
        <v/>
      </c>
      <c r="R831">
        <f>--($E831=IF('الداشبورد'!$B$6="الكل",$E831,'الداشبورد'!$B$6))</f>
        <v/>
      </c>
      <c r="S831">
        <f>--($K831=IF('الداشبورد'!$B$7="الكل",$K831,IF('الداشبورد'!$B$7="تصدير","Y","N")))</f>
        <v/>
      </c>
      <c r="T831">
        <f>--($J831=IF('الداشبورد'!$B$8="الكل",$J831,IF('الداشبورد'!$B$8="AL","A","C")))</f>
        <v/>
      </c>
      <c r="U831">
        <f>--($I831=IF('الداشبورد'!$B$9="الكل",$I831,IF('الداشبورد'!$B$9="بدون حالة","P",'الداشبورد'!$B$9)))</f>
        <v/>
      </c>
      <c r="V831">
        <f>--($D831=IF('الداشبورد'!$B$10="الكل",$D831,'الداشبورد'!$B$10))</f>
        <v/>
      </c>
      <c r="W831">
        <f>--($G831=IF('الداشبورد'!$B$11="الكل",$G831,'الداشبورد'!$B$11))</f>
        <v/>
      </c>
      <c r="X831">
        <f>Q831*R831*S831*T831*U831*V831*W831*--($C831&lt;&gt;"")</f>
        <v/>
      </c>
    </row>
    <row r="832">
      <c r="Q832">
        <f>--($A832=IF('الداشبورد'!$B$5="الكل",$A832,'الداشبورد'!$B$5))</f>
        <v/>
      </c>
      <c r="R832">
        <f>--($E832=IF('الداشبورد'!$B$6="الكل",$E832,'الداشبورد'!$B$6))</f>
        <v/>
      </c>
      <c r="S832">
        <f>--($K832=IF('الداشبورد'!$B$7="الكل",$K832,IF('الداشبورد'!$B$7="تصدير","Y","N")))</f>
        <v/>
      </c>
      <c r="T832">
        <f>--($J832=IF('الداشبورد'!$B$8="الكل",$J832,IF('الداشبورد'!$B$8="AL","A","C")))</f>
        <v/>
      </c>
      <c r="U832">
        <f>--($I832=IF('الداشبورد'!$B$9="الكل",$I832,IF('الداشبورد'!$B$9="بدون حالة","P",'الداشبورد'!$B$9)))</f>
        <v/>
      </c>
      <c r="V832">
        <f>--($D832=IF('الداشبورد'!$B$10="الكل",$D832,'الداشبورد'!$B$10))</f>
        <v/>
      </c>
      <c r="W832">
        <f>--($G832=IF('الداشبورد'!$B$11="الكل",$G832,'الداشبورد'!$B$11))</f>
        <v/>
      </c>
      <c r="X832">
        <f>Q832*R832*S832*T832*U832*V832*W832*--($C832&lt;&gt;"")</f>
        <v/>
      </c>
    </row>
    <row r="833">
      <c r="Q833">
        <f>--($A833=IF('الداشبورد'!$B$5="الكل",$A833,'الداشبورد'!$B$5))</f>
        <v/>
      </c>
      <c r="R833">
        <f>--($E833=IF('الداشبورد'!$B$6="الكل",$E833,'الداشبورد'!$B$6))</f>
        <v/>
      </c>
      <c r="S833">
        <f>--($K833=IF('الداشبورد'!$B$7="الكل",$K833,IF('الداشبورد'!$B$7="تصدير","Y","N")))</f>
        <v/>
      </c>
      <c r="T833">
        <f>--($J833=IF('الداشبورد'!$B$8="الكل",$J833,IF('الداشبورد'!$B$8="AL","A","C")))</f>
        <v/>
      </c>
      <c r="U833">
        <f>--($I833=IF('الداشبورد'!$B$9="الكل",$I833,IF('الداشبورد'!$B$9="بدون حالة","P",'الداشبورد'!$B$9)))</f>
        <v/>
      </c>
      <c r="V833">
        <f>--($D833=IF('الداشبورد'!$B$10="الكل",$D833,'الداشبورد'!$B$10))</f>
        <v/>
      </c>
      <c r="W833">
        <f>--($G833=IF('الداشبورد'!$B$11="الكل",$G833,'الداشبورد'!$B$11))</f>
        <v/>
      </c>
      <c r="X833">
        <f>Q833*R833*S833*T833*U833*V833*W833*--($C833&lt;&gt;"")</f>
        <v/>
      </c>
    </row>
    <row r="834">
      <c r="Q834">
        <f>--($A834=IF('الداشبورد'!$B$5="الكل",$A834,'الداشبورد'!$B$5))</f>
        <v/>
      </c>
      <c r="R834">
        <f>--($E834=IF('الداشبورد'!$B$6="الكل",$E834,'الداشبورد'!$B$6))</f>
        <v/>
      </c>
      <c r="S834">
        <f>--($K834=IF('الداشبورد'!$B$7="الكل",$K834,IF('الداشبورد'!$B$7="تصدير","Y","N")))</f>
        <v/>
      </c>
      <c r="T834">
        <f>--($J834=IF('الداشبورد'!$B$8="الكل",$J834,IF('الداشبورد'!$B$8="AL","A","C")))</f>
        <v/>
      </c>
      <c r="U834">
        <f>--($I834=IF('الداشبورد'!$B$9="الكل",$I834,IF('الداشبورد'!$B$9="بدون حالة","P",'الداشبورد'!$B$9)))</f>
        <v/>
      </c>
      <c r="V834">
        <f>--($D834=IF('الداشبورد'!$B$10="الكل",$D834,'الداشبورد'!$B$10))</f>
        <v/>
      </c>
      <c r="W834">
        <f>--($G834=IF('الداشبورد'!$B$11="الكل",$G834,'الداشبورد'!$B$11))</f>
        <v/>
      </c>
      <c r="X834">
        <f>Q834*R834*S834*T834*U834*V834*W834*--($C834&lt;&gt;"")</f>
        <v/>
      </c>
    </row>
    <row r="835">
      <c r="Q835">
        <f>--($A835=IF('الداشبورد'!$B$5="الكل",$A835,'الداشبورد'!$B$5))</f>
        <v/>
      </c>
      <c r="R835">
        <f>--($E835=IF('الداشبورد'!$B$6="الكل",$E835,'الداشبورد'!$B$6))</f>
        <v/>
      </c>
      <c r="S835">
        <f>--($K835=IF('الداشبورد'!$B$7="الكل",$K835,IF('الداشبورد'!$B$7="تصدير","Y","N")))</f>
        <v/>
      </c>
      <c r="T835">
        <f>--($J835=IF('الداشبورد'!$B$8="الكل",$J835,IF('الداشبورد'!$B$8="AL","A","C")))</f>
        <v/>
      </c>
      <c r="U835">
        <f>--($I835=IF('الداشبورد'!$B$9="الكل",$I835,IF('الداشبورد'!$B$9="بدون حالة","P",'الداشبورد'!$B$9)))</f>
        <v/>
      </c>
      <c r="V835">
        <f>--($D835=IF('الداشبورد'!$B$10="الكل",$D835,'الداشبورد'!$B$10))</f>
        <v/>
      </c>
      <c r="W835">
        <f>--($G835=IF('الداشبورد'!$B$11="الكل",$G835,'الداشبورد'!$B$11))</f>
        <v/>
      </c>
      <c r="X835">
        <f>Q835*R835*S835*T835*U835*V835*W835*--($C835&lt;&gt;"")</f>
        <v/>
      </c>
    </row>
    <row r="836">
      <c r="Q836">
        <f>--($A836=IF('الداشبورد'!$B$5="الكل",$A836,'الداشبورد'!$B$5))</f>
        <v/>
      </c>
      <c r="R836">
        <f>--($E836=IF('الداشبورد'!$B$6="الكل",$E836,'الداشبورد'!$B$6))</f>
        <v/>
      </c>
      <c r="S836">
        <f>--($K836=IF('الداشبورد'!$B$7="الكل",$K836,IF('الداشبورد'!$B$7="تصدير","Y","N")))</f>
        <v/>
      </c>
      <c r="T836">
        <f>--($J836=IF('الداشبورد'!$B$8="الكل",$J836,IF('الداشبورد'!$B$8="AL","A","C")))</f>
        <v/>
      </c>
      <c r="U836">
        <f>--($I836=IF('الداشبورد'!$B$9="الكل",$I836,IF('الداشبورد'!$B$9="بدون حالة","P",'الداشبورد'!$B$9)))</f>
        <v/>
      </c>
      <c r="V836">
        <f>--($D836=IF('الداشبورد'!$B$10="الكل",$D836,'الداشبورد'!$B$10))</f>
        <v/>
      </c>
      <c r="W836">
        <f>--($G836=IF('الداشبورد'!$B$11="الكل",$G836,'الداشبورد'!$B$11))</f>
        <v/>
      </c>
      <c r="X836">
        <f>Q836*R836*S836*T836*U836*V836*W836*--($C836&lt;&gt;"")</f>
        <v/>
      </c>
    </row>
    <row r="837">
      <c r="Q837">
        <f>--($A837=IF('الداشبورد'!$B$5="الكل",$A837,'الداشبورد'!$B$5))</f>
        <v/>
      </c>
      <c r="R837">
        <f>--($E837=IF('الداشبورد'!$B$6="الكل",$E837,'الداشبورد'!$B$6))</f>
        <v/>
      </c>
      <c r="S837">
        <f>--($K837=IF('الداشبورد'!$B$7="الكل",$K837,IF('الداشبورد'!$B$7="تصدير","Y","N")))</f>
        <v/>
      </c>
      <c r="T837">
        <f>--($J837=IF('الداشبورد'!$B$8="الكل",$J837,IF('الداشبورد'!$B$8="AL","A","C")))</f>
        <v/>
      </c>
      <c r="U837">
        <f>--($I837=IF('الداشبورد'!$B$9="الكل",$I837,IF('الداشبورد'!$B$9="بدون حالة","P",'الداشبورد'!$B$9)))</f>
        <v/>
      </c>
      <c r="V837">
        <f>--($D837=IF('الداشبورد'!$B$10="الكل",$D837,'الداشبورد'!$B$10))</f>
        <v/>
      </c>
      <c r="W837">
        <f>--($G837=IF('الداشبورد'!$B$11="الكل",$G837,'الداشبورد'!$B$11))</f>
        <v/>
      </c>
      <c r="X837">
        <f>Q837*R837*S837*T837*U837*V837*W837*--($C837&lt;&gt;"")</f>
        <v/>
      </c>
    </row>
    <row r="838">
      <c r="Q838">
        <f>--($A838=IF('الداشبورد'!$B$5="الكل",$A838,'الداشبورد'!$B$5))</f>
        <v/>
      </c>
      <c r="R838">
        <f>--($E838=IF('الداشبورد'!$B$6="الكل",$E838,'الداشبورد'!$B$6))</f>
        <v/>
      </c>
      <c r="S838">
        <f>--($K838=IF('الداشبورد'!$B$7="الكل",$K838,IF('الداشبورد'!$B$7="تصدير","Y","N")))</f>
        <v/>
      </c>
      <c r="T838">
        <f>--($J838=IF('الداشبورد'!$B$8="الكل",$J838,IF('الداشبورد'!$B$8="AL","A","C")))</f>
        <v/>
      </c>
      <c r="U838">
        <f>--($I838=IF('الداشبورد'!$B$9="الكل",$I838,IF('الداشبورد'!$B$9="بدون حالة","P",'الداشبورد'!$B$9)))</f>
        <v/>
      </c>
      <c r="V838">
        <f>--($D838=IF('الداشبورد'!$B$10="الكل",$D838,'الداشبورد'!$B$10))</f>
        <v/>
      </c>
      <c r="W838">
        <f>--($G838=IF('الداشبورد'!$B$11="الكل",$G838,'الداشبورد'!$B$11))</f>
        <v/>
      </c>
      <c r="X838">
        <f>Q838*R838*S838*T838*U838*V838*W838*--($C838&lt;&gt;"")</f>
        <v/>
      </c>
    </row>
    <row r="839">
      <c r="Q839">
        <f>--($A839=IF('الداشبورد'!$B$5="الكل",$A839,'الداشبورد'!$B$5))</f>
        <v/>
      </c>
      <c r="R839">
        <f>--($E839=IF('الداشبورد'!$B$6="الكل",$E839,'الداشبورد'!$B$6))</f>
        <v/>
      </c>
      <c r="S839">
        <f>--($K839=IF('الداشبورد'!$B$7="الكل",$K839,IF('الداشبورد'!$B$7="تصدير","Y","N")))</f>
        <v/>
      </c>
      <c r="T839">
        <f>--($J839=IF('الداشبورد'!$B$8="الكل",$J839,IF('الداشبورد'!$B$8="AL","A","C")))</f>
        <v/>
      </c>
      <c r="U839">
        <f>--($I839=IF('الداشبورد'!$B$9="الكل",$I839,IF('الداشبورد'!$B$9="بدون حالة","P",'الداشبورد'!$B$9)))</f>
        <v/>
      </c>
      <c r="V839">
        <f>--($D839=IF('الداشبورد'!$B$10="الكل",$D839,'الداشبورد'!$B$10))</f>
        <v/>
      </c>
      <c r="W839">
        <f>--($G839=IF('الداشبورد'!$B$11="الكل",$G839,'الداشبورد'!$B$11))</f>
        <v/>
      </c>
      <c r="X839">
        <f>Q839*R839*S839*T839*U839*V839*W839*--($C839&lt;&gt;"")</f>
        <v/>
      </c>
    </row>
    <row r="840">
      <c r="Q840">
        <f>--($A840=IF('الداشبورد'!$B$5="الكل",$A840,'الداشبورد'!$B$5))</f>
        <v/>
      </c>
      <c r="R840">
        <f>--($E840=IF('الداشبورد'!$B$6="الكل",$E840,'الداشبورد'!$B$6))</f>
        <v/>
      </c>
      <c r="S840">
        <f>--($K840=IF('الداشبورد'!$B$7="الكل",$K840,IF('الداشبورد'!$B$7="تصدير","Y","N")))</f>
        <v/>
      </c>
      <c r="T840">
        <f>--($J840=IF('الداشبورد'!$B$8="الكل",$J840,IF('الداشبورد'!$B$8="AL","A","C")))</f>
        <v/>
      </c>
      <c r="U840">
        <f>--($I840=IF('الداشبورد'!$B$9="الكل",$I840,IF('الداشبورد'!$B$9="بدون حالة","P",'الداشبورد'!$B$9)))</f>
        <v/>
      </c>
      <c r="V840">
        <f>--($D840=IF('الداشبورد'!$B$10="الكل",$D840,'الداشبورد'!$B$10))</f>
        <v/>
      </c>
      <c r="W840">
        <f>--($G840=IF('الداشبورد'!$B$11="الكل",$G840,'الداشبورد'!$B$11))</f>
        <v/>
      </c>
      <c r="X840">
        <f>Q840*R840*S840*T840*U840*V840*W840*--($C840&lt;&gt;"")</f>
        <v/>
      </c>
    </row>
    <row r="841">
      <c r="Q841">
        <f>--($A841=IF('الداشبورد'!$B$5="الكل",$A841,'الداشبورد'!$B$5))</f>
        <v/>
      </c>
      <c r="R841">
        <f>--($E841=IF('الداشبورد'!$B$6="الكل",$E841,'الداشبورد'!$B$6))</f>
        <v/>
      </c>
      <c r="S841">
        <f>--($K841=IF('الداشبورد'!$B$7="الكل",$K841,IF('الداشبورد'!$B$7="تصدير","Y","N")))</f>
        <v/>
      </c>
      <c r="T841">
        <f>--($J841=IF('الداشبورد'!$B$8="الكل",$J841,IF('الداشبورد'!$B$8="AL","A","C")))</f>
        <v/>
      </c>
      <c r="U841">
        <f>--($I841=IF('الداشبورد'!$B$9="الكل",$I841,IF('الداشبورد'!$B$9="بدون حالة","P",'الداشبورد'!$B$9)))</f>
        <v/>
      </c>
      <c r="V841">
        <f>--($D841=IF('الداشبورد'!$B$10="الكل",$D841,'الداشبورد'!$B$10))</f>
        <v/>
      </c>
      <c r="W841">
        <f>--($G841=IF('الداشبورد'!$B$11="الكل",$G841,'الداشبورد'!$B$11))</f>
        <v/>
      </c>
      <c r="X841">
        <f>Q841*R841*S841*T841*U841*V841*W841*--($C841&lt;&gt;"")</f>
        <v/>
      </c>
    </row>
    <row r="842">
      <c r="Q842">
        <f>--($A842=IF('الداشبورد'!$B$5="الكل",$A842,'الداشبورد'!$B$5))</f>
        <v/>
      </c>
      <c r="R842">
        <f>--($E842=IF('الداشبورد'!$B$6="الكل",$E842,'الداشبورد'!$B$6))</f>
        <v/>
      </c>
      <c r="S842">
        <f>--($K842=IF('الداشبورد'!$B$7="الكل",$K842,IF('الداشبورد'!$B$7="تصدير","Y","N")))</f>
        <v/>
      </c>
      <c r="T842">
        <f>--($J842=IF('الداشبورد'!$B$8="الكل",$J842,IF('الداشبورد'!$B$8="AL","A","C")))</f>
        <v/>
      </c>
      <c r="U842">
        <f>--($I842=IF('الداشبورد'!$B$9="الكل",$I842,IF('الداشبورد'!$B$9="بدون حالة","P",'الداشبورد'!$B$9)))</f>
        <v/>
      </c>
      <c r="V842">
        <f>--($D842=IF('الداشبورد'!$B$10="الكل",$D842,'الداشبورد'!$B$10))</f>
        <v/>
      </c>
      <c r="W842">
        <f>--($G842=IF('الداشبورد'!$B$11="الكل",$G842,'الداشبورد'!$B$11))</f>
        <v/>
      </c>
      <c r="X842">
        <f>Q842*R842*S842*T842*U842*V842*W842*--($C842&lt;&gt;"")</f>
        <v/>
      </c>
    </row>
    <row r="843">
      <c r="Q843">
        <f>--($A843=IF('الداشبورد'!$B$5="الكل",$A843,'الداشبورد'!$B$5))</f>
        <v/>
      </c>
      <c r="R843">
        <f>--($E843=IF('الداشبورد'!$B$6="الكل",$E843,'الداشبورد'!$B$6))</f>
        <v/>
      </c>
      <c r="S843">
        <f>--($K843=IF('الداشبورد'!$B$7="الكل",$K843,IF('الداشبورد'!$B$7="تصدير","Y","N")))</f>
        <v/>
      </c>
      <c r="T843">
        <f>--($J843=IF('الداشبورد'!$B$8="الكل",$J843,IF('الداشبورد'!$B$8="AL","A","C")))</f>
        <v/>
      </c>
      <c r="U843">
        <f>--($I843=IF('الداشبورد'!$B$9="الكل",$I843,IF('الداشبورد'!$B$9="بدون حالة","P",'الداشبورد'!$B$9)))</f>
        <v/>
      </c>
      <c r="V843">
        <f>--($D843=IF('الداشبورد'!$B$10="الكل",$D843,'الداشبورد'!$B$10))</f>
        <v/>
      </c>
      <c r="W843">
        <f>--($G843=IF('الداشبورد'!$B$11="الكل",$G843,'الداشبورد'!$B$11))</f>
        <v/>
      </c>
      <c r="X843">
        <f>Q843*R843*S843*T843*U843*V843*W843*--($C843&lt;&gt;"")</f>
        <v/>
      </c>
    </row>
    <row r="844">
      <c r="Q844">
        <f>--($A844=IF('الداشبورد'!$B$5="الكل",$A844,'الداشبورد'!$B$5))</f>
        <v/>
      </c>
      <c r="R844">
        <f>--($E844=IF('الداشبورد'!$B$6="الكل",$E844,'الداشبورد'!$B$6))</f>
        <v/>
      </c>
      <c r="S844">
        <f>--($K844=IF('الداشبورد'!$B$7="الكل",$K844,IF('الداشبورد'!$B$7="تصدير","Y","N")))</f>
        <v/>
      </c>
      <c r="T844">
        <f>--($J844=IF('الداشبورد'!$B$8="الكل",$J844,IF('الداشبورد'!$B$8="AL","A","C")))</f>
        <v/>
      </c>
      <c r="U844">
        <f>--($I844=IF('الداشبورد'!$B$9="الكل",$I844,IF('الداشبورد'!$B$9="بدون حالة","P",'الداشبورد'!$B$9)))</f>
        <v/>
      </c>
      <c r="V844">
        <f>--($D844=IF('الداشبورد'!$B$10="الكل",$D844,'الداشبورد'!$B$10))</f>
        <v/>
      </c>
      <c r="W844">
        <f>--($G844=IF('الداشبورد'!$B$11="الكل",$G844,'الداشبورد'!$B$11))</f>
        <v/>
      </c>
      <c r="X844">
        <f>Q844*R844*S844*T844*U844*V844*W844*--($C844&lt;&gt;"")</f>
        <v/>
      </c>
    </row>
    <row r="845">
      <c r="Q845">
        <f>--($A845=IF('الداشبورد'!$B$5="الكل",$A845,'الداشبورد'!$B$5))</f>
        <v/>
      </c>
      <c r="R845">
        <f>--($E845=IF('الداشبورد'!$B$6="الكل",$E845,'الداشبورد'!$B$6))</f>
        <v/>
      </c>
      <c r="S845">
        <f>--($K845=IF('الداشبورد'!$B$7="الكل",$K845,IF('الداشبورد'!$B$7="تصدير","Y","N")))</f>
        <v/>
      </c>
      <c r="T845">
        <f>--($J845=IF('الداشبورد'!$B$8="الكل",$J845,IF('الداشبورد'!$B$8="AL","A","C")))</f>
        <v/>
      </c>
      <c r="U845">
        <f>--($I845=IF('الداشبورد'!$B$9="الكل",$I845,IF('الداشبورد'!$B$9="بدون حالة","P",'الداشبورد'!$B$9)))</f>
        <v/>
      </c>
      <c r="V845">
        <f>--($D845=IF('الداشبورد'!$B$10="الكل",$D845,'الداشبورد'!$B$10))</f>
        <v/>
      </c>
      <c r="W845">
        <f>--($G845=IF('الداشبورد'!$B$11="الكل",$G845,'الداشبورد'!$B$11))</f>
        <v/>
      </c>
      <c r="X845">
        <f>Q845*R845*S845*T845*U845*V845*W845*--($C845&lt;&gt;"")</f>
        <v/>
      </c>
    </row>
    <row r="846">
      <c r="Q846">
        <f>--($A846=IF('الداشبورد'!$B$5="الكل",$A846,'الداشبورد'!$B$5))</f>
        <v/>
      </c>
      <c r="R846">
        <f>--($E846=IF('الداشبورد'!$B$6="الكل",$E846,'الداشبورد'!$B$6))</f>
        <v/>
      </c>
      <c r="S846">
        <f>--($K846=IF('الداشبورد'!$B$7="الكل",$K846,IF('الداشبورد'!$B$7="تصدير","Y","N")))</f>
        <v/>
      </c>
      <c r="T846">
        <f>--($J846=IF('الداشبورد'!$B$8="الكل",$J846,IF('الداشبورد'!$B$8="AL","A","C")))</f>
        <v/>
      </c>
      <c r="U846">
        <f>--($I846=IF('الداشبورد'!$B$9="الكل",$I846,IF('الداشبورد'!$B$9="بدون حالة","P",'الداشبورد'!$B$9)))</f>
        <v/>
      </c>
      <c r="V846">
        <f>--($D846=IF('الداشبورد'!$B$10="الكل",$D846,'الداشبورد'!$B$10))</f>
        <v/>
      </c>
      <c r="W846">
        <f>--($G846=IF('الداشبورد'!$B$11="الكل",$G846,'الداشبورد'!$B$11))</f>
        <v/>
      </c>
      <c r="X846">
        <f>Q846*R846*S846*T846*U846*V846*W846*--($C846&lt;&gt;"")</f>
        <v/>
      </c>
    </row>
    <row r="847">
      <c r="Q847">
        <f>--($A847=IF('الداشبورد'!$B$5="الكل",$A847,'الداشبورد'!$B$5))</f>
        <v/>
      </c>
      <c r="R847">
        <f>--($E847=IF('الداشبورد'!$B$6="الكل",$E847,'الداشبورد'!$B$6))</f>
        <v/>
      </c>
      <c r="S847">
        <f>--($K847=IF('الداشبورد'!$B$7="الكل",$K847,IF('الداشبورد'!$B$7="تصدير","Y","N")))</f>
        <v/>
      </c>
      <c r="T847">
        <f>--($J847=IF('الداشبورد'!$B$8="الكل",$J847,IF('الداشبورد'!$B$8="AL","A","C")))</f>
        <v/>
      </c>
      <c r="U847">
        <f>--($I847=IF('الداشبورد'!$B$9="الكل",$I847,IF('الداشبورد'!$B$9="بدون حالة","P",'الداشبورد'!$B$9)))</f>
        <v/>
      </c>
      <c r="V847">
        <f>--($D847=IF('الداشبورد'!$B$10="الكل",$D847,'الداشبورد'!$B$10))</f>
        <v/>
      </c>
      <c r="W847">
        <f>--($G847=IF('الداشبورد'!$B$11="الكل",$G847,'الداشبورد'!$B$11))</f>
        <v/>
      </c>
      <c r="X847">
        <f>Q847*R847*S847*T847*U847*V847*W847*--($C847&lt;&gt;"")</f>
        <v/>
      </c>
    </row>
    <row r="848">
      <c r="Q848">
        <f>--($A848=IF('الداشبورد'!$B$5="الكل",$A848,'الداشبورد'!$B$5))</f>
        <v/>
      </c>
      <c r="R848">
        <f>--($E848=IF('الداشبورد'!$B$6="الكل",$E848,'الداشبورد'!$B$6))</f>
        <v/>
      </c>
      <c r="S848">
        <f>--($K848=IF('الداشبورد'!$B$7="الكل",$K848,IF('الداشبورد'!$B$7="تصدير","Y","N")))</f>
        <v/>
      </c>
      <c r="T848">
        <f>--($J848=IF('الداشبورد'!$B$8="الكل",$J848,IF('الداشبورد'!$B$8="AL","A","C")))</f>
        <v/>
      </c>
      <c r="U848">
        <f>--($I848=IF('الداشبورد'!$B$9="الكل",$I848,IF('الداشبورد'!$B$9="بدون حالة","P",'الداشبورد'!$B$9)))</f>
        <v/>
      </c>
      <c r="V848">
        <f>--($D848=IF('الداشبورد'!$B$10="الكل",$D848,'الداشبورد'!$B$10))</f>
        <v/>
      </c>
      <c r="W848">
        <f>--($G848=IF('الداشبورد'!$B$11="الكل",$G848,'الداشبورد'!$B$11))</f>
        <v/>
      </c>
      <c r="X848">
        <f>Q848*R848*S848*T848*U848*V848*W848*--($C848&lt;&gt;"")</f>
        <v/>
      </c>
    </row>
    <row r="849">
      <c r="Q849">
        <f>--($A849=IF('الداشبورد'!$B$5="الكل",$A849,'الداشبورد'!$B$5))</f>
        <v/>
      </c>
      <c r="R849">
        <f>--($E849=IF('الداشبورد'!$B$6="الكل",$E849,'الداشبورد'!$B$6))</f>
        <v/>
      </c>
      <c r="S849">
        <f>--($K849=IF('الداشبورد'!$B$7="الكل",$K849,IF('الداشبورد'!$B$7="تصدير","Y","N")))</f>
        <v/>
      </c>
      <c r="T849">
        <f>--($J849=IF('الداشبورد'!$B$8="الكل",$J849,IF('الداشبورد'!$B$8="AL","A","C")))</f>
        <v/>
      </c>
      <c r="U849">
        <f>--($I849=IF('الداشبورد'!$B$9="الكل",$I849,IF('الداشبورد'!$B$9="بدون حالة","P",'الداشبورد'!$B$9)))</f>
        <v/>
      </c>
      <c r="V849">
        <f>--($D849=IF('الداشبورد'!$B$10="الكل",$D849,'الداشبورد'!$B$10))</f>
        <v/>
      </c>
      <c r="W849">
        <f>--($G849=IF('الداشبورد'!$B$11="الكل",$G849,'الداشبورد'!$B$11))</f>
        <v/>
      </c>
      <c r="X849">
        <f>Q849*R849*S849*T849*U849*V849*W849*--($C849&lt;&gt;"")</f>
        <v/>
      </c>
    </row>
    <row r="850">
      <c r="Q850">
        <f>--($A850=IF('الداشبورد'!$B$5="الكل",$A850,'الداشبورد'!$B$5))</f>
        <v/>
      </c>
      <c r="R850">
        <f>--($E850=IF('الداشبورد'!$B$6="الكل",$E850,'الداشبورد'!$B$6))</f>
        <v/>
      </c>
      <c r="S850">
        <f>--($K850=IF('الداشبورد'!$B$7="الكل",$K850,IF('الداشبورد'!$B$7="تصدير","Y","N")))</f>
        <v/>
      </c>
      <c r="T850">
        <f>--($J850=IF('الداشبورد'!$B$8="الكل",$J850,IF('الداشبورد'!$B$8="AL","A","C")))</f>
        <v/>
      </c>
      <c r="U850">
        <f>--($I850=IF('الداشبورد'!$B$9="الكل",$I850,IF('الداشبورد'!$B$9="بدون حالة","P",'الداشبورد'!$B$9)))</f>
        <v/>
      </c>
      <c r="V850">
        <f>--($D850=IF('الداشبورد'!$B$10="الكل",$D850,'الداشبورد'!$B$10))</f>
        <v/>
      </c>
      <c r="W850">
        <f>--($G850=IF('الداشبورد'!$B$11="الكل",$G850,'الداشبورد'!$B$11))</f>
        <v/>
      </c>
      <c r="X850">
        <f>Q850*R850*S850*T850*U850*V850*W850*--($C850&lt;&gt;"")</f>
        <v/>
      </c>
    </row>
    <row r="851">
      <c r="Q851">
        <f>--($A851=IF('الداشبورد'!$B$5="الكل",$A851,'الداشبورد'!$B$5))</f>
        <v/>
      </c>
      <c r="R851">
        <f>--($E851=IF('الداشبورد'!$B$6="الكل",$E851,'الداشبورد'!$B$6))</f>
        <v/>
      </c>
      <c r="S851">
        <f>--($K851=IF('الداشبورد'!$B$7="الكل",$K851,IF('الداشبورد'!$B$7="تصدير","Y","N")))</f>
        <v/>
      </c>
      <c r="T851">
        <f>--($J851=IF('الداشبورد'!$B$8="الكل",$J851,IF('الداشبورد'!$B$8="AL","A","C")))</f>
        <v/>
      </c>
      <c r="U851">
        <f>--($I851=IF('الداشبورد'!$B$9="الكل",$I851,IF('الداشبورد'!$B$9="بدون حالة","P",'الداشبورد'!$B$9)))</f>
        <v/>
      </c>
      <c r="V851">
        <f>--($D851=IF('الداشبورد'!$B$10="الكل",$D851,'الداشبورد'!$B$10))</f>
        <v/>
      </c>
      <c r="W851">
        <f>--($G851=IF('الداشبورد'!$B$11="الكل",$G851,'الداشبورد'!$B$11))</f>
        <v/>
      </c>
      <c r="X851">
        <f>Q851*R851*S851*T851*U851*V851*W851*--($C851&lt;&gt;"")</f>
        <v/>
      </c>
    </row>
    <row r="852">
      <c r="Q852">
        <f>--($A852=IF('الداشبورد'!$B$5="الكل",$A852,'الداشبورد'!$B$5))</f>
        <v/>
      </c>
      <c r="R852">
        <f>--($E852=IF('الداشبورد'!$B$6="الكل",$E852,'الداشبورد'!$B$6))</f>
        <v/>
      </c>
      <c r="S852">
        <f>--($K852=IF('الداشبورد'!$B$7="الكل",$K852,IF('الداشبورد'!$B$7="تصدير","Y","N")))</f>
        <v/>
      </c>
      <c r="T852">
        <f>--($J852=IF('الداشبورد'!$B$8="الكل",$J852,IF('الداشبورد'!$B$8="AL","A","C")))</f>
        <v/>
      </c>
      <c r="U852">
        <f>--($I852=IF('الداشبورد'!$B$9="الكل",$I852,IF('الداشبورد'!$B$9="بدون حالة","P",'الداشبورد'!$B$9)))</f>
        <v/>
      </c>
      <c r="V852">
        <f>--($D852=IF('الداشبورد'!$B$10="الكل",$D852,'الداشبورد'!$B$10))</f>
        <v/>
      </c>
      <c r="W852">
        <f>--($G852=IF('الداشبورد'!$B$11="الكل",$G852,'الداشبورد'!$B$11))</f>
        <v/>
      </c>
      <c r="X852">
        <f>Q852*R852*S852*T852*U852*V852*W852*--($C852&lt;&gt;"")</f>
        <v/>
      </c>
    </row>
    <row r="853">
      <c r="Q853">
        <f>--($A853=IF('الداشبورد'!$B$5="الكل",$A853,'الداشبورد'!$B$5))</f>
        <v/>
      </c>
      <c r="R853">
        <f>--($E853=IF('الداشبورد'!$B$6="الكل",$E853,'الداشبورد'!$B$6))</f>
        <v/>
      </c>
      <c r="S853">
        <f>--($K853=IF('الداشبورد'!$B$7="الكل",$K853,IF('الداشبورد'!$B$7="تصدير","Y","N")))</f>
        <v/>
      </c>
      <c r="T853">
        <f>--($J853=IF('الداشبورد'!$B$8="الكل",$J853,IF('الداشبورد'!$B$8="AL","A","C")))</f>
        <v/>
      </c>
      <c r="U853">
        <f>--($I853=IF('الداشبورد'!$B$9="الكل",$I853,IF('الداشبورد'!$B$9="بدون حالة","P",'الداشبورد'!$B$9)))</f>
        <v/>
      </c>
      <c r="V853">
        <f>--($D853=IF('الداشبورد'!$B$10="الكل",$D853,'الداشبورد'!$B$10))</f>
        <v/>
      </c>
      <c r="W853">
        <f>--($G853=IF('الداشبورد'!$B$11="الكل",$G853,'الداشبورد'!$B$11))</f>
        <v/>
      </c>
      <c r="X853">
        <f>Q853*R853*S853*T853*U853*V853*W853*--($C853&lt;&gt;"")</f>
        <v/>
      </c>
    </row>
    <row r="854">
      <c r="Q854">
        <f>--($A854=IF('الداشبورد'!$B$5="الكل",$A854,'الداشبورد'!$B$5))</f>
        <v/>
      </c>
      <c r="R854">
        <f>--($E854=IF('الداشبورد'!$B$6="الكل",$E854,'الداشبورد'!$B$6))</f>
        <v/>
      </c>
      <c r="S854">
        <f>--($K854=IF('الداشبورد'!$B$7="الكل",$K854,IF('الداشبورد'!$B$7="تصدير","Y","N")))</f>
        <v/>
      </c>
      <c r="T854">
        <f>--($J854=IF('الداشبورد'!$B$8="الكل",$J854,IF('الداشبورد'!$B$8="AL","A","C")))</f>
        <v/>
      </c>
      <c r="U854">
        <f>--($I854=IF('الداشبورد'!$B$9="الكل",$I854,IF('الداشبورد'!$B$9="بدون حالة","P",'الداشبورد'!$B$9)))</f>
        <v/>
      </c>
      <c r="V854">
        <f>--($D854=IF('الداشبورد'!$B$10="الكل",$D854,'الداشبورد'!$B$10))</f>
        <v/>
      </c>
      <c r="W854">
        <f>--($G854=IF('الداشبورد'!$B$11="الكل",$G854,'الداشبورد'!$B$11))</f>
        <v/>
      </c>
      <c r="X854">
        <f>Q854*R854*S854*T854*U854*V854*W854*--($C854&lt;&gt;"")</f>
        <v/>
      </c>
    </row>
    <row r="855">
      <c r="Q855">
        <f>--($A855=IF('الداشبورد'!$B$5="الكل",$A855,'الداشبورد'!$B$5))</f>
        <v/>
      </c>
      <c r="R855">
        <f>--($E855=IF('الداشبورد'!$B$6="الكل",$E855,'الداشبورد'!$B$6))</f>
        <v/>
      </c>
      <c r="S855">
        <f>--($K855=IF('الداشبورد'!$B$7="الكل",$K855,IF('الداشبورد'!$B$7="تصدير","Y","N")))</f>
        <v/>
      </c>
      <c r="T855">
        <f>--($J855=IF('الداشبورد'!$B$8="الكل",$J855,IF('الداشبورد'!$B$8="AL","A","C")))</f>
        <v/>
      </c>
      <c r="U855">
        <f>--($I855=IF('الداشبورد'!$B$9="الكل",$I855,IF('الداشبورد'!$B$9="بدون حالة","P",'الداشبورد'!$B$9)))</f>
        <v/>
      </c>
      <c r="V855">
        <f>--($D855=IF('الداشبورد'!$B$10="الكل",$D855,'الداشبورد'!$B$10))</f>
        <v/>
      </c>
      <c r="W855">
        <f>--($G855=IF('الداشبورد'!$B$11="الكل",$G855,'الداشبورد'!$B$11))</f>
        <v/>
      </c>
      <c r="X855">
        <f>Q855*R855*S855*T855*U855*V855*W855*--($C855&lt;&gt;"")</f>
        <v/>
      </c>
    </row>
    <row r="856">
      <c r="Q856">
        <f>--($A856=IF('الداشبورد'!$B$5="الكل",$A856,'الداشبورد'!$B$5))</f>
        <v/>
      </c>
      <c r="R856">
        <f>--($E856=IF('الداشبورد'!$B$6="الكل",$E856,'الداشبورد'!$B$6))</f>
        <v/>
      </c>
      <c r="S856">
        <f>--($K856=IF('الداشبورد'!$B$7="الكل",$K856,IF('الداشبورد'!$B$7="تصدير","Y","N")))</f>
        <v/>
      </c>
      <c r="T856">
        <f>--($J856=IF('الداشبورد'!$B$8="الكل",$J856,IF('الداشبورد'!$B$8="AL","A","C")))</f>
        <v/>
      </c>
      <c r="U856">
        <f>--($I856=IF('الداشبورد'!$B$9="الكل",$I856,IF('الداشبورد'!$B$9="بدون حالة","P",'الداشبورد'!$B$9)))</f>
        <v/>
      </c>
      <c r="V856">
        <f>--($D856=IF('الداشبورد'!$B$10="الكل",$D856,'الداشبورد'!$B$10))</f>
        <v/>
      </c>
      <c r="W856">
        <f>--($G856=IF('الداشبورد'!$B$11="الكل",$G856,'الداشبورد'!$B$11))</f>
        <v/>
      </c>
      <c r="X856">
        <f>Q856*R856*S856*T856*U856*V856*W856*--($C856&lt;&gt;"")</f>
        <v/>
      </c>
    </row>
    <row r="857">
      <c r="Q857">
        <f>--($A857=IF('الداشبورد'!$B$5="الكل",$A857,'الداشبورد'!$B$5))</f>
        <v/>
      </c>
      <c r="R857">
        <f>--($E857=IF('الداشبورد'!$B$6="الكل",$E857,'الداشبورد'!$B$6))</f>
        <v/>
      </c>
      <c r="S857">
        <f>--($K857=IF('الداشبورد'!$B$7="الكل",$K857,IF('الداشبورد'!$B$7="تصدير","Y","N")))</f>
        <v/>
      </c>
      <c r="T857">
        <f>--($J857=IF('الداشبورد'!$B$8="الكل",$J857,IF('الداشبورد'!$B$8="AL","A","C")))</f>
        <v/>
      </c>
      <c r="U857">
        <f>--($I857=IF('الداشبورد'!$B$9="الكل",$I857,IF('الداشبورد'!$B$9="بدون حالة","P",'الداشبورد'!$B$9)))</f>
        <v/>
      </c>
      <c r="V857">
        <f>--($D857=IF('الداشبورد'!$B$10="الكل",$D857,'الداشبورد'!$B$10))</f>
        <v/>
      </c>
      <c r="W857">
        <f>--($G857=IF('الداشبورد'!$B$11="الكل",$G857,'الداشبورد'!$B$11))</f>
        <v/>
      </c>
      <c r="X857">
        <f>Q857*R857*S857*T857*U857*V857*W857*--($C857&lt;&gt;"")</f>
        <v/>
      </c>
    </row>
    <row r="858">
      <c r="Q858">
        <f>--($A858=IF('الداشبورد'!$B$5="الكل",$A858,'الداشبورد'!$B$5))</f>
        <v/>
      </c>
      <c r="R858">
        <f>--($E858=IF('الداشبورد'!$B$6="الكل",$E858,'الداشبورد'!$B$6))</f>
        <v/>
      </c>
      <c r="S858">
        <f>--($K858=IF('الداشبورد'!$B$7="الكل",$K858,IF('الداشبورد'!$B$7="تصدير","Y","N")))</f>
        <v/>
      </c>
      <c r="T858">
        <f>--($J858=IF('الداشبورد'!$B$8="الكل",$J858,IF('الداشبورد'!$B$8="AL","A","C")))</f>
        <v/>
      </c>
      <c r="U858">
        <f>--($I858=IF('الداشبورد'!$B$9="الكل",$I858,IF('الداشبورد'!$B$9="بدون حالة","P",'الداشبورد'!$B$9)))</f>
        <v/>
      </c>
      <c r="V858">
        <f>--($D858=IF('الداشبورد'!$B$10="الكل",$D858,'الداشبورد'!$B$10))</f>
        <v/>
      </c>
      <c r="W858">
        <f>--($G858=IF('الداشبورد'!$B$11="الكل",$G858,'الداشبورد'!$B$11))</f>
        <v/>
      </c>
      <c r="X858">
        <f>Q858*R858*S858*T858*U858*V858*W858*--($C858&lt;&gt;"")</f>
        <v/>
      </c>
    </row>
    <row r="859">
      <c r="Q859">
        <f>--($A859=IF('الداشبورد'!$B$5="الكل",$A859,'الداشبورد'!$B$5))</f>
        <v/>
      </c>
      <c r="R859">
        <f>--($E859=IF('الداشبورد'!$B$6="الكل",$E859,'الداشبورد'!$B$6))</f>
        <v/>
      </c>
      <c r="S859">
        <f>--($K859=IF('الداشبورد'!$B$7="الكل",$K859,IF('الداشبورد'!$B$7="تصدير","Y","N")))</f>
        <v/>
      </c>
      <c r="T859">
        <f>--($J859=IF('الداشبورد'!$B$8="الكل",$J859,IF('الداشبورد'!$B$8="AL","A","C")))</f>
        <v/>
      </c>
      <c r="U859">
        <f>--($I859=IF('الداشبورد'!$B$9="الكل",$I859,IF('الداشبورد'!$B$9="بدون حالة","P",'الداشبورد'!$B$9)))</f>
        <v/>
      </c>
      <c r="V859">
        <f>--($D859=IF('الداشبورد'!$B$10="الكل",$D859,'الداشبورد'!$B$10))</f>
        <v/>
      </c>
      <c r="W859">
        <f>--($G859=IF('الداشبورد'!$B$11="الكل",$G859,'الداشبورد'!$B$11))</f>
        <v/>
      </c>
      <c r="X859">
        <f>Q859*R859*S859*T859*U859*V859*W859*--($C859&lt;&gt;"")</f>
        <v/>
      </c>
    </row>
    <row r="860">
      <c r="Q860">
        <f>--($A860=IF('الداشبورد'!$B$5="الكل",$A860,'الداشبورد'!$B$5))</f>
        <v/>
      </c>
      <c r="R860">
        <f>--($E860=IF('الداشبورد'!$B$6="الكل",$E860,'الداشبورد'!$B$6))</f>
        <v/>
      </c>
      <c r="S860">
        <f>--($K860=IF('الداشبورد'!$B$7="الكل",$K860,IF('الداشبورد'!$B$7="تصدير","Y","N")))</f>
        <v/>
      </c>
      <c r="T860">
        <f>--($J860=IF('الداشبورد'!$B$8="الكل",$J860,IF('الداشبورد'!$B$8="AL","A","C")))</f>
        <v/>
      </c>
      <c r="U860">
        <f>--($I860=IF('الداشبورد'!$B$9="الكل",$I860,IF('الداشبورد'!$B$9="بدون حالة","P",'الداشبورد'!$B$9)))</f>
        <v/>
      </c>
      <c r="V860">
        <f>--($D860=IF('الداشبورد'!$B$10="الكل",$D860,'الداشبورد'!$B$10))</f>
        <v/>
      </c>
      <c r="W860">
        <f>--($G860=IF('الداشبورد'!$B$11="الكل",$G860,'الداشبورد'!$B$11))</f>
        <v/>
      </c>
      <c r="X860">
        <f>Q860*R860*S860*T860*U860*V860*W860*--($C860&lt;&gt;"")</f>
        <v/>
      </c>
    </row>
    <row r="861">
      <c r="Q861">
        <f>--($A861=IF('الداشبورد'!$B$5="الكل",$A861,'الداشبورد'!$B$5))</f>
        <v/>
      </c>
      <c r="R861">
        <f>--($E861=IF('الداشبورد'!$B$6="الكل",$E861,'الداشبورد'!$B$6))</f>
        <v/>
      </c>
      <c r="S861">
        <f>--($K861=IF('الداشبورد'!$B$7="الكل",$K861,IF('الداشبورد'!$B$7="تصدير","Y","N")))</f>
        <v/>
      </c>
      <c r="T861">
        <f>--($J861=IF('الداشبورد'!$B$8="الكل",$J861,IF('الداشبورد'!$B$8="AL","A","C")))</f>
        <v/>
      </c>
      <c r="U861">
        <f>--($I861=IF('الداشبورد'!$B$9="الكل",$I861,IF('الداشبورد'!$B$9="بدون حالة","P",'الداشبورد'!$B$9)))</f>
        <v/>
      </c>
      <c r="V861">
        <f>--($D861=IF('الداشبورد'!$B$10="الكل",$D861,'الداشبورد'!$B$10))</f>
        <v/>
      </c>
      <c r="W861">
        <f>--($G861=IF('الداشبورد'!$B$11="الكل",$G861,'الداشبورد'!$B$11))</f>
        <v/>
      </c>
      <c r="X861">
        <f>Q861*R861*S861*T861*U861*V861*W861*--($C861&lt;&gt;"")</f>
        <v/>
      </c>
    </row>
    <row r="862">
      <c r="Q862">
        <f>--($A862=IF('الداشبورد'!$B$5="الكل",$A862,'الداشبورد'!$B$5))</f>
        <v/>
      </c>
      <c r="R862">
        <f>--($E862=IF('الداشبورد'!$B$6="الكل",$E862,'الداشبورد'!$B$6))</f>
        <v/>
      </c>
      <c r="S862">
        <f>--($K862=IF('الداشبورد'!$B$7="الكل",$K862,IF('الداشبورد'!$B$7="تصدير","Y","N")))</f>
        <v/>
      </c>
      <c r="T862">
        <f>--($J862=IF('الداشبورد'!$B$8="الكل",$J862,IF('الداشبورد'!$B$8="AL","A","C")))</f>
        <v/>
      </c>
      <c r="U862">
        <f>--($I862=IF('الداشبورد'!$B$9="الكل",$I862,IF('الداشبورد'!$B$9="بدون حالة","P",'الداشبورد'!$B$9)))</f>
        <v/>
      </c>
      <c r="V862">
        <f>--($D862=IF('الداشبورد'!$B$10="الكل",$D862,'الداشبورد'!$B$10))</f>
        <v/>
      </c>
      <c r="W862">
        <f>--($G862=IF('الداشبورد'!$B$11="الكل",$G862,'الداشبورد'!$B$11))</f>
        <v/>
      </c>
      <c r="X862">
        <f>Q862*R862*S862*T862*U862*V862*W862*--($C862&lt;&gt;"")</f>
        <v/>
      </c>
    </row>
    <row r="863">
      <c r="Q863">
        <f>--($A863=IF('الداشبورد'!$B$5="الكل",$A863,'الداشبورد'!$B$5))</f>
        <v/>
      </c>
      <c r="R863">
        <f>--($E863=IF('الداشبورد'!$B$6="الكل",$E863,'الداشبورد'!$B$6))</f>
        <v/>
      </c>
      <c r="S863">
        <f>--($K863=IF('الداشبورد'!$B$7="الكل",$K863,IF('الداشبورد'!$B$7="تصدير","Y","N")))</f>
        <v/>
      </c>
      <c r="T863">
        <f>--($J863=IF('الداشبورد'!$B$8="الكل",$J863,IF('الداشبورد'!$B$8="AL","A","C")))</f>
        <v/>
      </c>
      <c r="U863">
        <f>--($I863=IF('الداشبورد'!$B$9="الكل",$I863,IF('الداشبورد'!$B$9="بدون حالة","P",'الداشبورد'!$B$9)))</f>
        <v/>
      </c>
      <c r="V863">
        <f>--($D863=IF('الداشبورد'!$B$10="الكل",$D863,'الداشبورد'!$B$10))</f>
        <v/>
      </c>
      <c r="W863">
        <f>--($G863=IF('الداشبورد'!$B$11="الكل",$G863,'الداشبورد'!$B$11))</f>
        <v/>
      </c>
      <c r="X863">
        <f>Q863*R863*S863*T863*U863*V863*W863*--($C863&lt;&gt;"")</f>
        <v/>
      </c>
    </row>
    <row r="864">
      <c r="Q864">
        <f>--($A864=IF('الداشبورد'!$B$5="الكل",$A864,'الداشبورد'!$B$5))</f>
        <v/>
      </c>
      <c r="R864">
        <f>--($E864=IF('الداشبورد'!$B$6="الكل",$E864,'الداشبورد'!$B$6))</f>
        <v/>
      </c>
      <c r="S864">
        <f>--($K864=IF('الداشبورد'!$B$7="الكل",$K864,IF('الداشبورد'!$B$7="تصدير","Y","N")))</f>
        <v/>
      </c>
      <c r="T864">
        <f>--($J864=IF('الداشبورد'!$B$8="الكل",$J864,IF('الداشبورد'!$B$8="AL","A","C")))</f>
        <v/>
      </c>
      <c r="U864">
        <f>--($I864=IF('الداشبورد'!$B$9="الكل",$I864,IF('الداشبورد'!$B$9="بدون حالة","P",'الداشبورد'!$B$9)))</f>
        <v/>
      </c>
      <c r="V864">
        <f>--($D864=IF('الداشبورد'!$B$10="الكل",$D864,'الداشبورد'!$B$10))</f>
        <v/>
      </c>
      <c r="W864">
        <f>--($G864=IF('الداشبورد'!$B$11="الكل",$G864,'الداشبورد'!$B$11))</f>
        <v/>
      </c>
      <c r="X864">
        <f>Q864*R864*S864*T864*U864*V864*W864*--($C864&lt;&gt;"")</f>
        <v/>
      </c>
    </row>
    <row r="865">
      <c r="Q865">
        <f>--($A865=IF('الداشبورد'!$B$5="الكل",$A865,'الداشبورد'!$B$5))</f>
        <v/>
      </c>
      <c r="R865">
        <f>--($E865=IF('الداشبورد'!$B$6="الكل",$E865,'الداشبورد'!$B$6))</f>
        <v/>
      </c>
      <c r="S865">
        <f>--($K865=IF('الداشبورد'!$B$7="الكل",$K865,IF('الداشبورد'!$B$7="تصدير","Y","N")))</f>
        <v/>
      </c>
      <c r="T865">
        <f>--($J865=IF('الداشبورد'!$B$8="الكل",$J865,IF('الداشبورد'!$B$8="AL","A","C")))</f>
        <v/>
      </c>
      <c r="U865">
        <f>--($I865=IF('الداشبورد'!$B$9="الكل",$I865,IF('الداشبورد'!$B$9="بدون حالة","P",'الداشبورد'!$B$9)))</f>
        <v/>
      </c>
      <c r="V865">
        <f>--($D865=IF('الداشبورد'!$B$10="الكل",$D865,'الداشبورد'!$B$10))</f>
        <v/>
      </c>
      <c r="W865">
        <f>--($G865=IF('الداشبورد'!$B$11="الكل",$G865,'الداشبورد'!$B$11))</f>
        <v/>
      </c>
      <c r="X865">
        <f>Q865*R865*S865*T865*U865*V865*W865*--($C865&lt;&gt;"")</f>
        <v/>
      </c>
    </row>
    <row r="866">
      <c r="Q866">
        <f>--($A866=IF('الداشبورد'!$B$5="الكل",$A866,'الداشبورد'!$B$5))</f>
        <v/>
      </c>
      <c r="R866">
        <f>--($E866=IF('الداشبورد'!$B$6="الكل",$E866,'الداشبورد'!$B$6))</f>
        <v/>
      </c>
      <c r="S866">
        <f>--($K866=IF('الداشبورد'!$B$7="الكل",$K866,IF('الداشبورد'!$B$7="تصدير","Y","N")))</f>
        <v/>
      </c>
      <c r="T866">
        <f>--($J866=IF('الداشبورد'!$B$8="الكل",$J866,IF('الداشبورد'!$B$8="AL","A","C")))</f>
        <v/>
      </c>
      <c r="U866">
        <f>--($I866=IF('الداشبورد'!$B$9="الكل",$I866,IF('الداشبورد'!$B$9="بدون حالة","P",'الداشبورد'!$B$9)))</f>
        <v/>
      </c>
      <c r="V866">
        <f>--($D866=IF('الداشبورد'!$B$10="الكل",$D866,'الداشبورد'!$B$10))</f>
        <v/>
      </c>
      <c r="W866">
        <f>--($G866=IF('الداشبورد'!$B$11="الكل",$G866,'الداشبورد'!$B$11))</f>
        <v/>
      </c>
      <c r="X866">
        <f>Q866*R866*S866*T866*U866*V866*W866*--($C866&lt;&gt;"")</f>
        <v/>
      </c>
    </row>
    <row r="867">
      <c r="Q867">
        <f>--($A867=IF('الداشبورد'!$B$5="الكل",$A867,'الداشبورد'!$B$5))</f>
        <v/>
      </c>
      <c r="R867">
        <f>--($E867=IF('الداشبورد'!$B$6="الكل",$E867,'الداشبورد'!$B$6))</f>
        <v/>
      </c>
      <c r="S867">
        <f>--($K867=IF('الداشبورد'!$B$7="الكل",$K867,IF('الداشبورد'!$B$7="تصدير","Y","N")))</f>
        <v/>
      </c>
      <c r="T867">
        <f>--($J867=IF('الداشبورد'!$B$8="الكل",$J867,IF('الداشبورد'!$B$8="AL","A","C")))</f>
        <v/>
      </c>
      <c r="U867">
        <f>--($I867=IF('الداشبورد'!$B$9="الكل",$I867,IF('الداشبورد'!$B$9="بدون حالة","P",'الداشبورد'!$B$9)))</f>
        <v/>
      </c>
      <c r="V867">
        <f>--($D867=IF('الداشبورد'!$B$10="الكل",$D867,'الداشبورد'!$B$10))</f>
        <v/>
      </c>
      <c r="W867">
        <f>--($G867=IF('الداشبورد'!$B$11="الكل",$G867,'الداشبورد'!$B$11))</f>
        <v/>
      </c>
      <c r="X867">
        <f>Q867*R867*S867*T867*U867*V867*W867*--($C867&lt;&gt;"")</f>
        <v/>
      </c>
    </row>
    <row r="868">
      <c r="Q868">
        <f>--($A868=IF('الداشبورد'!$B$5="الكل",$A868,'الداشبورد'!$B$5))</f>
        <v/>
      </c>
      <c r="R868">
        <f>--($E868=IF('الداشبورد'!$B$6="الكل",$E868,'الداشبورد'!$B$6))</f>
        <v/>
      </c>
      <c r="S868">
        <f>--($K868=IF('الداشبورد'!$B$7="الكل",$K868,IF('الداشبورد'!$B$7="تصدير","Y","N")))</f>
        <v/>
      </c>
      <c r="T868">
        <f>--($J868=IF('الداشبورد'!$B$8="الكل",$J868,IF('الداشبورد'!$B$8="AL","A","C")))</f>
        <v/>
      </c>
      <c r="U868">
        <f>--($I868=IF('الداشبورد'!$B$9="الكل",$I868,IF('الداشبورد'!$B$9="بدون حالة","P",'الداشبورد'!$B$9)))</f>
        <v/>
      </c>
      <c r="V868">
        <f>--($D868=IF('الداشبورد'!$B$10="الكل",$D868,'الداشبورد'!$B$10))</f>
        <v/>
      </c>
      <c r="W868">
        <f>--($G868=IF('الداشبورد'!$B$11="الكل",$G868,'الداشبورد'!$B$11))</f>
        <v/>
      </c>
      <c r="X868">
        <f>Q868*R868*S868*T868*U868*V868*W868*--($C868&lt;&gt;"")</f>
        <v/>
      </c>
    </row>
    <row r="869">
      <c r="Q869">
        <f>--($A869=IF('الداشبورد'!$B$5="الكل",$A869,'الداشبورد'!$B$5))</f>
        <v/>
      </c>
      <c r="R869">
        <f>--($E869=IF('الداشبورد'!$B$6="الكل",$E869,'الداشبورد'!$B$6))</f>
        <v/>
      </c>
      <c r="S869">
        <f>--($K869=IF('الداشبورد'!$B$7="الكل",$K869,IF('الداشبورد'!$B$7="تصدير","Y","N")))</f>
        <v/>
      </c>
      <c r="T869">
        <f>--($J869=IF('الداشبورد'!$B$8="الكل",$J869,IF('الداشبورد'!$B$8="AL","A","C")))</f>
        <v/>
      </c>
      <c r="U869">
        <f>--($I869=IF('الداشبورد'!$B$9="الكل",$I869,IF('الداشبورد'!$B$9="بدون حالة","P",'الداشبورد'!$B$9)))</f>
        <v/>
      </c>
      <c r="V869">
        <f>--($D869=IF('الداشبورد'!$B$10="الكل",$D869,'الداشبورد'!$B$10))</f>
        <v/>
      </c>
      <c r="W869">
        <f>--($G869=IF('الداشبورد'!$B$11="الكل",$G869,'الداشبورد'!$B$11))</f>
        <v/>
      </c>
      <c r="X869">
        <f>Q869*R869*S869*T869*U869*V869*W869*--($C869&lt;&gt;"")</f>
        <v/>
      </c>
    </row>
    <row r="870">
      <c r="Q870">
        <f>--($A870=IF('الداشبورد'!$B$5="الكل",$A870,'الداشبورد'!$B$5))</f>
        <v/>
      </c>
      <c r="R870">
        <f>--($E870=IF('الداشبورد'!$B$6="الكل",$E870,'الداشبورد'!$B$6))</f>
        <v/>
      </c>
      <c r="S870">
        <f>--($K870=IF('الداشبورد'!$B$7="الكل",$K870,IF('الداشبورد'!$B$7="تصدير","Y","N")))</f>
        <v/>
      </c>
      <c r="T870">
        <f>--($J870=IF('الداشبورد'!$B$8="الكل",$J870,IF('الداشبورد'!$B$8="AL","A","C")))</f>
        <v/>
      </c>
      <c r="U870">
        <f>--($I870=IF('الداشبورد'!$B$9="الكل",$I870,IF('الداشبورد'!$B$9="بدون حالة","P",'الداشبورد'!$B$9)))</f>
        <v/>
      </c>
      <c r="V870">
        <f>--($D870=IF('الداشبورد'!$B$10="الكل",$D870,'الداشبورد'!$B$10))</f>
        <v/>
      </c>
      <c r="W870">
        <f>--($G870=IF('الداشبورد'!$B$11="الكل",$G870,'الداشبورد'!$B$11))</f>
        <v/>
      </c>
      <c r="X870">
        <f>Q870*R870*S870*T870*U870*V870*W870*--($C870&lt;&gt;"")</f>
        <v/>
      </c>
    </row>
    <row r="871">
      <c r="Q871">
        <f>--($A871=IF('الداشبورد'!$B$5="الكل",$A871,'الداشبورد'!$B$5))</f>
        <v/>
      </c>
      <c r="R871">
        <f>--($E871=IF('الداشبورد'!$B$6="الكل",$E871,'الداشبورد'!$B$6))</f>
        <v/>
      </c>
      <c r="S871">
        <f>--($K871=IF('الداشبورد'!$B$7="الكل",$K871,IF('الداشبورد'!$B$7="تصدير","Y","N")))</f>
        <v/>
      </c>
      <c r="T871">
        <f>--($J871=IF('الداشبورد'!$B$8="الكل",$J871,IF('الداشبورد'!$B$8="AL","A","C")))</f>
        <v/>
      </c>
      <c r="U871">
        <f>--($I871=IF('الداشبورد'!$B$9="الكل",$I871,IF('الداشبورد'!$B$9="بدون حالة","P",'الداشبورد'!$B$9)))</f>
        <v/>
      </c>
      <c r="V871">
        <f>--($D871=IF('الداشبورد'!$B$10="الكل",$D871,'الداشبورد'!$B$10))</f>
        <v/>
      </c>
      <c r="W871">
        <f>--($G871=IF('الداشبورد'!$B$11="الكل",$G871,'الداشبورد'!$B$11))</f>
        <v/>
      </c>
      <c r="X871">
        <f>Q871*R871*S871*T871*U871*V871*W871*--($C871&lt;&gt;"")</f>
        <v/>
      </c>
    </row>
    <row r="872">
      <c r="Q872">
        <f>--($A872=IF('الداشبورد'!$B$5="الكل",$A872,'الداشبورد'!$B$5))</f>
        <v/>
      </c>
      <c r="R872">
        <f>--($E872=IF('الداشبورد'!$B$6="الكل",$E872,'الداشبورد'!$B$6))</f>
        <v/>
      </c>
      <c r="S872">
        <f>--($K872=IF('الداشبورد'!$B$7="الكل",$K872,IF('الداشبورد'!$B$7="تصدير","Y","N")))</f>
        <v/>
      </c>
      <c r="T872">
        <f>--($J872=IF('الداشبورد'!$B$8="الكل",$J872,IF('الداشبورد'!$B$8="AL","A","C")))</f>
        <v/>
      </c>
      <c r="U872">
        <f>--($I872=IF('الداشبورد'!$B$9="الكل",$I872,IF('الداشبورد'!$B$9="بدون حالة","P",'الداشبورد'!$B$9)))</f>
        <v/>
      </c>
      <c r="V872">
        <f>--($D872=IF('الداشبورد'!$B$10="الكل",$D872,'الداشبورد'!$B$10))</f>
        <v/>
      </c>
      <c r="W872">
        <f>--($G872=IF('الداشبورد'!$B$11="الكل",$G872,'الداشبورد'!$B$11))</f>
        <v/>
      </c>
      <c r="X872">
        <f>Q872*R872*S872*T872*U872*V872*W872*--($C872&lt;&gt;"")</f>
        <v/>
      </c>
    </row>
    <row r="873">
      <c r="Q873">
        <f>--($A873=IF('الداشبورد'!$B$5="الكل",$A873,'الداشبورد'!$B$5))</f>
        <v/>
      </c>
      <c r="R873">
        <f>--($E873=IF('الداشبورد'!$B$6="الكل",$E873,'الداشبورد'!$B$6))</f>
        <v/>
      </c>
      <c r="S873">
        <f>--($K873=IF('الداشبورد'!$B$7="الكل",$K873,IF('الداشبورد'!$B$7="تصدير","Y","N")))</f>
        <v/>
      </c>
      <c r="T873">
        <f>--($J873=IF('الداشبورد'!$B$8="الكل",$J873,IF('الداشبورد'!$B$8="AL","A","C")))</f>
        <v/>
      </c>
      <c r="U873">
        <f>--($I873=IF('الداشبورد'!$B$9="الكل",$I873,IF('الداشبورد'!$B$9="بدون حالة","P",'الداشبورد'!$B$9)))</f>
        <v/>
      </c>
      <c r="V873">
        <f>--($D873=IF('الداشبورد'!$B$10="الكل",$D873,'الداشبورد'!$B$10))</f>
        <v/>
      </c>
      <c r="W873">
        <f>--($G873=IF('الداشبورد'!$B$11="الكل",$G873,'الداشبورد'!$B$11))</f>
        <v/>
      </c>
      <c r="X873">
        <f>Q873*R873*S873*T873*U873*V873*W873*--($C873&lt;&gt;"")</f>
        <v/>
      </c>
    </row>
    <row r="874">
      <c r="Q874">
        <f>--($A874=IF('الداشبورد'!$B$5="الكل",$A874,'الداشبورد'!$B$5))</f>
        <v/>
      </c>
      <c r="R874">
        <f>--($E874=IF('الداشبورد'!$B$6="الكل",$E874,'الداشبورد'!$B$6))</f>
        <v/>
      </c>
      <c r="S874">
        <f>--($K874=IF('الداشبورد'!$B$7="الكل",$K874,IF('الداشبورد'!$B$7="تصدير","Y","N")))</f>
        <v/>
      </c>
      <c r="T874">
        <f>--($J874=IF('الداشبورد'!$B$8="الكل",$J874,IF('الداشبورد'!$B$8="AL","A","C")))</f>
        <v/>
      </c>
      <c r="U874">
        <f>--($I874=IF('الداشبورد'!$B$9="الكل",$I874,IF('الداشبورد'!$B$9="بدون حالة","P",'الداشبورد'!$B$9)))</f>
        <v/>
      </c>
      <c r="V874">
        <f>--($D874=IF('الداشبورد'!$B$10="الكل",$D874,'الداشبورد'!$B$10))</f>
        <v/>
      </c>
      <c r="W874">
        <f>--($G874=IF('الداشبورد'!$B$11="الكل",$G874,'الداشبورد'!$B$11))</f>
        <v/>
      </c>
      <c r="X874">
        <f>Q874*R874*S874*T874*U874*V874*W874*--($C874&lt;&gt;"")</f>
        <v/>
      </c>
    </row>
    <row r="875">
      <c r="Q875">
        <f>--($A875=IF('الداشبورد'!$B$5="الكل",$A875,'الداشبورد'!$B$5))</f>
        <v/>
      </c>
      <c r="R875">
        <f>--($E875=IF('الداشبورد'!$B$6="الكل",$E875,'الداشبورد'!$B$6))</f>
        <v/>
      </c>
      <c r="S875">
        <f>--($K875=IF('الداشبورد'!$B$7="الكل",$K875,IF('الداشبورد'!$B$7="تصدير","Y","N")))</f>
        <v/>
      </c>
      <c r="T875">
        <f>--($J875=IF('الداشبورد'!$B$8="الكل",$J875,IF('الداشبورد'!$B$8="AL","A","C")))</f>
        <v/>
      </c>
      <c r="U875">
        <f>--($I875=IF('الداشبورد'!$B$9="الكل",$I875,IF('الداشبورد'!$B$9="بدون حالة","P",'الداشبورد'!$B$9)))</f>
        <v/>
      </c>
      <c r="V875">
        <f>--($D875=IF('الداشبورد'!$B$10="الكل",$D875,'الداشبورد'!$B$10))</f>
        <v/>
      </c>
      <c r="W875">
        <f>--($G875=IF('الداشبورد'!$B$11="الكل",$G875,'الداشبورد'!$B$11))</f>
        <v/>
      </c>
      <c r="X875">
        <f>Q875*R875*S875*T875*U875*V875*W875*--($C875&lt;&gt;"")</f>
        <v/>
      </c>
    </row>
    <row r="876">
      <c r="Q876">
        <f>--($A876=IF('الداشبورد'!$B$5="الكل",$A876,'الداشبورد'!$B$5))</f>
        <v/>
      </c>
      <c r="R876">
        <f>--($E876=IF('الداشبورد'!$B$6="الكل",$E876,'الداشبورد'!$B$6))</f>
        <v/>
      </c>
      <c r="S876">
        <f>--($K876=IF('الداشبورد'!$B$7="الكل",$K876,IF('الداشبورد'!$B$7="تصدير","Y","N")))</f>
        <v/>
      </c>
      <c r="T876">
        <f>--($J876=IF('الداشبورد'!$B$8="الكل",$J876,IF('الداشبورد'!$B$8="AL","A","C")))</f>
        <v/>
      </c>
      <c r="U876">
        <f>--($I876=IF('الداشبورد'!$B$9="الكل",$I876,IF('الداشبورد'!$B$9="بدون حالة","P",'الداشبورد'!$B$9)))</f>
        <v/>
      </c>
      <c r="V876">
        <f>--($D876=IF('الداشبورد'!$B$10="الكل",$D876,'الداشبورد'!$B$10))</f>
        <v/>
      </c>
      <c r="W876">
        <f>--($G876=IF('الداشبورد'!$B$11="الكل",$G876,'الداشبورد'!$B$11))</f>
        <v/>
      </c>
      <c r="X876">
        <f>Q876*R876*S876*T876*U876*V876*W876*--($C876&lt;&gt;"")</f>
        <v/>
      </c>
    </row>
    <row r="877">
      <c r="Q877">
        <f>--($A877=IF('الداشبورد'!$B$5="الكل",$A877,'الداشبورد'!$B$5))</f>
        <v/>
      </c>
      <c r="R877">
        <f>--($E877=IF('الداشبورد'!$B$6="الكل",$E877,'الداشبورد'!$B$6))</f>
        <v/>
      </c>
      <c r="S877">
        <f>--($K877=IF('الداشبورد'!$B$7="الكل",$K877,IF('الداشبورد'!$B$7="تصدير","Y","N")))</f>
        <v/>
      </c>
      <c r="T877">
        <f>--($J877=IF('الداشبورد'!$B$8="الكل",$J877,IF('الداشبورد'!$B$8="AL","A","C")))</f>
        <v/>
      </c>
      <c r="U877">
        <f>--($I877=IF('الداشبورد'!$B$9="الكل",$I877,IF('الداشبورد'!$B$9="بدون حالة","P",'الداشبورد'!$B$9)))</f>
        <v/>
      </c>
      <c r="V877">
        <f>--($D877=IF('الداشبورد'!$B$10="الكل",$D877,'الداشبورد'!$B$10))</f>
        <v/>
      </c>
      <c r="W877">
        <f>--($G877=IF('الداشبورد'!$B$11="الكل",$G877,'الداشبورد'!$B$11))</f>
        <v/>
      </c>
      <c r="X877">
        <f>Q877*R877*S877*T877*U877*V877*W877*--($C877&lt;&gt;"")</f>
        <v/>
      </c>
    </row>
    <row r="878">
      <c r="Q878">
        <f>--($A878=IF('الداشبورد'!$B$5="الكل",$A878,'الداشبورد'!$B$5))</f>
        <v/>
      </c>
      <c r="R878">
        <f>--($E878=IF('الداشبورد'!$B$6="الكل",$E878,'الداشبورد'!$B$6))</f>
        <v/>
      </c>
      <c r="S878">
        <f>--($K878=IF('الداشبورد'!$B$7="الكل",$K878,IF('الداشبورد'!$B$7="تصدير","Y","N")))</f>
        <v/>
      </c>
      <c r="T878">
        <f>--($J878=IF('الداشبورد'!$B$8="الكل",$J878,IF('الداشبورد'!$B$8="AL","A","C")))</f>
        <v/>
      </c>
      <c r="U878">
        <f>--($I878=IF('الداشبورد'!$B$9="الكل",$I878,IF('الداشبورد'!$B$9="بدون حالة","P",'الداشبورد'!$B$9)))</f>
        <v/>
      </c>
      <c r="V878">
        <f>--($D878=IF('الداشبورد'!$B$10="الكل",$D878,'الداشبورد'!$B$10))</f>
        <v/>
      </c>
      <c r="W878">
        <f>--($G878=IF('الداشبورد'!$B$11="الكل",$G878,'الداشبورد'!$B$11))</f>
        <v/>
      </c>
      <c r="X878">
        <f>Q878*R878*S878*T878*U878*V878*W878*--($C878&lt;&gt;"")</f>
        <v/>
      </c>
    </row>
    <row r="879">
      <c r="Q879">
        <f>--($A879=IF('الداشبورد'!$B$5="الكل",$A879,'الداشبورد'!$B$5))</f>
        <v/>
      </c>
      <c r="R879">
        <f>--($E879=IF('الداشبورد'!$B$6="الكل",$E879,'الداشبورد'!$B$6))</f>
        <v/>
      </c>
      <c r="S879">
        <f>--($K879=IF('الداشبورد'!$B$7="الكل",$K879,IF('الداشبورد'!$B$7="تصدير","Y","N")))</f>
        <v/>
      </c>
      <c r="T879">
        <f>--($J879=IF('الداشبورد'!$B$8="الكل",$J879,IF('الداشبورد'!$B$8="AL","A","C")))</f>
        <v/>
      </c>
      <c r="U879">
        <f>--($I879=IF('الداشبورد'!$B$9="الكل",$I879,IF('الداشبورد'!$B$9="بدون حالة","P",'الداشبورد'!$B$9)))</f>
        <v/>
      </c>
      <c r="V879">
        <f>--($D879=IF('الداشبورد'!$B$10="الكل",$D879,'الداشبورد'!$B$10))</f>
        <v/>
      </c>
      <c r="W879">
        <f>--($G879=IF('الداشبورد'!$B$11="الكل",$G879,'الداشبورد'!$B$11))</f>
        <v/>
      </c>
      <c r="X879">
        <f>Q879*R879*S879*T879*U879*V879*W879*--($C879&lt;&gt;"")</f>
        <v/>
      </c>
    </row>
    <row r="880">
      <c r="Q880">
        <f>--($A880=IF('الداشبورد'!$B$5="الكل",$A880,'الداشبورد'!$B$5))</f>
        <v/>
      </c>
      <c r="R880">
        <f>--($E880=IF('الداشبورد'!$B$6="الكل",$E880,'الداشبورد'!$B$6))</f>
        <v/>
      </c>
      <c r="S880">
        <f>--($K880=IF('الداشبورد'!$B$7="الكل",$K880,IF('الداشبورد'!$B$7="تصدير","Y","N")))</f>
        <v/>
      </c>
      <c r="T880">
        <f>--($J880=IF('الداشبورد'!$B$8="الكل",$J880,IF('الداشبورد'!$B$8="AL","A","C")))</f>
        <v/>
      </c>
      <c r="U880">
        <f>--($I880=IF('الداشبورد'!$B$9="الكل",$I880,IF('الداشبورد'!$B$9="بدون حالة","P",'الداشبورد'!$B$9)))</f>
        <v/>
      </c>
      <c r="V880">
        <f>--($D880=IF('الداشبورد'!$B$10="الكل",$D880,'الداشبورد'!$B$10))</f>
        <v/>
      </c>
      <c r="W880">
        <f>--($G880=IF('الداشبورد'!$B$11="الكل",$G880,'الداشبورد'!$B$11))</f>
        <v/>
      </c>
      <c r="X880">
        <f>Q880*R880*S880*T880*U880*V880*W880*--($C880&lt;&gt;"")</f>
        <v/>
      </c>
    </row>
    <row r="881">
      <c r="Q881">
        <f>--($A881=IF('الداشبورد'!$B$5="الكل",$A881,'الداشبورد'!$B$5))</f>
        <v/>
      </c>
      <c r="R881">
        <f>--($E881=IF('الداشبورد'!$B$6="الكل",$E881,'الداشبورد'!$B$6))</f>
        <v/>
      </c>
      <c r="S881">
        <f>--($K881=IF('الداشبورد'!$B$7="الكل",$K881,IF('الداشبورد'!$B$7="تصدير","Y","N")))</f>
        <v/>
      </c>
      <c r="T881">
        <f>--($J881=IF('الداشبورد'!$B$8="الكل",$J881,IF('الداشبورد'!$B$8="AL","A","C")))</f>
        <v/>
      </c>
      <c r="U881">
        <f>--($I881=IF('الداشبورد'!$B$9="الكل",$I881,IF('الداشبورد'!$B$9="بدون حالة","P",'الداشبورد'!$B$9)))</f>
        <v/>
      </c>
      <c r="V881">
        <f>--($D881=IF('الداشبورد'!$B$10="الكل",$D881,'الداشبورد'!$B$10))</f>
        <v/>
      </c>
      <c r="W881">
        <f>--($G881=IF('الداشبورد'!$B$11="الكل",$G881,'الداشبورد'!$B$11))</f>
        <v/>
      </c>
      <c r="X881">
        <f>Q881*R881*S881*T881*U881*V881*W881*--($C881&lt;&gt;"")</f>
        <v/>
      </c>
    </row>
    <row r="882">
      <c r="Q882">
        <f>--($A882=IF('الداشبورد'!$B$5="الكل",$A882,'الداشبورد'!$B$5))</f>
        <v/>
      </c>
      <c r="R882">
        <f>--($E882=IF('الداشبورد'!$B$6="الكل",$E882,'الداشبورد'!$B$6))</f>
        <v/>
      </c>
      <c r="S882">
        <f>--($K882=IF('الداشبورد'!$B$7="الكل",$K882,IF('الداشبورد'!$B$7="تصدير","Y","N")))</f>
        <v/>
      </c>
      <c r="T882">
        <f>--($J882=IF('الداشبورد'!$B$8="الكل",$J882,IF('الداشبورد'!$B$8="AL","A","C")))</f>
        <v/>
      </c>
      <c r="U882">
        <f>--($I882=IF('الداشبورد'!$B$9="الكل",$I882,IF('الداشبورد'!$B$9="بدون حالة","P",'الداشبورد'!$B$9)))</f>
        <v/>
      </c>
      <c r="V882">
        <f>--($D882=IF('الداشبورد'!$B$10="الكل",$D882,'الداشبورد'!$B$10))</f>
        <v/>
      </c>
      <c r="W882">
        <f>--($G882=IF('الداشبورد'!$B$11="الكل",$G882,'الداشبورد'!$B$11))</f>
        <v/>
      </c>
      <c r="X882">
        <f>Q882*R882*S882*T882*U882*V882*W882*--($C882&lt;&gt;"")</f>
        <v/>
      </c>
    </row>
    <row r="883">
      <c r="Q883">
        <f>--($A883=IF('الداشبورد'!$B$5="الكل",$A883,'الداشبورد'!$B$5))</f>
        <v/>
      </c>
      <c r="R883">
        <f>--($E883=IF('الداشبورد'!$B$6="الكل",$E883,'الداشبورد'!$B$6))</f>
        <v/>
      </c>
      <c r="S883">
        <f>--($K883=IF('الداشبورد'!$B$7="الكل",$K883,IF('الداشبورد'!$B$7="تصدير","Y","N")))</f>
        <v/>
      </c>
      <c r="T883">
        <f>--($J883=IF('الداشبورد'!$B$8="الكل",$J883,IF('الداشبورد'!$B$8="AL","A","C")))</f>
        <v/>
      </c>
      <c r="U883">
        <f>--($I883=IF('الداشبورد'!$B$9="الكل",$I883,IF('الداشبورد'!$B$9="بدون حالة","P",'الداشبورد'!$B$9)))</f>
        <v/>
      </c>
      <c r="V883">
        <f>--($D883=IF('الداشبورد'!$B$10="الكل",$D883,'الداشبورد'!$B$10))</f>
        <v/>
      </c>
      <c r="W883">
        <f>--($G883=IF('الداشبورد'!$B$11="الكل",$G883,'الداشبورد'!$B$11))</f>
        <v/>
      </c>
      <c r="X883">
        <f>Q883*R883*S883*T883*U883*V883*W883*--($C883&lt;&gt;"")</f>
        <v/>
      </c>
    </row>
    <row r="884">
      <c r="Q884">
        <f>--($A884=IF('الداشبورد'!$B$5="الكل",$A884,'الداشبورد'!$B$5))</f>
        <v/>
      </c>
      <c r="R884">
        <f>--($E884=IF('الداشبورد'!$B$6="الكل",$E884,'الداشبورد'!$B$6))</f>
        <v/>
      </c>
      <c r="S884">
        <f>--($K884=IF('الداشبورد'!$B$7="الكل",$K884,IF('الداشبورد'!$B$7="تصدير","Y","N")))</f>
        <v/>
      </c>
      <c r="T884">
        <f>--($J884=IF('الداشبورد'!$B$8="الكل",$J884,IF('الداشبورد'!$B$8="AL","A","C")))</f>
        <v/>
      </c>
      <c r="U884">
        <f>--($I884=IF('الداشبورد'!$B$9="الكل",$I884,IF('الداشبورد'!$B$9="بدون حالة","P",'الداشبورد'!$B$9)))</f>
        <v/>
      </c>
      <c r="V884">
        <f>--($D884=IF('الداشبورد'!$B$10="الكل",$D884,'الداشبورد'!$B$10))</f>
        <v/>
      </c>
      <c r="W884">
        <f>--($G884=IF('الداشبورد'!$B$11="الكل",$G884,'الداشبورد'!$B$11))</f>
        <v/>
      </c>
      <c r="X884">
        <f>Q884*R884*S884*T884*U884*V884*W884*--($C884&lt;&gt;"")</f>
        <v/>
      </c>
    </row>
    <row r="885">
      <c r="Q885">
        <f>--($A885=IF('الداشبورد'!$B$5="الكل",$A885,'الداشبورد'!$B$5))</f>
        <v/>
      </c>
      <c r="R885">
        <f>--($E885=IF('الداشبورد'!$B$6="الكل",$E885,'الداشبورد'!$B$6))</f>
        <v/>
      </c>
      <c r="S885">
        <f>--($K885=IF('الداشبورد'!$B$7="الكل",$K885,IF('الداشبورد'!$B$7="تصدير","Y","N")))</f>
        <v/>
      </c>
      <c r="T885">
        <f>--($J885=IF('الداشبورد'!$B$8="الكل",$J885,IF('الداشبورد'!$B$8="AL","A","C")))</f>
        <v/>
      </c>
      <c r="U885">
        <f>--($I885=IF('الداشبورد'!$B$9="الكل",$I885,IF('الداشبورد'!$B$9="بدون حالة","P",'الداشبورد'!$B$9)))</f>
        <v/>
      </c>
      <c r="V885">
        <f>--($D885=IF('الداشبورد'!$B$10="الكل",$D885,'الداشبورد'!$B$10))</f>
        <v/>
      </c>
      <c r="W885">
        <f>--($G885=IF('الداشبورد'!$B$11="الكل",$G885,'الداشبورد'!$B$11))</f>
        <v/>
      </c>
      <c r="X885">
        <f>Q885*R885*S885*T885*U885*V885*W885*--($C885&lt;&gt;"")</f>
        <v/>
      </c>
    </row>
    <row r="886">
      <c r="Q886">
        <f>--($A886=IF('الداشبورد'!$B$5="الكل",$A886,'الداشبورد'!$B$5))</f>
        <v/>
      </c>
      <c r="R886">
        <f>--($E886=IF('الداشبورد'!$B$6="الكل",$E886,'الداشبورد'!$B$6))</f>
        <v/>
      </c>
      <c r="S886">
        <f>--($K886=IF('الداشبورد'!$B$7="الكل",$K886,IF('الداشبورد'!$B$7="تصدير","Y","N")))</f>
        <v/>
      </c>
      <c r="T886">
        <f>--($J886=IF('الداشبورد'!$B$8="الكل",$J886,IF('الداشبورد'!$B$8="AL","A","C")))</f>
        <v/>
      </c>
      <c r="U886">
        <f>--($I886=IF('الداشبورد'!$B$9="الكل",$I886,IF('الداشبورد'!$B$9="بدون حالة","P",'الداشبورد'!$B$9)))</f>
        <v/>
      </c>
      <c r="V886">
        <f>--($D886=IF('الداشبورد'!$B$10="الكل",$D886,'الداشبورد'!$B$10))</f>
        <v/>
      </c>
      <c r="W886">
        <f>--($G886=IF('الداشبورد'!$B$11="الكل",$G886,'الداشبورد'!$B$11))</f>
        <v/>
      </c>
      <c r="X886">
        <f>Q886*R886*S886*T886*U886*V886*W886*--($C886&lt;&gt;"")</f>
        <v/>
      </c>
    </row>
    <row r="887">
      <c r="Q887">
        <f>--($A887=IF('الداشبورد'!$B$5="الكل",$A887,'الداشبورد'!$B$5))</f>
        <v/>
      </c>
      <c r="R887">
        <f>--($E887=IF('الداشبورد'!$B$6="الكل",$E887,'الداشبورد'!$B$6))</f>
        <v/>
      </c>
      <c r="S887">
        <f>--($K887=IF('الداشبورد'!$B$7="الكل",$K887,IF('الداشبورد'!$B$7="تصدير","Y","N")))</f>
        <v/>
      </c>
      <c r="T887">
        <f>--($J887=IF('الداشبورد'!$B$8="الكل",$J887,IF('الداشبورد'!$B$8="AL","A","C")))</f>
        <v/>
      </c>
      <c r="U887">
        <f>--($I887=IF('الداشبورد'!$B$9="الكل",$I887,IF('الداشبورد'!$B$9="بدون حالة","P",'الداشبورد'!$B$9)))</f>
        <v/>
      </c>
      <c r="V887">
        <f>--($D887=IF('الداشبورد'!$B$10="الكل",$D887,'الداشبورد'!$B$10))</f>
        <v/>
      </c>
      <c r="W887">
        <f>--($G887=IF('الداشبورد'!$B$11="الكل",$G887,'الداشبورد'!$B$11))</f>
        <v/>
      </c>
      <c r="X887">
        <f>Q887*R887*S887*T887*U887*V887*W887*--($C887&lt;&gt;"")</f>
        <v/>
      </c>
    </row>
    <row r="888">
      <c r="Q888">
        <f>--($A888=IF('الداشبورد'!$B$5="الكل",$A888,'الداشبورد'!$B$5))</f>
        <v/>
      </c>
      <c r="R888">
        <f>--($E888=IF('الداشبورد'!$B$6="الكل",$E888,'الداشبورد'!$B$6))</f>
        <v/>
      </c>
      <c r="S888">
        <f>--($K888=IF('الداشبورد'!$B$7="الكل",$K888,IF('الداشبورد'!$B$7="تصدير","Y","N")))</f>
        <v/>
      </c>
      <c r="T888">
        <f>--($J888=IF('الداشبورد'!$B$8="الكل",$J888,IF('الداشبورد'!$B$8="AL","A","C")))</f>
        <v/>
      </c>
      <c r="U888">
        <f>--($I888=IF('الداشبورد'!$B$9="الكل",$I888,IF('الداشبورد'!$B$9="بدون حالة","P",'الداشبورد'!$B$9)))</f>
        <v/>
      </c>
      <c r="V888">
        <f>--($D888=IF('الداشبورد'!$B$10="الكل",$D888,'الداشبورد'!$B$10))</f>
        <v/>
      </c>
      <c r="W888">
        <f>--($G888=IF('الداشبورد'!$B$11="الكل",$G888,'الداشبورد'!$B$11))</f>
        <v/>
      </c>
      <c r="X888">
        <f>Q888*R888*S888*T888*U888*V888*W888*--($C888&lt;&gt;"")</f>
        <v/>
      </c>
    </row>
    <row r="889">
      <c r="Q889">
        <f>--($A889=IF('الداشبورد'!$B$5="الكل",$A889,'الداشبورد'!$B$5))</f>
        <v/>
      </c>
      <c r="R889">
        <f>--($E889=IF('الداشبورد'!$B$6="الكل",$E889,'الداشبورد'!$B$6))</f>
        <v/>
      </c>
      <c r="S889">
        <f>--($K889=IF('الداشبورد'!$B$7="الكل",$K889,IF('الداشبورد'!$B$7="تصدير","Y","N")))</f>
        <v/>
      </c>
      <c r="T889">
        <f>--($J889=IF('الداشبورد'!$B$8="الكل",$J889,IF('الداشبورد'!$B$8="AL","A","C")))</f>
        <v/>
      </c>
      <c r="U889">
        <f>--($I889=IF('الداشبورد'!$B$9="الكل",$I889,IF('الداشبورد'!$B$9="بدون حالة","P",'الداشبورد'!$B$9)))</f>
        <v/>
      </c>
      <c r="V889">
        <f>--($D889=IF('الداشبورد'!$B$10="الكل",$D889,'الداشبورد'!$B$10))</f>
        <v/>
      </c>
      <c r="W889">
        <f>--($G889=IF('الداشبورد'!$B$11="الكل",$G889,'الداشبورد'!$B$11))</f>
        <v/>
      </c>
      <c r="X889">
        <f>Q889*R889*S889*T889*U889*V889*W889*--($C889&lt;&gt;"")</f>
        <v/>
      </c>
    </row>
    <row r="890">
      <c r="Q890">
        <f>--($A890=IF('الداشبورد'!$B$5="الكل",$A890,'الداشبورد'!$B$5))</f>
        <v/>
      </c>
      <c r="R890">
        <f>--($E890=IF('الداشبورد'!$B$6="الكل",$E890,'الداشبورد'!$B$6))</f>
        <v/>
      </c>
      <c r="S890">
        <f>--($K890=IF('الداشبورد'!$B$7="الكل",$K890,IF('الداشبورد'!$B$7="تصدير","Y","N")))</f>
        <v/>
      </c>
      <c r="T890">
        <f>--($J890=IF('الداشبورد'!$B$8="الكل",$J890,IF('الداشبورد'!$B$8="AL","A","C")))</f>
        <v/>
      </c>
      <c r="U890">
        <f>--($I890=IF('الداشبورد'!$B$9="الكل",$I890,IF('الداشبورد'!$B$9="بدون حالة","P",'الداشبورد'!$B$9)))</f>
        <v/>
      </c>
      <c r="V890">
        <f>--($D890=IF('الداشبورد'!$B$10="الكل",$D890,'الداشبورد'!$B$10))</f>
        <v/>
      </c>
      <c r="W890">
        <f>--($G890=IF('الداشبورد'!$B$11="الكل",$G890,'الداشبورد'!$B$11))</f>
        <v/>
      </c>
      <c r="X890">
        <f>Q890*R890*S890*T890*U890*V890*W890*--($C890&lt;&gt;"")</f>
        <v/>
      </c>
    </row>
    <row r="891">
      <c r="Q891">
        <f>--($A891=IF('الداشبورد'!$B$5="الكل",$A891,'الداشبورد'!$B$5))</f>
        <v/>
      </c>
      <c r="R891">
        <f>--($E891=IF('الداشبورد'!$B$6="الكل",$E891,'الداشبورد'!$B$6))</f>
        <v/>
      </c>
      <c r="S891">
        <f>--($K891=IF('الداشبورد'!$B$7="الكل",$K891,IF('الداشبورد'!$B$7="تصدير","Y","N")))</f>
        <v/>
      </c>
      <c r="T891">
        <f>--($J891=IF('الداشبورد'!$B$8="الكل",$J891,IF('الداشبورد'!$B$8="AL","A","C")))</f>
        <v/>
      </c>
      <c r="U891">
        <f>--($I891=IF('الداشبورد'!$B$9="الكل",$I891,IF('الداشبورد'!$B$9="بدون حالة","P",'الداشبورد'!$B$9)))</f>
        <v/>
      </c>
      <c r="V891">
        <f>--($D891=IF('الداشبورد'!$B$10="الكل",$D891,'الداشبورد'!$B$10))</f>
        <v/>
      </c>
      <c r="W891">
        <f>--($G891=IF('الداشبورد'!$B$11="الكل",$G891,'الداشبورد'!$B$11))</f>
        <v/>
      </c>
      <c r="X891">
        <f>Q891*R891*S891*T891*U891*V891*W891*--($C891&lt;&gt;"")</f>
        <v/>
      </c>
    </row>
    <row r="892">
      <c r="Q892">
        <f>--($A892=IF('الداشبورد'!$B$5="الكل",$A892,'الداشبورد'!$B$5))</f>
        <v/>
      </c>
      <c r="R892">
        <f>--($E892=IF('الداشبورد'!$B$6="الكل",$E892,'الداشبورد'!$B$6))</f>
        <v/>
      </c>
      <c r="S892">
        <f>--($K892=IF('الداشبورد'!$B$7="الكل",$K892,IF('الداشبورد'!$B$7="تصدير","Y","N")))</f>
        <v/>
      </c>
      <c r="T892">
        <f>--($J892=IF('الداشبورد'!$B$8="الكل",$J892,IF('الداشبورد'!$B$8="AL","A","C")))</f>
        <v/>
      </c>
      <c r="U892">
        <f>--($I892=IF('الداشبورد'!$B$9="الكل",$I892,IF('الداشبورد'!$B$9="بدون حالة","P",'الداشبورد'!$B$9)))</f>
        <v/>
      </c>
      <c r="V892">
        <f>--($D892=IF('الداشبورد'!$B$10="الكل",$D892,'الداشبورد'!$B$10))</f>
        <v/>
      </c>
      <c r="W892">
        <f>--($G892=IF('الداشبورد'!$B$11="الكل",$G892,'الداشبورد'!$B$11))</f>
        <v/>
      </c>
      <c r="X892">
        <f>Q892*R892*S892*T892*U892*V892*W892*--($C892&lt;&gt;"")</f>
        <v/>
      </c>
    </row>
    <row r="893">
      <c r="Q893">
        <f>--($A893=IF('الداشبورد'!$B$5="الكل",$A893,'الداشبورد'!$B$5))</f>
        <v/>
      </c>
      <c r="R893">
        <f>--($E893=IF('الداشبورد'!$B$6="الكل",$E893,'الداشبورد'!$B$6))</f>
        <v/>
      </c>
      <c r="S893">
        <f>--($K893=IF('الداشبورد'!$B$7="الكل",$K893,IF('الداشبورد'!$B$7="تصدير","Y","N")))</f>
        <v/>
      </c>
      <c r="T893">
        <f>--($J893=IF('الداشبورد'!$B$8="الكل",$J893,IF('الداشبورد'!$B$8="AL","A","C")))</f>
        <v/>
      </c>
      <c r="U893">
        <f>--($I893=IF('الداشبورد'!$B$9="الكل",$I893,IF('الداشبورد'!$B$9="بدون حالة","P",'الداشبورد'!$B$9)))</f>
        <v/>
      </c>
      <c r="V893">
        <f>--($D893=IF('الداشبورد'!$B$10="الكل",$D893,'الداشبورد'!$B$10))</f>
        <v/>
      </c>
      <c r="W893">
        <f>--($G893=IF('الداشبورد'!$B$11="الكل",$G893,'الداشبورد'!$B$11))</f>
        <v/>
      </c>
      <c r="X893">
        <f>Q893*R893*S893*T893*U893*V893*W893*--($C893&lt;&gt;"")</f>
        <v/>
      </c>
    </row>
    <row r="894">
      <c r="Q894">
        <f>--($A894=IF('الداشبورد'!$B$5="الكل",$A894,'الداشبورد'!$B$5))</f>
        <v/>
      </c>
      <c r="R894">
        <f>--($E894=IF('الداشبورد'!$B$6="الكل",$E894,'الداشبورد'!$B$6))</f>
        <v/>
      </c>
      <c r="S894">
        <f>--($K894=IF('الداشبورد'!$B$7="الكل",$K894,IF('الداشبورد'!$B$7="تصدير","Y","N")))</f>
        <v/>
      </c>
      <c r="T894">
        <f>--($J894=IF('الداشبورد'!$B$8="الكل",$J894,IF('الداشبورد'!$B$8="AL","A","C")))</f>
        <v/>
      </c>
      <c r="U894">
        <f>--($I894=IF('الداشبورد'!$B$9="الكل",$I894,IF('الداشبورد'!$B$9="بدون حالة","P",'الداشبورد'!$B$9)))</f>
        <v/>
      </c>
      <c r="V894">
        <f>--($D894=IF('الداشبورد'!$B$10="الكل",$D894,'الداشبورد'!$B$10))</f>
        <v/>
      </c>
      <c r="W894">
        <f>--($G894=IF('الداشبورد'!$B$11="الكل",$G894,'الداشبورد'!$B$11))</f>
        <v/>
      </c>
      <c r="X894">
        <f>Q894*R894*S894*T894*U894*V894*W894*--($C894&lt;&gt;"")</f>
        <v/>
      </c>
    </row>
    <row r="895">
      <c r="Q895">
        <f>--($A895=IF('الداشبورد'!$B$5="الكل",$A895,'الداشبورد'!$B$5))</f>
        <v/>
      </c>
      <c r="R895">
        <f>--($E895=IF('الداشبورد'!$B$6="الكل",$E895,'الداشبورد'!$B$6))</f>
        <v/>
      </c>
      <c r="S895">
        <f>--($K895=IF('الداشبورد'!$B$7="الكل",$K895,IF('الداشبورد'!$B$7="تصدير","Y","N")))</f>
        <v/>
      </c>
      <c r="T895">
        <f>--($J895=IF('الداشبورد'!$B$8="الكل",$J895,IF('الداشبورد'!$B$8="AL","A","C")))</f>
        <v/>
      </c>
      <c r="U895">
        <f>--($I895=IF('الداشبورد'!$B$9="الكل",$I895,IF('الداشبورد'!$B$9="بدون حالة","P",'الداشبورد'!$B$9)))</f>
        <v/>
      </c>
      <c r="V895">
        <f>--($D895=IF('الداشبورد'!$B$10="الكل",$D895,'الداشبورد'!$B$10))</f>
        <v/>
      </c>
      <c r="W895">
        <f>--($G895=IF('الداشبورد'!$B$11="الكل",$G895,'الداشبورد'!$B$11))</f>
        <v/>
      </c>
      <c r="X895">
        <f>Q895*R895*S895*T895*U895*V895*W895*--($C895&lt;&gt;"")</f>
        <v/>
      </c>
    </row>
    <row r="896">
      <c r="Q896">
        <f>--($A896=IF('الداشبورد'!$B$5="الكل",$A896,'الداشبورد'!$B$5))</f>
        <v/>
      </c>
      <c r="R896">
        <f>--($E896=IF('الداشبورد'!$B$6="الكل",$E896,'الداشبورد'!$B$6))</f>
        <v/>
      </c>
      <c r="S896">
        <f>--($K896=IF('الداشبورد'!$B$7="الكل",$K896,IF('الداشبورد'!$B$7="تصدير","Y","N")))</f>
        <v/>
      </c>
      <c r="T896">
        <f>--($J896=IF('الداشبورد'!$B$8="الكل",$J896,IF('الداشبورد'!$B$8="AL","A","C")))</f>
        <v/>
      </c>
      <c r="U896">
        <f>--($I896=IF('الداشبورد'!$B$9="الكل",$I896,IF('الداشبورد'!$B$9="بدون حالة","P",'الداشبورد'!$B$9)))</f>
        <v/>
      </c>
      <c r="V896">
        <f>--($D896=IF('الداشبورد'!$B$10="الكل",$D896,'الداشبورد'!$B$10))</f>
        <v/>
      </c>
      <c r="W896">
        <f>--($G896=IF('الداشبورد'!$B$11="الكل",$G896,'الداشبورد'!$B$11))</f>
        <v/>
      </c>
      <c r="X896">
        <f>Q896*R896*S896*T896*U896*V896*W896*--($C896&lt;&gt;"")</f>
        <v/>
      </c>
    </row>
    <row r="897">
      <c r="Q897">
        <f>--($A897=IF('الداشبورد'!$B$5="الكل",$A897,'الداشبورد'!$B$5))</f>
        <v/>
      </c>
      <c r="R897">
        <f>--($E897=IF('الداشبورد'!$B$6="الكل",$E897,'الداشبورد'!$B$6))</f>
        <v/>
      </c>
      <c r="S897">
        <f>--($K897=IF('الداشبورد'!$B$7="الكل",$K897,IF('الداشبورد'!$B$7="تصدير","Y","N")))</f>
        <v/>
      </c>
      <c r="T897">
        <f>--($J897=IF('الداشبورد'!$B$8="الكل",$J897,IF('الداشبورد'!$B$8="AL","A","C")))</f>
        <v/>
      </c>
      <c r="U897">
        <f>--($I897=IF('الداشبورد'!$B$9="الكل",$I897,IF('الداشبورد'!$B$9="بدون حالة","P",'الداشبورد'!$B$9)))</f>
        <v/>
      </c>
      <c r="V897">
        <f>--($D897=IF('الداشبورد'!$B$10="الكل",$D897,'الداشبورد'!$B$10))</f>
        <v/>
      </c>
      <c r="W897">
        <f>--($G897=IF('الداشبورد'!$B$11="الكل",$G897,'الداشبورد'!$B$11))</f>
        <v/>
      </c>
      <c r="X897">
        <f>Q897*R897*S897*T897*U897*V897*W897*--($C897&lt;&gt;"")</f>
        <v/>
      </c>
    </row>
    <row r="898">
      <c r="Q898">
        <f>--($A898=IF('الداشبورد'!$B$5="الكل",$A898,'الداشبورد'!$B$5))</f>
        <v/>
      </c>
      <c r="R898">
        <f>--($E898=IF('الداشبورد'!$B$6="الكل",$E898,'الداشبورد'!$B$6))</f>
        <v/>
      </c>
      <c r="S898">
        <f>--($K898=IF('الداشبورد'!$B$7="الكل",$K898,IF('الداشبورد'!$B$7="تصدير","Y","N")))</f>
        <v/>
      </c>
      <c r="T898">
        <f>--($J898=IF('الداشبورد'!$B$8="الكل",$J898,IF('الداشبورد'!$B$8="AL","A","C")))</f>
        <v/>
      </c>
      <c r="U898">
        <f>--($I898=IF('الداشبورد'!$B$9="الكل",$I898,IF('الداشبورد'!$B$9="بدون حالة","P",'الداشبورد'!$B$9)))</f>
        <v/>
      </c>
      <c r="V898">
        <f>--($D898=IF('الداشبورد'!$B$10="الكل",$D898,'الداشبورد'!$B$10))</f>
        <v/>
      </c>
      <c r="W898">
        <f>--($G898=IF('الداشبورد'!$B$11="الكل",$G898,'الداشبورد'!$B$11))</f>
        <v/>
      </c>
      <c r="X898">
        <f>Q898*R898*S898*T898*U898*V898*W898*--($C898&lt;&gt;"")</f>
        <v/>
      </c>
    </row>
    <row r="899">
      <c r="Q899">
        <f>--($A899=IF('الداشبورد'!$B$5="الكل",$A899,'الداشبورد'!$B$5))</f>
        <v/>
      </c>
      <c r="R899">
        <f>--($E899=IF('الداشبورد'!$B$6="الكل",$E899,'الداشبورد'!$B$6))</f>
        <v/>
      </c>
      <c r="S899">
        <f>--($K899=IF('الداشبورد'!$B$7="الكل",$K899,IF('الداشبورد'!$B$7="تصدير","Y","N")))</f>
        <v/>
      </c>
      <c r="T899">
        <f>--($J899=IF('الداشبورد'!$B$8="الكل",$J899,IF('الداشبورد'!$B$8="AL","A","C")))</f>
        <v/>
      </c>
      <c r="U899">
        <f>--($I899=IF('الداشبورد'!$B$9="الكل",$I899,IF('الداشبورد'!$B$9="بدون حالة","P",'الداشبورد'!$B$9)))</f>
        <v/>
      </c>
      <c r="V899">
        <f>--($D899=IF('الداشبورد'!$B$10="الكل",$D899,'الداشبورد'!$B$10))</f>
        <v/>
      </c>
      <c r="W899">
        <f>--($G899=IF('الداشبورد'!$B$11="الكل",$G899,'الداشبورد'!$B$11))</f>
        <v/>
      </c>
      <c r="X899">
        <f>Q899*R899*S899*T899*U899*V899*W899*--($C899&lt;&gt;"")</f>
        <v/>
      </c>
    </row>
    <row r="900">
      <c r="Q900">
        <f>--($A900=IF('الداشبورد'!$B$5="الكل",$A900,'الداشبورد'!$B$5))</f>
        <v/>
      </c>
      <c r="R900">
        <f>--($E900=IF('الداشبورد'!$B$6="الكل",$E900,'الداشبورد'!$B$6))</f>
        <v/>
      </c>
      <c r="S900">
        <f>--($K900=IF('الداشبورد'!$B$7="الكل",$K900,IF('الداشبورد'!$B$7="تصدير","Y","N")))</f>
        <v/>
      </c>
      <c r="T900">
        <f>--($J900=IF('الداشبورد'!$B$8="الكل",$J900,IF('الداشبورد'!$B$8="AL","A","C")))</f>
        <v/>
      </c>
      <c r="U900">
        <f>--($I900=IF('الداشبورد'!$B$9="الكل",$I900,IF('الداشبورد'!$B$9="بدون حالة","P",'الداشبورد'!$B$9)))</f>
        <v/>
      </c>
      <c r="V900">
        <f>--($D900=IF('الداشبورد'!$B$10="الكل",$D900,'الداشبورد'!$B$10))</f>
        <v/>
      </c>
      <c r="W900">
        <f>--($G900=IF('الداشبورد'!$B$11="الكل",$G900,'الداشبورد'!$B$11))</f>
        <v/>
      </c>
      <c r="X900">
        <f>Q900*R900*S900*T900*U900*V900*W900*--($C900&lt;&gt;"")</f>
        <v/>
      </c>
    </row>
    <row r="901">
      <c r="Q901">
        <f>--($A901=IF('الداشبورد'!$B$5="الكل",$A901,'الداشبورد'!$B$5))</f>
        <v/>
      </c>
      <c r="R901">
        <f>--($E901=IF('الداشبورد'!$B$6="الكل",$E901,'الداشبورد'!$B$6))</f>
        <v/>
      </c>
      <c r="S901">
        <f>--($K901=IF('الداشبورد'!$B$7="الكل",$K901,IF('الداشبورد'!$B$7="تصدير","Y","N")))</f>
        <v/>
      </c>
      <c r="T901">
        <f>--($J901=IF('الداشبورد'!$B$8="الكل",$J901,IF('الداشبورد'!$B$8="AL","A","C")))</f>
        <v/>
      </c>
      <c r="U901">
        <f>--($I901=IF('الداشبورد'!$B$9="الكل",$I901,IF('الداشبورد'!$B$9="بدون حالة","P",'الداشبورد'!$B$9)))</f>
        <v/>
      </c>
      <c r="V901">
        <f>--($D901=IF('الداشبورد'!$B$10="الكل",$D901,'الداشبورد'!$B$10))</f>
        <v/>
      </c>
      <c r="W901">
        <f>--($G901=IF('الداشبورد'!$B$11="الكل",$G901,'الداشبورد'!$B$11))</f>
        <v/>
      </c>
      <c r="X901">
        <f>Q901*R901*S901*T901*U901*V901*W901*--($C901&lt;&gt;"")</f>
        <v/>
      </c>
    </row>
    <row r="902">
      <c r="Q902">
        <f>--($A902=IF('الداشبورد'!$B$5="الكل",$A902,'الداشبورد'!$B$5))</f>
        <v/>
      </c>
      <c r="R902">
        <f>--($E902=IF('الداشبورد'!$B$6="الكل",$E902,'الداشبورد'!$B$6))</f>
        <v/>
      </c>
      <c r="S902">
        <f>--($K902=IF('الداشبورد'!$B$7="الكل",$K902,IF('الداشبورد'!$B$7="تصدير","Y","N")))</f>
        <v/>
      </c>
      <c r="T902">
        <f>--($J902=IF('الداشبورد'!$B$8="الكل",$J902,IF('الداشبورد'!$B$8="AL","A","C")))</f>
        <v/>
      </c>
      <c r="U902">
        <f>--($I902=IF('الداشبورد'!$B$9="الكل",$I902,IF('الداشبورد'!$B$9="بدون حالة","P",'الداشبورد'!$B$9)))</f>
        <v/>
      </c>
      <c r="V902">
        <f>--($D902=IF('الداشبورد'!$B$10="الكل",$D902,'الداشبورد'!$B$10))</f>
        <v/>
      </c>
      <c r="W902">
        <f>--($G902=IF('الداشبورد'!$B$11="الكل",$G902,'الداشبورد'!$B$11))</f>
        <v/>
      </c>
      <c r="X902">
        <f>Q902*R902*S902*T902*U902*V902*W902*--($C902&lt;&gt;"")</f>
        <v/>
      </c>
    </row>
    <row r="903">
      <c r="Q903">
        <f>--($A903=IF('الداشبورد'!$B$5="الكل",$A903,'الداشبورد'!$B$5))</f>
        <v/>
      </c>
      <c r="R903">
        <f>--($E903=IF('الداشبورد'!$B$6="الكل",$E903,'الداشبورد'!$B$6))</f>
        <v/>
      </c>
      <c r="S903">
        <f>--($K903=IF('الداشبورد'!$B$7="الكل",$K903,IF('الداشبورد'!$B$7="تصدير","Y","N")))</f>
        <v/>
      </c>
      <c r="T903">
        <f>--($J903=IF('الداشبورد'!$B$8="الكل",$J903,IF('الداشبورد'!$B$8="AL","A","C")))</f>
        <v/>
      </c>
      <c r="U903">
        <f>--($I903=IF('الداشبورد'!$B$9="الكل",$I903,IF('الداشبورد'!$B$9="بدون حالة","P",'الداشبورد'!$B$9)))</f>
        <v/>
      </c>
      <c r="V903">
        <f>--($D903=IF('الداشبورد'!$B$10="الكل",$D903,'الداشبورد'!$B$10))</f>
        <v/>
      </c>
      <c r="W903">
        <f>--($G903=IF('الداشبورد'!$B$11="الكل",$G903,'الداشبورد'!$B$11))</f>
        <v/>
      </c>
      <c r="X903">
        <f>Q903*R903*S903*T903*U903*V903*W903*--($C903&lt;&gt;"")</f>
        <v/>
      </c>
    </row>
    <row r="904">
      <c r="Q904">
        <f>--($A904=IF('الداشبورد'!$B$5="الكل",$A904,'الداشبورد'!$B$5))</f>
        <v/>
      </c>
      <c r="R904">
        <f>--($E904=IF('الداشبورد'!$B$6="الكل",$E904,'الداشبورد'!$B$6))</f>
        <v/>
      </c>
      <c r="S904">
        <f>--($K904=IF('الداشبورد'!$B$7="الكل",$K904,IF('الداشبورد'!$B$7="تصدير","Y","N")))</f>
        <v/>
      </c>
      <c r="T904">
        <f>--($J904=IF('الداشبورد'!$B$8="الكل",$J904,IF('الداشبورد'!$B$8="AL","A","C")))</f>
        <v/>
      </c>
      <c r="U904">
        <f>--($I904=IF('الداشبورد'!$B$9="الكل",$I904,IF('الداشبورد'!$B$9="بدون حالة","P",'الداشبورد'!$B$9)))</f>
        <v/>
      </c>
      <c r="V904">
        <f>--($D904=IF('الداشبورد'!$B$10="الكل",$D904,'الداشبورد'!$B$10))</f>
        <v/>
      </c>
      <c r="W904">
        <f>--($G904=IF('الداشبورد'!$B$11="الكل",$G904,'الداشبورد'!$B$11))</f>
        <v/>
      </c>
      <c r="X904">
        <f>Q904*R904*S904*T904*U904*V904*W904*--($C904&lt;&gt;"")</f>
        <v/>
      </c>
    </row>
    <row r="905">
      <c r="Q905">
        <f>--($A905=IF('الداشبورد'!$B$5="الكل",$A905,'الداشبورد'!$B$5))</f>
        <v/>
      </c>
      <c r="R905">
        <f>--($E905=IF('الداشبورد'!$B$6="الكل",$E905,'الداشبورد'!$B$6))</f>
        <v/>
      </c>
      <c r="S905">
        <f>--($K905=IF('الداشبورد'!$B$7="الكل",$K905,IF('الداشبورد'!$B$7="تصدير","Y","N")))</f>
        <v/>
      </c>
      <c r="T905">
        <f>--($J905=IF('الداشبورد'!$B$8="الكل",$J905,IF('الداشبورد'!$B$8="AL","A","C")))</f>
        <v/>
      </c>
      <c r="U905">
        <f>--($I905=IF('الداشبورد'!$B$9="الكل",$I905,IF('الداشبورد'!$B$9="بدون حالة","P",'الداشبورد'!$B$9)))</f>
        <v/>
      </c>
      <c r="V905">
        <f>--($D905=IF('الداشبورد'!$B$10="الكل",$D905,'الداشبورد'!$B$10))</f>
        <v/>
      </c>
      <c r="W905">
        <f>--($G905=IF('الداشبورد'!$B$11="الكل",$G905,'الداشبورد'!$B$11))</f>
        <v/>
      </c>
      <c r="X905">
        <f>Q905*R905*S905*T905*U905*V905*W905*--($C905&lt;&gt;"")</f>
        <v/>
      </c>
    </row>
    <row r="906">
      <c r="Q906">
        <f>--($A906=IF('الداشبورد'!$B$5="الكل",$A906,'الداشبورد'!$B$5))</f>
        <v/>
      </c>
      <c r="R906">
        <f>--($E906=IF('الداشبورد'!$B$6="الكل",$E906,'الداشبورد'!$B$6))</f>
        <v/>
      </c>
      <c r="S906">
        <f>--($K906=IF('الداشبورد'!$B$7="الكل",$K906,IF('الداشبورد'!$B$7="تصدير","Y","N")))</f>
        <v/>
      </c>
      <c r="T906">
        <f>--($J906=IF('الداشبورد'!$B$8="الكل",$J906,IF('الداشبورد'!$B$8="AL","A","C")))</f>
        <v/>
      </c>
      <c r="U906">
        <f>--($I906=IF('الداشبورد'!$B$9="الكل",$I906,IF('الداشبورد'!$B$9="بدون حالة","P",'الداشبورد'!$B$9)))</f>
        <v/>
      </c>
      <c r="V906">
        <f>--($D906=IF('الداشبورد'!$B$10="الكل",$D906,'الداشبورد'!$B$10))</f>
        <v/>
      </c>
      <c r="W906">
        <f>--($G906=IF('الداشبورد'!$B$11="الكل",$G906,'الداشبورد'!$B$11))</f>
        <v/>
      </c>
      <c r="X906">
        <f>Q906*R906*S906*T906*U906*V906*W906*--($C906&lt;&gt;"")</f>
        <v/>
      </c>
    </row>
    <row r="907">
      <c r="Q907">
        <f>--($A907=IF('الداشبورد'!$B$5="الكل",$A907,'الداشبورد'!$B$5))</f>
        <v/>
      </c>
      <c r="R907">
        <f>--($E907=IF('الداشبورد'!$B$6="الكل",$E907,'الداشبورد'!$B$6))</f>
        <v/>
      </c>
      <c r="S907">
        <f>--($K907=IF('الداشبورد'!$B$7="الكل",$K907,IF('الداشبورد'!$B$7="تصدير","Y","N")))</f>
        <v/>
      </c>
      <c r="T907">
        <f>--($J907=IF('الداشبورد'!$B$8="الكل",$J907,IF('الداشبورد'!$B$8="AL","A","C")))</f>
        <v/>
      </c>
      <c r="U907">
        <f>--($I907=IF('الداشبورد'!$B$9="الكل",$I907,IF('الداشبورد'!$B$9="بدون حالة","P",'الداشبورد'!$B$9)))</f>
        <v/>
      </c>
      <c r="V907">
        <f>--($D907=IF('الداشبورد'!$B$10="الكل",$D907,'الداشبورد'!$B$10))</f>
        <v/>
      </c>
      <c r="W907">
        <f>--($G907=IF('الداشبورد'!$B$11="الكل",$G907,'الداشبورد'!$B$11))</f>
        <v/>
      </c>
      <c r="X907">
        <f>Q907*R907*S907*T907*U907*V907*W907*--($C907&lt;&gt;"")</f>
        <v/>
      </c>
    </row>
    <row r="908">
      <c r="Q908">
        <f>--($A908=IF('الداشبورد'!$B$5="الكل",$A908,'الداشبورد'!$B$5))</f>
        <v/>
      </c>
      <c r="R908">
        <f>--($E908=IF('الداشبورد'!$B$6="الكل",$E908,'الداشبورد'!$B$6))</f>
        <v/>
      </c>
      <c r="S908">
        <f>--($K908=IF('الداشبورد'!$B$7="الكل",$K908,IF('الداشبورد'!$B$7="تصدير","Y","N")))</f>
        <v/>
      </c>
      <c r="T908">
        <f>--($J908=IF('الداشبورد'!$B$8="الكل",$J908,IF('الداشبورد'!$B$8="AL","A","C")))</f>
        <v/>
      </c>
      <c r="U908">
        <f>--($I908=IF('الداشبورد'!$B$9="الكل",$I908,IF('الداشبورد'!$B$9="بدون حالة","P",'الداشبورد'!$B$9)))</f>
        <v/>
      </c>
      <c r="V908">
        <f>--($D908=IF('الداشبورد'!$B$10="الكل",$D908,'الداشبورد'!$B$10))</f>
        <v/>
      </c>
      <c r="W908">
        <f>--($G908=IF('الداشبورد'!$B$11="الكل",$G908,'الداشبورد'!$B$11))</f>
        <v/>
      </c>
      <c r="X908">
        <f>Q908*R908*S908*T908*U908*V908*W908*--($C908&lt;&gt;"")</f>
        <v/>
      </c>
    </row>
    <row r="909">
      <c r="Q909">
        <f>--($A909=IF('الداشبورد'!$B$5="الكل",$A909,'الداشبورد'!$B$5))</f>
        <v/>
      </c>
      <c r="R909">
        <f>--($E909=IF('الداشبورد'!$B$6="الكل",$E909,'الداشبورد'!$B$6))</f>
        <v/>
      </c>
      <c r="S909">
        <f>--($K909=IF('الداشبورد'!$B$7="الكل",$K909,IF('الداشبورد'!$B$7="تصدير","Y","N")))</f>
        <v/>
      </c>
      <c r="T909">
        <f>--($J909=IF('الداشبورد'!$B$8="الكل",$J909,IF('الداشبورد'!$B$8="AL","A","C")))</f>
        <v/>
      </c>
      <c r="U909">
        <f>--($I909=IF('الداشبورد'!$B$9="الكل",$I909,IF('الداشبورد'!$B$9="بدون حالة","P",'الداشبورد'!$B$9)))</f>
        <v/>
      </c>
      <c r="V909">
        <f>--($D909=IF('الداشبورد'!$B$10="الكل",$D909,'الداشبورد'!$B$10))</f>
        <v/>
      </c>
      <c r="W909">
        <f>--($G909=IF('الداشبورد'!$B$11="الكل",$G909,'الداشبورد'!$B$11))</f>
        <v/>
      </c>
      <c r="X909">
        <f>Q909*R909*S909*T909*U909*V909*W909*--($C909&lt;&gt;"")</f>
        <v/>
      </c>
    </row>
    <row r="910">
      <c r="Q910">
        <f>--($A910=IF('الداشبورد'!$B$5="الكل",$A910,'الداشبورد'!$B$5))</f>
        <v/>
      </c>
      <c r="R910">
        <f>--($E910=IF('الداشبورد'!$B$6="الكل",$E910,'الداشبورد'!$B$6))</f>
        <v/>
      </c>
      <c r="S910">
        <f>--($K910=IF('الداشبورد'!$B$7="الكل",$K910,IF('الداشبورد'!$B$7="تصدير","Y","N")))</f>
        <v/>
      </c>
      <c r="T910">
        <f>--($J910=IF('الداشبورد'!$B$8="الكل",$J910,IF('الداشبورد'!$B$8="AL","A","C")))</f>
        <v/>
      </c>
      <c r="U910">
        <f>--($I910=IF('الداشبورد'!$B$9="الكل",$I910,IF('الداشبورد'!$B$9="بدون حالة","P",'الداشبورد'!$B$9)))</f>
        <v/>
      </c>
      <c r="V910">
        <f>--($D910=IF('الداشبورد'!$B$10="الكل",$D910,'الداشبورد'!$B$10))</f>
        <v/>
      </c>
      <c r="W910">
        <f>--($G910=IF('الداشبورد'!$B$11="الكل",$G910,'الداشبورد'!$B$11))</f>
        <v/>
      </c>
      <c r="X910">
        <f>Q910*R910*S910*T910*U910*V910*W910*--($C910&lt;&gt;"")</f>
        <v/>
      </c>
    </row>
    <row r="911">
      <c r="Q911">
        <f>--($A911=IF('الداشبورد'!$B$5="الكل",$A911,'الداشبورد'!$B$5))</f>
        <v/>
      </c>
      <c r="R911">
        <f>--($E911=IF('الداشبورد'!$B$6="الكل",$E911,'الداشبورد'!$B$6))</f>
        <v/>
      </c>
      <c r="S911">
        <f>--($K911=IF('الداشبورد'!$B$7="الكل",$K911,IF('الداشبورد'!$B$7="تصدير","Y","N")))</f>
        <v/>
      </c>
      <c r="T911">
        <f>--($J911=IF('الداشبورد'!$B$8="الكل",$J911,IF('الداشبورد'!$B$8="AL","A","C")))</f>
        <v/>
      </c>
      <c r="U911">
        <f>--($I911=IF('الداشبورد'!$B$9="الكل",$I911,IF('الداشبورد'!$B$9="بدون حالة","P",'الداشبورد'!$B$9)))</f>
        <v/>
      </c>
      <c r="V911">
        <f>--($D911=IF('الداشبورد'!$B$10="الكل",$D911,'الداشبورد'!$B$10))</f>
        <v/>
      </c>
      <c r="W911">
        <f>--($G911=IF('الداشبورد'!$B$11="الكل",$G911,'الداشبورد'!$B$11))</f>
        <v/>
      </c>
      <c r="X911">
        <f>Q911*R911*S911*T911*U911*V911*W911*--($C911&lt;&gt;"")</f>
        <v/>
      </c>
    </row>
    <row r="912">
      <c r="Q912">
        <f>--($A912=IF('الداشبورد'!$B$5="الكل",$A912,'الداشبورد'!$B$5))</f>
        <v/>
      </c>
      <c r="R912">
        <f>--($E912=IF('الداشبورد'!$B$6="الكل",$E912,'الداشبورد'!$B$6))</f>
        <v/>
      </c>
      <c r="S912">
        <f>--($K912=IF('الداشبورد'!$B$7="الكل",$K912,IF('الداشبورد'!$B$7="تصدير","Y","N")))</f>
        <v/>
      </c>
      <c r="T912">
        <f>--($J912=IF('الداشبورد'!$B$8="الكل",$J912,IF('الداشبورد'!$B$8="AL","A","C")))</f>
        <v/>
      </c>
      <c r="U912">
        <f>--($I912=IF('الداشبورد'!$B$9="الكل",$I912,IF('الداشبورد'!$B$9="بدون حالة","P",'الداشبورد'!$B$9)))</f>
        <v/>
      </c>
      <c r="V912">
        <f>--($D912=IF('الداشبورد'!$B$10="الكل",$D912,'الداشبورد'!$B$10))</f>
        <v/>
      </c>
      <c r="W912">
        <f>--($G912=IF('الداشبورد'!$B$11="الكل",$G912,'الداشبورد'!$B$11))</f>
        <v/>
      </c>
      <c r="X912">
        <f>Q912*R912*S912*T912*U912*V912*W912*--($C912&lt;&gt;"")</f>
        <v/>
      </c>
    </row>
    <row r="913">
      <c r="Q913">
        <f>--($A913=IF('الداشبورد'!$B$5="الكل",$A913,'الداشبورد'!$B$5))</f>
        <v/>
      </c>
      <c r="R913">
        <f>--($E913=IF('الداشبورد'!$B$6="الكل",$E913,'الداشبورد'!$B$6))</f>
        <v/>
      </c>
      <c r="S913">
        <f>--($K913=IF('الداشبورد'!$B$7="الكل",$K913,IF('الداشبورد'!$B$7="تصدير","Y","N")))</f>
        <v/>
      </c>
      <c r="T913">
        <f>--($J913=IF('الداشبورد'!$B$8="الكل",$J913,IF('الداشبورد'!$B$8="AL","A","C")))</f>
        <v/>
      </c>
      <c r="U913">
        <f>--($I913=IF('الداشبورد'!$B$9="الكل",$I913,IF('الداشبورد'!$B$9="بدون حالة","P",'الداشبورد'!$B$9)))</f>
        <v/>
      </c>
      <c r="V913">
        <f>--($D913=IF('الداشبورد'!$B$10="الكل",$D913,'الداشبورد'!$B$10))</f>
        <v/>
      </c>
      <c r="W913">
        <f>--($G913=IF('الداشبورد'!$B$11="الكل",$G913,'الداشبورد'!$B$11))</f>
        <v/>
      </c>
      <c r="X913">
        <f>Q913*R913*S913*T913*U913*V913*W913*--($C913&lt;&gt;"")</f>
        <v/>
      </c>
    </row>
    <row r="914">
      <c r="Q914">
        <f>--($A914=IF('الداشبورد'!$B$5="الكل",$A914,'الداشبورد'!$B$5))</f>
        <v/>
      </c>
      <c r="R914">
        <f>--($E914=IF('الداشبورد'!$B$6="الكل",$E914,'الداشبورد'!$B$6))</f>
        <v/>
      </c>
      <c r="S914">
        <f>--($K914=IF('الداشبورد'!$B$7="الكل",$K914,IF('الداشبورد'!$B$7="تصدير","Y","N")))</f>
        <v/>
      </c>
      <c r="T914">
        <f>--($J914=IF('الداشبورد'!$B$8="الكل",$J914,IF('الداشبورد'!$B$8="AL","A","C")))</f>
        <v/>
      </c>
      <c r="U914">
        <f>--($I914=IF('الداشبورد'!$B$9="الكل",$I914,IF('الداشبورد'!$B$9="بدون حالة","P",'الداشبورد'!$B$9)))</f>
        <v/>
      </c>
      <c r="V914">
        <f>--($D914=IF('الداشبورد'!$B$10="الكل",$D914,'الداشبورد'!$B$10))</f>
        <v/>
      </c>
      <c r="W914">
        <f>--($G914=IF('الداشبورد'!$B$11="الكل",$G914,'الداشبورد'!$B$11))</f>
        <v/>
      </c>
      <c r="X914">
        <f>Q914*R914*S914*T914*U914*V914*W914*--($C914&lt;&gt;"")</f>
        <v/>
      </c>
    </row>
    <row r="915">
      <c r="Q915">
        <f>--($A915=IF('الداشبورد'!$B$5="الكل",$A915,'الداشبورد'!$B$5))</f>
        <v/>
      </c>
      <c r="R915">
        <f>--($E915=IF('الداشبورد'!$B$6="الكل",$E915,'الداشبورد'!$B$6))</f>
        <v/>
      </c>
      <c r="S915">
        <f>--($K915=IF('الداشبورد'!$B$7="الكل",$K915,IF('الداشبورد'!$B$7="تصدير","Y","N")))</f>
        <v/>
      </c>
      <c r="T915">
        <f>--($J915=IF('الداشبورد'!$B$8="الكل",$J915,IF('الداشبورد'!$B$8="AL","A","C")))</f>
        <v/>
      </c>
      <c r="U915">
        <f>--($I915=IF('الداشبورد'!$B$9="الكل",$I915,IF('الداشبورد'!$B$9="بدون حالة","P",'الداشبورد'!$B$9)))</f>
        <v/>
      </c>
      <c r="V915">
        <f>--($D915=IF('الداشبورد'!$B$10="الكل",$D915,'الداشبورد'!$B$10))</f>
        <v/>
      </c>
      <c r="W915">
        <f>--($G915=IF('الداشبورد'!$B$11="الكل",$G915,'الداشبورد'!$B$11))</f>
        <v/>
      </c>
      <c r="X915">
        <f>Q915*R915*S915*T915*U915*V915*W915*--($C915&lt;&gt;"")</f>
        <v/>
      </c>
    </row>
    <row r="916">
      <c r="Q916">
        <f>--($A916=IF('الداشبورد'!$B$5="الكل",$A916,'الداشبورد'!$B$5))</f>
        <v/>
      </c>
      <c r="R916">
        <f>--($E916=IF('الداشبورد'!$B$6="الكل",$E916,'الداشبورد'!$B$6))</f>
        <v/>
      </c>
      <c r="S916">
        <f>--($K916=IF('الداشبورد'!$B$7="الكل",$K916,IF('الداشبورد'!$B$7="تصدير","Y","N")))</f>
        <v/>
      </c>
      <c r="T916">
        <f>--($J916=IF('الداشبورد'!$B$8="الكل",$J916,IF('الداشبورد'!$B$8="AL","A","C")))</f>
        <v/>
      </c>
      <c r="U916">
        <f>--($I916=IF('الداشبورد'!$B$9="الكل",$I916,IF('الداشبورد'!$B$9="بدون حالة","P",'الداشبورد'!$B$9)))</f>
        <v/>
      </c>
      <c r="V916">
        <f>--($D916=IF('الداشبورد'!$B$10="الكل",$D916,'الداشبورد'!$B$10))</f>
        <v/>
      </c>
      <c r="W916">
        <f>--($G916=IF('الداشبورد'!$B$11="الكل",$G916,'الداشبورد'!$B$11))</f>
        <v/>
      </c>
      <c r="X916">
        <f>Q916*R916*S916*T916*U916*V916*W916*--($C916&lt;&gt;"")</f>
        <v/>
      </c>
    </row>
    <row r="917">
      <c r="Q917">
        <f>--($A917=IF('الداشبورد'!$B$5="الكل",$A917,'الداشبورد'!$B$5))</f>
        <v/>
      </c>
      <c r="R917">
        <f>--($E917=IF('الداشبورد'!$B$6="الكل",$E917,'الداشبورد'!$B$6))</f>
        <v/>
      </c>
      <c r="S917">
        <f>--($K917=IF('الداشبورد'!$B$7="الكل",$K917,IF('الداشبورد'!$B$7="تصدير","Y","N")))</f>
        <v/>
      </c>
      <c r="T917">
        <f>--($J917=IF('الداشبورد'!$B$8="الكل",$J917,IF('الداشبورد'!$B$8="AL","A","C")))</f>
        <v/>
      </c>
      <c r="U917">
        <f>--($I917=IF('الداشبورد'!$B$9="الكل",$I917,IF('الداشبورد'!$B$9="بدون حالة","P",'الداشبورد'!$B$9)))</f>
        <v/>
      </c>
      <c r="V917">
        <f>--($D917=IF('الداشبورد'!$B$10="الكل",$D917,'الداشبورد'!$B$10))</f>
        <v/>
      </c>
      <c r="W917">
        <f>--($G917=IF('الداشبورد'!$B$11="الكل",$G917,'الداشبورد'!$B$11))</f>
        <v/>
      </c>
      <c r="X917">
        <f>Q917*R917*S917*T917*U917*V917*W917*--($C917&lt;&gt;"")</f>
        <v/>
      </c>
    </row>
    <row r="918">
      <c r="Q918">
        <f>--($A918=IF('الداشبورد'!$B$5="الكل",$A918,'الداشبورد'!$B$5))</f>
        <v/>
      </c>
      <c r="R918">
        <f>--($E918=IF('الداشبورد'!$B$6="الكل",$E918,'الداشبورد'!$B$6))</f>
        <v/>
      </c>
      <c r="S918">
        <f>--($K918=IF('الداشبورد'!$B$7="الكل",$K918,IF('الداشبورد'!$B$7="تصدير","Y","N")))</f>
        <v/>
      </c>
      <c r="T918">
        <f>--($J918=IF('الداشبورد'!$B$8="الكل",$J918,IF('الداشبورد'!$B$8="AL","A","C")))</f>
        <v/>
      </c>
      <c r="U918">
        <f>--($I918=IF('الداشبورد'!$B$9="الكل",$I918,IF('الداشبورد'!$B$9="بدون حالة","P",'الداشبورد'!$B$9)))</f>
        <v/>
      </c>
      <c r="V918">
        <f>--($D918=IF('الداشبورد'!$B$10="الكل",$D918,'الداشبورد'!$B$10))</f>
        <v/>
      </c>
      <c r="W918">
        <f>--($G918=IF('الداشبورد'!$B$11="الكل",$G918,'الداشبورد'!$B$11))</f>
        <v/>
      </c>
      <c r="X918">
        <f>Q918*R918*S918*T918*U918*V918*W918*--($C918&lt;&gt;"")</f>
        <v/>
      </c>
    </row>
    <row r="919">
      <c r="Q919">
        <f>--($A919=IF('الداشبورد'!$B$5="الكل",$A919,'الداشبورد'!$B$5))</f>
        <v/>
      </c>
      <c r="R919">
        <f>--($E919=IF('الداشبورد'!$B$6="الكل",$E919,'الداشبورد'!$B$6))</f>
        <v/>
      </c>
      <c r="S919">
        <f>--($K919=IF('الداشبورد'!$B$7="الكل",$K919,IF('الداشبورد'!$B$7="تصدير","Y","N")))</f>
        <v/>
      </c>
      <c r="T919">
        <f>--($J919=IF('الداشبورد'!$B$8="الكل",$J919,IF('الداشبورد'!$B$8="AL","A","C")))</f>
        <v/>
      </c>
      <c r="U919">
        <f>--($I919=IF('الداشبورد'!$B$9="الكل",$I919,IF('الداشبورد'!$B$9="بدون حالة","P",'الداشبورد'!$B$9)))</f>
        <v/>
      </c>
      <c r="V919">
        <f>--($D919=IF('الداشبورد'!$B$10="الكل",$D919,'الداشبورد'!$B$10))</f>
        <v/>
      </c>
      <c r="W919">
        <f>--($G919=IF('الداشبورد'!$B$11="الكل",$G919,'الداشبورد'!$B$11))</f>
        <v/>
      </c>
      <c r="X919">
        <f>Q919*R919*S919*T919*U919*V919*W919*--($C919&lt;&gt;"")</f>
        <v/>
      </c>
    </row>
    <row r="920">
      <c r="Q920">
        <f>--($A920=IF('الداشبورد'!$B$5="الكل",$A920,'الداشبورد'!$B$5))</f>
        <v/>
      </c>
      <c r="R920">
        <f>--($E920=IF('الداشبورد'!$B$6="الكل",$E920,'الداشبورد'!$B$6))</f>
        <v/>
      </c>
      <c r="S920">
        <f>--($K920=IF('الداشبورد'!$B$7="الكل",$K920,IF('الداشبورد'!$B$7="تصدير","Y","N")))</f>
        <v/>
      </c>
      <c r="T920">
        <f>--($J920=IF('الداشبورد'!$B$8="الكل",$J920,IF('الداشبورد'!$B$8="AL","A","C")))</f>
        <v/>
      </c>
      <c r="U920">
        <f>--($I920=IF('الداشبورد'!$B$9="الكل",$I920,IF('الداشبورد'!$B$9="بدون حالة","P",'الداشبورد'!$B$9)))</f>
        <v/>
      </c>
      <c r="V920">
        <f>--($D920=IF('الداشبورد'!$B$10="الكل",$D920,'الداشبورد'!$B$10))</f>
        <v/>
      </c>
      <c r="W920">
        <f>--($G920=IF('الداشبورد'!$B$11="الكل",$G920,'الداشبورد'!$B$11))</f>
        <v/>
      </c>
      <c r="X920">
        <f>Q920*R920*S920*T920*U920*V920*W920*--($C920&lt;&gt;"")</f>
        <v/>
      </c>
    </row>
    <row r="921">
      <c r="Q921">
        <f>--($A921=IF('الداشبورد'!$B$5="الكل",$A921,'الداشبورد'!$B$5))</f>
        <v/>
      </c>
      <c r="R921">
        <f>--($E921=IF('الداشبورد'!$B$6="الكل",$E921,'الداشبورد'!$B$6))</f>
        <v/>
      </c>
      <c r="S921">
        <f>--($K921=IF('الداشبورد'!$B$7="الكل",$K921,IF('الداشبورد'!$B$7="تصدير","Y","N")))</f>
        <v/>
      </c>
      <c r="T921">
        <f>--($J921=IF('الداشبورد'!$B$8="الكل",$J921,IF('الداشبورد'!$B$8="AL","A","C")))</f>
        <v/>
      </c>
      <c r="U921">
        <f>--($I921=IF('الداشبورد'!$B$9="الكل",$I921,IF('الداشبورد'!$B$9="بدون حالة","P",'الداشبورد'!$B$9)))</f>
        <v/>
      </c>
      <c r="V921">
        <f>--($D921=IF('الداشبورد'!$B$10="الكل",$D921,'الداشبورد'!$B$10))</f>
        <v/>
      </c>
      <c r="W921">
        <f>--($G921=IF('الداشبورد'!$B$11="الكل",$G921,'الداشبورد'!$B$11))</f>
        <v/>
      </c>
      <c r="X921">
        <f>Q921*R921*S921*T921*U921*V921*W921*--($C921&lt;&gt;"")</f>
        <v/>
      </c>
    </row>
    <row r="922">
      <c r="Q922">
        <f>--($A922=IF('الداشبورد'!$B$5="الكل",$A922,'الداشبورد'!$B$5))</f>
        <v/>
      </c>
      <c r="R922">
        <f>--($E922=IF('الداشبورد'!$B$6="الكل",$E922,'الداشبورد'!$B$6))</f>
        <v/>
      </c>
      <c r="S922">
        <f>--($K922=IF('الداشبورد'!$B$7="الكل",$K922,IF('الداشبورد'!$B$7="تصدير","Y","N")))</f>
        <v/>
      </c>
      <c r="T922">
        <f>--($J922=IF('الداشبورد'!$B$8="الكل",$J922,IF('الداشبورد'!$B$8="AL","A","C")))</f>
        <v/>
      </c>
      <c r="U922">
        <f>--($I922=IF('الداشبورد'!$B$9="الكل",$I922,IF('الداشبورد'!$B$9="بدون حالة","P",'الداشبورد'!$B$9)))</f>
        <v/>
      </c>
      <c r="V922">
        <f>--($D922=IF('الداشبورد'!$B$10="الكل",$D922,'الداشبورد'!$B$10))</f>
        <v/>
      </c>
      <c r="W922">
        <f>--($G922=IF('الداشبورد'!$B$11="الكل",$G922,'الداشبورد'!$B$11))</f>
        <v/>
      </c>
      <c r="X922">
        <f>Q922*R922*S922*T922*U922*V922*W922*--($C922&lt;&gt;"")</f>
        <v/>
      </c>
    </row>
    <row r="923">
      <c r="Q923">
        <f>--($A923=IF('الداشبورد'!$B$5="الكل",$A923,'الداشبورد'!$B$5))</f>
        <v/>
      </c>
      <c r="R923">
        <f>--($E923=IF('الداشبورد'!$B$6="الكل",$E923,'الداشبورد'!$B$6))</f>
        <v/>
      </c>
      <c r="S923">
        <f>--($K923=IF('الداشبورد'!$B$7="الكل",$K923,IF('الداشبورد'!$B$7="تصدير","Y","N")))</f>
        <v/>
      </c>
      <c r="T923">
        <f>--($J923=IF('الداشبورد'!$B$8="الكل",$J923,IF('الداشبورد'!$B$8="AL","A","C")))</f>
        <v/>
      </c>
      <c r="U923">
        <f>--($I923=IF('الداشبورد'!$B$9="الكل",$I923,IF('الداشبورد'!$B$9="بدون حالة","P",'الداشبورد'!$B$9)))</f>
        <v/>
      </c>
      <c r="V923">
        <f>--($D923=IF('الداشبورد'!$B$10="الكل",$D923,'الداشبورد'!$B$10))</f>
        <v/>
      </c>
      <c r="W923">
        <f>--($G923=IF('الداشبورد'!$B$11="الكل",$G923,'الداشبورد'!$B$11))</f>
        <v/>
      </c>
      <c r="X923">
        <f>Q923*R923*S923*T923*U923*V923*W923*--($C923&lt;&gt;"")</f>
        <v/>
      </c>
    </row>
    <row r="924">
      <c r="Q924">
        <f>--($A924=IF('الداشبورد'!$B$5="الكل",$A924,'الداشبورد'!$B$5))</f>
        <v/>
      </c>
      <c r="R924">
        <f>--($E924=IF('الداشبورد'!$B$6="الكل",$E924,'الداشبورد'!$B$6))</f>
        <v/>
      </c>
      <c r="S924">
        <f>--($K924=IF('الداشبورد'!$B$7="الكل",$K924,IF('الداشبورد'!$B$7="تصدير","Y","N")))</f>
        <v/>
      </c>
      <c r="T924">
        <f>--($J924=IF('الداشبورد'!$B$8="الكل",$J924,IF('الداشبورد'!$B$8="AL","A","C")))</f>
        <v/>
      </c>
      <c r="U924">
        <f>--($I924=IF('الداشبورد'!$B$9="الكل",$I924,IF('الداشبورد'!$B$9="بدون حالة","P",'الداشبورد'!$B$9)))</f>
        <v/>
      </c>
      <c r="V924">
        <f>--($D924=IF('الداشبورد'!$B$10="الكل",$D924,'الداشبورد'!$B$10))</f>
        <v/>
      </c>
      <c r="W924">
        <f>--($G924=IF('الداشبورد'!$B$11="الكل",$G924,'الداشبورد'!$B$11))</f>
        <v/>
      </c>
      <c r="X924">
        <f>Q924*R924*S924*T924*U924*V924*W924*--($C924&lt;&gt;"")</f>
        <v/>
      </c>
    </row>
    <row r="925">
      <c r="Q925">
        <f>--($A925=IF('الداشبورد'!$B$5="الكل",$A925,'الداشبورد'!$B$5))</f>
        <v/>
      </c>
      <c r="R925">
        <f>--($E925=IF('الداشبورد'!$B$6="الكل",$E925,'الداشبورد'!$B$6))</f>
        <v/>
      </c>
      <c r="S925">
        <f>--($K925=IF('الداشبورد'!$B$7="الكل",$K925,IF('الداشبورد'!$B$7="تصدير","Y","N")))</f>
        <v/>
      </c>
      <c r="T925">
        <f>--($J925=IF('الداشبورد'!$B$8="الكل",$J925,IF('الداشبورد'!$B$8="AL","A","C")))</f>
        <v/>
      </c>
      <c r="U925">
        <f>--($I925=IF('الداشبورد'!$B$9="الكل",$I925,IF('الداشبورد'!$B$9="بدون حالة","P",'الداشبورد'!$B$9)))</f>
        <v/>
      </c>
      <c r="V925">
        <f>--($D925=IF('الداشبورد'!$B$10="الكل",$D925,'الداشبورد'!$B$10))</f>
        <v/>
      </c>
      <c r="W925">
        <f>--($G925=IF('الداشبورد'!$B$11="الكل",$G925,'الداشبورد'!$B$11))</f>
        <v/>
      </c>
      <c r="X925">
        <f>Q925*R925*S925*T925*U925*V925*W925*--($C925&lt;&gt;"")</f>
        <v/>
      </c>
    </row>
    <row r="926">
      <c r="Q926">
        <f>--($A926=IF('الداشبورد'!$B$5="الكل",$A926,'الداشبورد'!$B$5))</f>
        <v/>
      </c>
      <c r="R926">
        <f>--($E926=IF('الداشبورد'!$B$6="الكل",$E926,'الداشبورد'!$B$6))</f>
        <v/>
      </c>
      <c r="S926">
        <f>--($K926=IF('الداشبورد'!$B$7="الكل",$K926,IF('الداشبورد'!$B$7="تصدير","Y","N")))</f>
        <v/>
      </c>
      <c r="T926">
        <f>--($J926=IF('الداشبورد'!$B$8="الكل",$J926,IF('الداشبورد'!$B$8="AL","A","C")))</f>
        <v/>
      </c>
      <c r="U926">
        <f>--($I926=IF('الداشبورد'!$B$9="الكل",$I926,IF('الداشبورد'!$B$9="بدون حالة","P",'الداشبورد'!$B$9)))</f>
        <v/>
      </c>
      <c r="V926">
        <f>--($D926=IF('الداشبورد'!$B$10="الكل",$D926,'الداشبورد'!$B$10))</f>
        <v/>
      </c>
      <c r="W926">
        <f>--($G926=IF('الداشبورد'!$B$11="الكل",$G926,'الداشبورد'!$B$11))</f>
        <v/>
      </c>
      <c r="X926">
        <f>Q926*R926*S926*T926*U926*V926*W926*--($C926&lt;&gt;"")</f>
        <v/>
      </c>
    </row>
    <row r="927">
      <c r="Q927">
        <f>--($A927=IF('الداشبورد'!$B$5="الكل",$A927,'الداشبورد'!$B$5))</f>
        <v/>
      </c>
      <c r="R927">
        <f>--($E927=IF('الداشبورد'!$B$6="الكل",$E927,'الداشبورد'!$B$6))</f>
        <v/>
      </c>
      <c r="S927">
        <f>--($K927=IF('الداشبورد'!$B$7="الكل",$K927,IF('الداشبورد'!$B$7="تصدير","Y","N")))</f>
        <v/>
      </c>
      <c r="T927">
        <f>--($J927=IF('الداشبورد'!$B$8="الكل",$J927,IF('الداشبورد'!$B$8="AL","A","C")))</f>
        <v/>
      </c>
      <c r="U927">
        <f>--($I927=IF('الداشبورد'!$B$9="الكل",$I927,IF('الداشبورد'!$B$9="بدون حالة","P",'الداشبورد'!$B$9)))</f>
        <v/>
      </c>
      <c r="V927">
        <f>--($D927=IF('الداشبورد'!$B$10="الكل",$D927,'الداشبورد'!$B$10))</f>
        <v/>
      </c>
      <c r="W927">
        <f>--($G927=IF('الداشبورد'!$B$11="الكل",$G927,'الداشبورد'!$B$11))</f>
        <v/>
      </c>
      <c r="X927">
        <f>Q927*R927*S927*T927*U927*V927*W927*--($C927&lt;&gt;"")</f>
        <v/>
      </c>
    </row>
    <row r="928">
      <c r="Q928">
        <f>--($A928=IF('الداشبورد'!$B$5="الكل",$A928,'الداشبورد'!$B$5))</f>
        <v/>
      </c>
      <c r="R928">
        <f>--($E928=IF('الداشبورد'!$B$6="الكل",$E928,'الداشبورد'!$B$6))</f>
        <v/>
      </c>
      <c r="S928">
        <f>--($K928=IF('الداشبورد'!$B$7="الكل",$K928,IF('الداشبورد'!$B$7="تصدير","Y","N")))</f>
        <v/>
      </c>
      <c r="T928">
        <f>--($J928=IF('الداشبورد'!$B$8="الكل",$J928,IF('الداشبورد'!$B$8="AL","A","C")))</f>
        <v/>
      </c>
      <c r="U928">
        <f>--($I928=IF('الداشبورد'!$B$9="الكل",$I928,IF('الداشبورد'!$B$9="بدون حالة","P",'الداشبورد'!$B$9)))</f>
        <v/>
      </c>
      <c r="V928">
        <f>--($D928=IF('الداشبورد'!$B$10="الكل",$D928,'الداشبورد'!$B$10))</f>
        <v/>
      </c>
      <c r="W928">
        <f>--($G928=IF('الداشبورد'!$B$11="الكل",$G928,'الداشبورد'!$B$11))</f>
        <v/>
      </c>
      <c r="X928">
        <f>Q928*R928*S928*T928*U928*V928*W928*--($C928&lt;&gt;"")</f>
        <v/>
      </c>
    </row>
    <row r="929">
      <c r="Q929">
        <f>--($A929=IF('الداشبورد'!$B$5="الكل",$A929,'الداشبورد'!$B$5))</f>
        <v/>
      </c>
      <c r="R929">
        <f>--($E929=IF('الداشبورد'!$B$6="الكل",$E929,'الداشبورد'!$B$6))</f>
        <v/>
      </c>
      <c r="S929">
        <f>--($K929=IF('الداشبورد'!$B$7="الكل",$K929,IF('الداشبورد'!$B$7="تصدير","Y","N")))</f>
        <v/>
      </c>
      <c r="T929">
        <f>--($J929=IF('الداشبورد'!$B$8="الكل",$J929,IF('الداشبورد'!$B$8="AL","A","C")))</f>
        <v/>
      </c>
      <c r="U929">
        <f>--($I929=IF('الداشبورد'!$B$9="الكل",$I929,IF('الداشبورد'!$B$9="بدون حالة","P",'الداشبورد'!$B$9)))</f>
        <v/>
      </c>
      <c r="V929">
        <f>--($D929=IF('الداشبورد'!$B$10="الكل",$D929,'الداشبورد'!$B$10))</f>
        <v/>
      </c>
      <c r="W929">
        <f>--($G929=IF('الداشبورد'!$B$11="الكل",$G929,'الداشبورد'!$B$11))</f>
        <v/>
      </c>
      <c r="X929">
        <f>Q929*R929*S929*T929*U929*V929*W929*--($C929&lt;&gt;"")</f>
        <v/>
      </c>
    </row>
    <row r="930">
      <c r="Q930">
        <f>--($A930=IF('الداشبورد'!$B$5="الكل",$A930,'الداشبورد'!$B$5))</f>
        <v/>
      </c>
      <c r="R930">
        <f>--($E930=IF('الداشبورد'!$B$6="الكل",$E930,'الداشبورد'!$B$6))</f>
        <v/>
      </c>
      <c r="S930">
        <f>--($K930=IF('الداشبورد'!$B$7="الكل",$K930,IF('الداشبورد'!$B$7="تصدير","Y","N")))</f>
        <v/>
      </c>
      <c r="T930">
        <f>--($J930=IF('الداشبورد'!$B$8="الكل",$J930,IF('الداشبورد'!$B$8="AL","A","C")))</f>
        <v/>
      </c>
      <c r="U930">
        <f>--($I930=IF('الداشبورد'!$B$9="الكل",$I930,IF('الداشبورد'!$B$9="بدون حالة","P",'الداشبورد'!$B$9)))</f>
        <v/>
      </c>
      <c r="V930">
        <f>--($D930=IF('الداشبورد'!$B$10="الكل",$D930,'الداشبورد'!$B$10))</f>
        <v/>
      </c>
      <c r="W930">
        <f>--($G930=IF('الداشبورد'!$B$11="الكل",$G930,'الداشبورد'!$B$11))</f>
        <v/>
      </c>
      <c r="X930">
        <f>Q930*R930*S930*T930*U930*V930*W930*--($C930&lt;&gt;"")</f>
        <v/>
      </c>
    </row>
    <row r="931">
      <c r="Q931">
        <f>--($A931=IF('الداشبورد'!$B$5="الكل",$A931,'الداشبورد'!$B$5))</f>
        <v/>
      </c>
      <c r="R931">
        <f>--($E931=IF('الداشبورد'!$B$6="الكل",$E931,'الداشبورد'!$B$6))</f>
        <v/>
      </c>
      <c r="S931">
        <f>--($K931=IF('الداشبورد'!$B$7="الكل",$K931,IF('الداشبورد'!$B$7="تصدير","Y","N")))</f>
        <v/>
      </c>
      <c r="T931">
        <f>--($J931=IF('الداشبورد'!$B$8="الكل",$J931,IF('الداشبورد'!$B$8="AL","A","C")))</f>
        <v/>
      </c>
      <c r="U931">
        <f>--($I931=IF('الداشبورد'!$B$9="الكل",$I931,IF('الداشبورد'!$B$9="بدون حالة","P",'الداشبورد'!$B$9)))</f>
        <v/>
      </c>
      <c r="V931">
        <f>--($D931=IF('الداشبورد'!$B$10="الكل",$D931,'الداشبورد'!$B$10))</f>
        <v/>
      </c>
      <c r="W931">
        <f>--($G931=IF('الداشبورد'!$B$11="الكل",$G931,'الداشبورد'!$B$11))</f>
        <v/>
      </c>
      <c r="X931">
        <f>Q931*R931*S931*T931*U931*V931*W931*--($C931&lt;&gt;"")</f>
        <v/>
      </c>
    </row>
    <row r="932">
      <c r="Q932">
        <f>--($A932=IF('الداشبورد'!$B$5="الكل",$A932,'الداشبورد'!$B$5))</f>
        <v/>
      </c>
      <c r="R932">
        <f>--($E932=IF('الداشبورد'!$B$6="الكل",$E932,'الداشبورد'!$B$6))</f>
        <v/>
      </c>
      <c r="S932">
        <f>--($K932=IF('الداشبورد'!$B$7="الكل",$K932,IF('الداشبورد'!$B$7="تصدير","Y","N")))</f>
        <v/>
      </c>
      <c r="T932">
        <f>--($J932=IF('الداشبورد'!$B$8="الكل",$J932,IF('الداشبورد'!$B$8="AL","A","C")))</f>
        <v/>
      </c>
      <c r="U932">
        <f>--($I932=IF('الداشبورد'!$B$9="الكل",$I932,IF('الداشبورد'!$B$9="بدون حالة","P",'الداشبورد'!$B$9)))</f>
        <v/>
      </c>
      <c r="V932">
        <f>--($D932=IF('الداشبورد'!$B$10="الكل",$D932,'الداشبورد'!$B$10))</f>
        <v/>
      </c>
      <c r="W932">
        <f>--($G932=IF('الداشبورد'!$B$11="الكل",$G932,'الداشبورد'!$B$11))</f>
        <v/>
      </c>
      <c r="X932">
        <f>Q932*R932*S932*T932*U932*V932*W932*--($C932&lt;&gt;"")</f>
        <v/>
      </c>
    </row>
    <row r="933">
      <c r="Q933">
        <f>--($A933=IF('الداشبورد'!$B$5="الكل",$A933,'الداشبورد'!$B$5))</f>
        <v/>
      </c>
      <c r="R933">
        <f>--($E933=IF('الداشبورد'!$B$6="الكل",$E933,'الداشبورد'!$B$6))</f>
        <v/>
      </c>
      <c r="S933">
        <f>--($K933=IF('الداشبورد'!$B$7="الكل",$K933,IF('الداشبورد'!$B$7="تصدير","Y","N")))</f>
        <v/>
      </c>
      <c r="T933">
        <f>--($J933=IF('الداشبورد'!$B$8="الكل",$J933,IF('الداشبورد'!$B$8="AL","A","C")))</f>
        <v/>
      </c>
      <c r="U933">
        <f>--($I933=IF('الداشبورد'!$B$9="الكل",$I933,IF('الداشبورد'!$B$9="بدون حالة","P",'الداشبورد'!$B$9)))</f>
        <v/>
      </c>
      <c r="V933">
        <f>--($D933=IF('الداشبورد'!$B$10="الكل",$D933,'الداشبورد'!$B$10))</f>
        <v/>
      </c>
      <c r="W933">
        <f>--($G933=IF('الداشبورد'!$B$11="الكل",$G933,'الداشبورد'!$B$11))</f>
        <v/>
      </c>
      <c r="X933">
        <f>Q933*R933*S933*T933*U933*V933*W933*--($C933&lt;&gt;"")</f>
        <v/>
      </c>
    </row>
    <row r="934">
      <c r="Q934">
        <f>--($A934=IF('الداشبورد'!$B$5="الكل",$A934,'الداشبورد'!$B$5))</f>
        <v/>
      </c>
      <c r="R934">
        <f>--($E934=IF('الداشبورد'!$B$6="الكل",$E934,'الداشبورد'!$B$6))</f>
        <v/>
      </c>
      <c r="S934">
        <f>--($K934=IF('الداشبورد'!$B$7="الكل",$K934,IF('الداشبورد'!$B$7="تصدير","Y","N")))</f>
        <v/>
      </c>
      <c r="T934">
        <f>--($J934=IF('الداشبورد'!$B$8="الكل",$J934,IF('الداشبورد'!$B$8="AL","A","C")))</f>
        <v/>
      </c>
      <c r="U934">
        <f>--($I934=IF('الداشبورد'!$B$9="الكل",$I934,IF('الداشبورد'!$B$9="بدون حالة","P",'الداشبورد'!$B$9)))</f>
        <v/>
      </c>
      <c r="V934">
        <f>--($D934=IF('الداشبورد'!$B$10="الكل",$D934,'الداشبورد'!$B$10))</f>
        <v/>
      </c>
      <c r="W934">
        <f>--($G934=IF('الداشبورد'!$B$11="الكل",$G934,'الداشبورد'!$B$11))</f>
        <v/>
      </c>
      <c r="X934">
        <f>Q934*R934*S934*T934*U934*V934*W934*--($C934&lt;&gt;"")</f>
        <v/>
      </c>
    </row>
    <row r="935">
      <c r="Q935">
        <f>--($A935=IF('الداشبورد'!$B$5="الكل",$A935,'الداشبورد'!$B$5))</f>
        <v/>
      </c>
      <c r="R935">
        <f>--($E935=IF('الداشبورد'!$B$6="الكل",$E935,'الداشبورد'!$B$6))</f>
        <v/>
      </c>
      <c r="S935">
        <f>--($K935=IF('الداشبورد'!$B$7="الكل",$K935,IF('الداشبورد'!$B$7="تصدير","Y","N")))</f>
        <v/>
      </c>
      <c r="T935">
        <f>--($J935=IF('الداشبورد'!$B$8="الكل",$J935,IF('الداشبورد'!$B$8="AL","A","C")))</f>
        <v/>
      </c>
      <c r="U935">
        <f>--($I935=IF('الداشبورد'!$B$9="الكل",$I935,IF('الداشبورد'!$B$9="بدون حالة","P",'الداشبورد'!$B$9)))</f>
        <v/>
      </c>
      <c r="V935">
        <f>--($D935=IF('الداشبورد'!$B$10="الكل",$D935,'الداشبورد'!$B$10))</f>
        <v/>
      </c>
      <c r="W935">
        <f>--($G935=IF('الداشبورد'!$B$11="الكل",$G935,'الداشبورد'!$B$11))</f>
        <v/>
      </c>
      <c r="X935">
        <f>Q935*R935*S935*T935*U935*V935*W935*--($C935&lt;&gt;"")</f>
        <v/>
      </c>
    </row>
    <row r="936">
      <c r="Q936">
        <f>--($A936=IF('الداشبورد'!$B$5="الكل",$A936,'الداشبورد'!$B$5))</f>
        <v/>
      </c>
      <c r="R936">
        <f>--($E936=IF('الداشبورد'!$B$6="الكل",$E936,'الداشبورد'!$B$6))</f>
        <v/>
      </c>
      <c r="S936">
        <f>--($K936=IF('الداشبورد'!$B$7="الكل",$K936,IF('الداشبورد'!$B$7="تصدير","Y","N")))</f>
        <v/>
      </c>
      <c r="T936">
        <f>--($J936=IF('الداشبورد'!$B$8="الكل",$J936,IF('الداشبورد'!$B$8="AL","A","C")))</f>
        <v/>
      </c>
      <c r="U936">
        <f>--($I936=IF('الداشبورد'!$B$9="الكل",$I936,IF('الداشبورد'!$B$9="بدون حالة","P",'الداشبورد'!$B$9)))</f>
        <v/>
      </c>
      <c r="V936">
        <f>--($D936=IF('الداشبورد'!$B$10="الكل",$D936,'الداشبورد'!$B$10))</f>
        <v/>
      </c>
      <c r="W936">
        <f>--($G936=IF('الداشبورد'!$B$11="الكل",$G936,'الداشبورد'!$B$11))</f>
        <v/>
      </c>
      <c r="X936">
        <f>Q936*R936*S936*T936*U936*V936*W936*--($C936&lt;&gt;"")</f>
        <v/>
      </c>
    </row>
    <row r="937">
      <c r="Q937">
        <f>--($A937=IF('الداشبورد'!$B$5="الكل",$A937,'الداشبورد'!$B$5))</f>
        <v/>
      </c>
      <c r="R937">
        <f>--($E937=IF('الداشبورد'!$B$6="الكل",$E937,'الداشبورد'!$B$6))</f>
        <v/>
      </c>
      <c r="S937">
        <f>--($K937=IF('الداشبورد'!$B$7="الكل",$K937,IF('الداشبورد'!$B$7="تصدير","Y","N")))</f>
        <v/>
      </c>
      <c r="T937">
        <f>--($J937=IF('الداشبورد'!$B$8="الكل",$J937,IF('الداشبورد'!$B$8="AL","A","C")))</f>
        <v/>
      </c>
      <c r="U937">
        <f>--($I937=IF('الداشبورد'!$B$9="الكل",$I937,IF('الداشبورد'!$B$9="بدون حالة","P",'الداشبورد'!$B$9)))</f>
        <v/>
      </c>
      <c r="V937">
        <f>--($D937=IF('الداشبورد'!$B$10="الكل",$D937,'الداشبورد'!$B$10))</f>
        <v/>
      </c>
      <c r="W937">
        <f>--($G937=IF('الداشبورد'!$B$11="الكل",$G937,'الداشبورد'!$B$11))</f>
        <v/>
      </c>
      <c r="X937">
        <f>Q937*R937*S937*T937*U937*V937*W937*--($C937&lt;&gt;"")</f>
        <v/>
      </c>
    </row>
    <row r="938">
      <c r="Q938">
        <f>--($A938=IF('الداشبورد'!$B$5="الكل",$A938,'الداشبورد'!$B$5))</f>
        <v/>
      </c>
      <c r="R938">
        <f>--($E938=IF('الداشبورد'!$B$6="الكل",$E938,'الداشبورد'!$B$6))</f>
        <v/>
      </c>
      <c r="S938">
        <f>--($K938=IF('الداشبورد'!$B$7="الكل",$K938,IF('الداشبورد'!$B$7="تصدير","Y","N")))</f>
        <v/>
      </c>
      <c r="T938">
        <f>--($J938=IF('الداشبورد'!$B$8="الكل",$J938,IF('الداشبورد'!$B$8="AL","A","C")))</f>
        <v/>
      </c>
      <c r="U938">
        <f>--($I938=IF('الداشبورد'!$B$9="الكل",$I938,IF('الداشبورد'!$B$9="بدون حالة","P",'الداشبورد'!$B$9)))</f>
        <v/>
      </c>
      <c r="V938">
        <f>--($D938=IF('الداشبورد'!$B$10="الكل",$D938,'الداشبورد'!$B$10))</f>
        <v/>
      </c>
      <c r="W938">
        <f>--($G938=IF('الداشبورد'!$B$11="الكل",$G938,'الداشبورد'!$B$11))</f>
        <v/>
      </c>
      <c r="X938">
        <f>Q938*R938*S938*T938*U938*V938*W938*--($C938&lt;&gt;"")</f>
        <v/>
      </c>
    </row>
    <row r="939">
      <c r="Q939">
        <f>--($A939=IF('الداشبورد'!$B$5="الكل",$A939,'الداشبورد'!$B$5))</f>
        <v/>
      </c>
      <c r="R939">
        <f>--($E939=IF('الداشبورد'!$B$6="الكل",$E939,'الداشبورد'!$B$6))</f>
        <v/>
      </c>
      <c r="S939">
        <f>--($K939=IF('الداشبورد'!$B$7="الكل",$K939,IF('الداشبورد'!$B$7="تصدير","Y","N")))</f>
        <v/>
      </c>
      <c r="T939">
        <f>--($J939=IF('الداشبورد'!$B$8="الكل",$J939,IF('الداشبورد'!$B$8="AL","A","C")))</f>
        <v/>
      </c>
      <c r="U939">
        <f>--($I939=IF('الداشبورد'!$B$9="الكل",$I939,IF('الداشبورد'!$B$9="بدون حالة","P",'الداشبورد'!$B$9)))</f>
        <v/>
      </c>
      <c r="V939">
        <f>--($D939=IF('الداشبورد'!$B$10="الكل",$D939,'الداشبورد'!$B$10))</f>
        <v/>
      </c>
      <c r="W939">
        <f>--($G939=IF('الداشبورد'!$B$11="الكل",$G939,'الداشبورد'!$B$11))</f>
        <v/>
      </c>
      <c r="X939">
        <f>Q939*R939*S939*T939*U939*V939*W939*--($C939&lt;&gt;"")</f>
        <v/>
      </c>
    </row>
    <row r="940">
      <c r="Q940">
        <f>--($A940=IF('الداشبورد'!$B$5="الكل",$A940,'الداشبورد'!$B$5))</f>
        <v/>
      </c>
      <c r="R940">
        <f>--($E940=IF('الداشبورد'!$B$6="الكل",$E940,'الداشبورد'!$B$6))</f>
        <v/>
      </c>
      <c r="S940">
        <f>--($K940=IF('الداشبورد'!$B$7="الكل",$K940,IF('الداشبورد'!$B$7="تصدير","Y","N")))</f>
        <v/>
      </c>
      <c r="T940">
        <f>--($J940=IF('الداشبورد'!$B$8="الكل",$J940,IF('الداشبورد'!$B$8="AL","A","C")))</f>
        <v/>
      </c>
      <c r="U940">
        <f>--($I940=IF('الداشبورد'!$B$9="الكل",$I940,IF('الداشبورد'!$B$9="بدون حالة","P",'الداشبورد'!$B$9)))</f>
        <v/>
      </c>
      <c r="V940">
        <f>--($D940=IF('الداشبورد'!$B$10="الكل",$D940,'الداشبورد'!$B$10))</f>
        <v/>
      </c>
      <c r="W940">
        <f>--($G940=IF('الداشبورد'!$B$11="الكل",$G940,'الداشبورد'!$B$11))</f>
        <v/>
      </c>
      <c r="X940">
        <f>Q940*R940*S940*T940*U940*V940*W940*--($C940&lt;&gt;"")</f>
        <v/>
      </c>
    </row>
    <row r="941">
      <c r="Q941">
        <f>--($A941=IF('الداشبورد'!$B$5="الكل",$A941,'الداشبورد'!$B$5))</f>
        <v/>
      </c>
      <c r="R941">
        <f>--($E941=IF('الداشبورد'!$B$6="الكل",$E941,'الداشبورد'!$B$6))</f>
        <v/>
      </c>
      <c r="S941">
        <f>--($K941=IF('الداشبورد'!$B$7="الكل",$K941,IF('الداشبورد'!$B$7="تصدير","Y","N")))</f>
        <v/>
      </c>
      <c r="T941">
        <f>--($J941=IF('الداشبورد'!$B$8="الكل",$J941,IF('الداشبورد'!$B$8="AL","A","C")))</f>
        <v/>
      </c>
      <c r="U941">
        <f>--($I941=IF('الداشبورد'!$B$9="الكل",$I941,IF('الداشبورد'!$B$9="بدون حالة","P",'الداشبورد'!$B$9)))</f>
        <v/>
      </c>
      <c r="V941">
        <f>--($D941=IF('الداشبورد'!$B$10="الكل",$D941,'الداشبورد'!$B$10))</f>
        <v/>
      </c>
      <c r="W941">
        <f>--($G941=IF('الداشبورد'!$B$11="الكل",$G941,'الداشبورد'!$B$11))</f>
        <v/>
      </c>
      <c r="X941">
        <f>Q941*R941*S941*T941*U941*V941*W941*--($C941&lt;&gt;"")</f>
        <v/>
      </c>
    </row>
    <row r="942">
      <c r="Q942">
        <f>--($A942=IF('الداشبورد'!$B$5="الكل",$A942,'الداشبورد'!$B$5))</f>
        <v/>
      </c>
      <c r="R942">
        <f>--($E942=IF('الداشبورد'!$B$6="الكل",$E942,'الداشبورد'!$B$6))</f>
        <v/>
      </c>
      <c r="S942">
        <f>--($K942=IF('الداشبورد'!$B$7="الكل",$K942,IF('الداشبورد'!$B$7="تصدير","Y","N")))</f>
        <v/>
      </c>
      <c r="T942">
        <f>--($J942=IF('الداشبورد'!$B$8="الكل",$J942,IF('الداشبورد'!$B$8="AL","A","C")))</f>
        <v/>
      </c>
      <c r="U942">
        <f>--($I942=IF('الداشبورد'!$B$9="الكل",$I942,IF('الداشبورد'!$B$9="بدون حالة","P",'الداشبورد'!$B$9)))</f>
        <v/>
      </c>
      <c r="V942">
        <f>--($D942=IF('الداشبورد'!$B$10="الكل",$D942,'الداشبورد'!$B$10))</f>
        <v/>
      </c>
      <c r="W942">
        <f>--($G942=IF('الداشبورد'!$B$11="الكل",$G942,'الداشبورد'!$B$11))</f>
        <v/>
      </c>
      <c r="X942">
        <f>Q942*R942*S942*T942*U942*V942*W942*--($C942&lt;&gt;"")</f>
        <v/>
      </c>
    </row>
    <row r="943">
      <c r="Q943">
        <f>--($A943=IF('الداشبورد'!$B$5="الكل",$A943,'الداشبورد'!$B$5))</f>
        <v/>
      </c>
      <c r="R943">
        <f>--($E943=IF('الداشبورد'!$B$6="الكل",$E943,'الداشبورد'!$B$6))</f>
        <v/>
      </c>
      <c r="S943">
        <f>--($K943=IF('الداشبورد'!$B$7="الكل",$K943,IF('الداشبورد'!$B$7="تصدير","Y","N")))</f>
        <v/>
      </c>
      <c r="T943">
        <f>--($J943=IF('الداشبورد'!$B$8="الكل",$J943,IF('الداشبورد'!$B$8="AL","A","C")))</f>
        <v/>
      </c>
      <c r="U943">
        <f>--($I943=IF('الداشبورد'!$B$9="الكل",$I943,IF('الداشبورد'!$B$9="بدون حالة","P",'الداشبورد'!$B$9)))</f>
        <v/>
      </c>
      <c r="V943">
        <f>--($D943=IF('الداشبورد'!$B$10="الكل",$D943,'الداشبورد'!$B$10))</f>
        <v/>
      </c>
      <c r="W943">
        <f>--($G943=IF('الداشبورد'!$B$11="الكل",$G943,'الداشبورد'!$B$11))</f>
        <v/>
      </c>
      <c r="X943">
        <f>Q943*R943*S943*T943*U943*V943*W943*--($C943&lt;&gt;"")</f>
        <v/>
      </c>
    </row>
    <row r="944">
      <c r="Q944">
        <f>--($A944=IF('الداشبورد'!$B$5="الكل",$A944,'الداشبورد'!$B$5))</f>
        <v/>
      </c>
      <c r="R944">
        <f>--($E944=IF('الداشبورد'!$B$6="الكل",$E944,'الداشبورد'!$B$6))</f>
        <v/>
      </c>
      <c r="S944">
        <f>--($K944=IF('الداشبورد'!$B$7="الكل",$K944,IF('الداشبورد'!$B$7="تصدير","Y","N")))</f>
        <v/>
      </c>
      <c r="T944">
        <f>--($J944=IF('الداشبورد'!$B$8="الكل",$J944,IF('الداشبورد'!$B$8="AL","A","C")))</f>
        <v/>
      </c>
      <c r="U944">
        <f>--($I944=IF('الداشبورد'!$B$9="الكل",$I944,IF('الداشبورد'!$B$9="بدون حالة","P",'الداشبورد'!$B$9)))</f>
        <v/>
      </c>
      <c r="V944">
        <f>--($D944=IF('الداشبورد'!$B$10="الكل",$D944,'الداشبورد'!$B$10))</f>
        <v/>
      </c>
      <c r="W944">
        <f>--($G944=IF('الداشبورد'!$B$11="الكل",$G944,'الداشبورد'!$B$11))</f>
        <v/>
      </c>
      <c r="X944">
        <f>Q944*R944*S944*T944*U944*V944*W944*--($C944&lt;&gt;"")</f>
        <v/>
      </c>
    </row>
    <row r="945">
      <c r="Q945">
        <f>--($A945=IF('الداشبورد'!$B$5="الكل",$A945,'الداشبورد'!$B$5))</f>
        <v/>
      </c>
      <c r="R945">
        <f>--($E945=IF('الداشبورد'!$B$6="الكل",$E945,'الداشبورد'!$B$6))</f>
        <v/>
      </c>
      <c r="S945">
        <f>--($K945=IF('الداشبورد'!$B$7="الكل",$K945,IF('الداشبورد'!$B$7="تصدير","Y","N")))</f>
        <v/>
      </c>
      <c r="T945">
        <f>--($J945=IF('الداشبورد'!$B$8="الكل",$J945,IF('الداشبورد'!$B$8="AL","A","C")))</f>
        <v/>
      </c>
      <c r="U945">
        <f>--($I945=IF('الداشبورد'!$B$9="الكل",$I945,IF('الداشبورد'!$B$9="بدون حالة","P",'الداشبورد'!$B$9)))</f>
        <v/>
      </c>
      <c r="V945">
        <f>--($D945=IF('الداشبورد'!$B$10="الكل",$D945,'الداشبورد'!$B$10))</f>
        <v/>
      </c>
      <c r="W945">
        <f>--($G945=IF('الداشبورد'!$B$11="الكل",$G945,'الداشبورد'!$B$11))</f>
        <v/>
      </c>
      <c r="X945">
        <f>Q945*R945*S945*T945*U945*V945*W945*--($C945&lt;&gt;"")</f>
        <v/>
      </c>
    </row>
    <row r="946">
      <c r="Q946">
        <f>--($A946=IF('الداشبورد'!$B$5="الكل",$A946,'الداشبورد'!$B$5))</f>
        <v/>
      </c>
      <c r="R946">
        <f>--($E946=IF('الداشبورد'!$B$6="الكل",$E946,'الداشبورد'!$B$6))</f>
        <v/>
      </c>
      <c r="S946">
        <f>--($K946=IF('الداشبورد'!$B$7="الكل",$K946,IF('الداشبورد'!$B$7="تصدير","Y","N")))</f>
        <v/>
      </c>
      <c r="T946">
        <f>--($J946=IF('الداشبورد'!$B$8="الكل",$J946,IF('الداشبورد'!$B$8="AL","A","C")))</f>
        <v/>
      </c>
      <c r="U946">
        <f>--($I946=IF('الداشبورد'!$B$9="الكل",$I946,IF('الداشبورد'!$B$9="بدون حالة","P",'الداشبورد'!$B$9)))</f>
        <v/>
      </c>
      <c r="V946">
        <f>--($D946=IF('الداشبورد'!$B$10="الكل",$D946,'الداشبورد'!$B$10))</f>
        <v/>
      </c>
      <c r="W946">
        <f>--($G946=IF('الداشبورد'!$B$11="الكل",$G946,'الداشبورد'!$B$11))</f>
        <v/>
      </c>
      <c r="X946">
        <f>Q946*R946*S946*T946*U946*V946*W946*--($C946&lt;&gt;"")</f>
        <v/>
      </c>
    </row>
    <row r="947">
      <c r="Q947">
        <f>--($A947=IF('الداشبورد'!$B$5="الكل",$A947,'الداشبورد'!$B$5))</f>
        <v/>
      </c>
      <c r="R947">
        <f>--($E947=IF('الداشبورد'!$B$6="الكل",$E947,'الداشبورد'!$B$6))</f>
        <v/>
      </c>
      <c r="S947">
        <f>--($K947=IF('الداشبورد'!$B$7="الكل",$K947,IF('الداشبورد'!$B$7="تصدير","Y","N")))</f>
        <v/>
      </c>
      <c r="T947">
        <f>--($J947=IF('الداشبورد'!$B$8="الكل",$J947,IF('الداشبورد'!$B$8="AL","A","C")))</f>
        <v/>
      </c>
      <c r="U947">
        <f>--($I947=IF('الداشبورد'!$B$9="الكل",$I947,IF('الداشبورد'!$B$9="بدون حالة","P",'الداشبورد'!$B$9)))</f>
        <v/>
      </c>
      <c r="V947">
        <f>--($D947=IF('الداشبورد'!$B$10="الكل",$D947,'الداشبورد'!$B$10))</f>
        <v/>
      </c>
      <c r="W947">
        <f>--($G947=IF('الداشبورد'!$B$11="الكل",$G947,'الداشبورد'!$B$11))</f>
        <v/>
      </c>
      <c r="X947">
        <f>Q947*R947*S947*T947*U947*V947*W947*--($C947&lt;&gt;"")</f>
        <v/>
      </c>
    </row>
    <row r="948">
      <c r="Q948">
        <f>--($A948=IF('الداشبورد'!$B$5="الكل",$A948,'الداشبورد'!$B$5))</f>
        <v/>
      </c>
      <c r="R948">
        <f>--($E948=IF('الداشبورد'!$B$6="الكل",$E948,'الداشبورد'!$B$6))</f>
        <v/>
      </c>
      <c r="S948">
        <f>--($K948=IF('الداشبورد'!$B$7="الكل",$K948,IF('الداشبورد'!$B$7="تصدير","Y","N")))</f>
        <v/>
      </c>
      <c r="T948">
        <f>--($J948=IF('الداشبورد'!$B$8="الكل",$J948,IF('الداشبورد'!$B$8="AL","A","C")))</f>
        <v/>
      </c>
      <c r="U948">
        <f>--($I948=IF('الداشبورد'!$B$9="الكل",$I948,IF('الداشبورد'!$B$9="بدون حالة","P",'الداشبورد'!$B$9)))</f>
        <v/>
      </c>
      <c r="V948">
        <f>--($D948=IF('الداشبورد'!$B$10="الكل",$D948,'الداشبورد'!$B$10))</f>
        <v/>
      </c>
      <c r="W948">
        <f>--($G948=IF('الداشبورد'!$B$11="الكل",$G948,'الداشبورد'!$B$11))</f>
        <v/>
      </c>
      <c r="X948">
        <f>Q948*R948*S948*T948*U948*V948*W948*--($C948&lt;&gt;"")</f>
        <v/>
      </c>
    </row>
    <row r="949">
      <c r="Q949">
        <f>--($A949=IF('الداشبورد'!$B$5="الكل",$A949,'الداشبورد'!$B$5))</f>
        <v/>
      </c>
      <c r="R949">
        <f>--($E949=IF('الداشبورد'!$B$6="الكل",$E949,'الداشبورد'!$B$6))</f>
        <v/>
      </c>
      <c r="S949">
        <f>--($K949=IF('الداشبورد'!$B$7="الكل",$K949,IF('الداشبورد'!$B$7="تصدير","Y","N")))</f>
        <v/>
      </c>
      <c r="T949">
        <f>--($J949=IF('الداشبورد'!$B$8="الكل",$J949,IF('الداشبورد'!$B$8="AL","A","C")))</f>
        <v/>
      </c>
      <c r="U949">
        <f>--($I949=IF('الداشبورد'!$B$9="الكل",$I949,IF('الداشبورد'!$B$9="بدون حالة","P",'الداشبورد'!$B$9)))</f>
        <v/>
      </c>
      <c r="V949">
        <f>--($D949=IF('الداشبورد'!$B$10="الكل",$D949,'الداشبورد'!$B$10))</f>
        <v/>
      </c>
      <c r="W949">
        <f>--($G949=IF('الداشبورد'!$B$11="الكل",$G949,'الداشبورد'!$B$11))</f>
        <v/>
      </c>
      <c r="X949">
        <f>Q949*R949*S949*T949*U949*V949*W949*--($C949&lt;&gt;"")</f>
        <v/>
      </c>
    </row>
    <row r="950">
      <c r="Q950">
        <f>--($A950=IF('الداشبورد'!$B$5="الكل",$A950,'الداشبورد'!$B$5))</f>
        <v/>
      </c>
      <c r="R950">
        <f>--($E950=IF('الداشبورد'!$B$6="الكل",$E950,'الداشبورد'!$B$6))</f>
        <v/>
      </c>
      <c r="S950">
        <f>--($K950=IF('الداشبورد'!$B$7="الكل",$K950,IF('الداشبورد'!$B$7="تصدير","Y","N")))</f>
        <v/>
      </c>
      <c r="T950">
        <f>--($J950=IF('الداشبورد'!$B$8="الكل",$J950,IF('الداشبورد'!$B$8="AL","A","C")))</f>
        <v/>
      </c>
      <c r="U950">
        <f>--($I950=IF('الداشبورد'!$B$9="الكل",$I950,IF('الداشبورد'!$B$9="بدون حالة","P",'الداشبورد'!$B$9)))</f>
        <v/>
      </c>
      <c r="V950">
        <f>--($D950=IF('الداشبورد'!$B$10="الكل",$D950,'الداشبورد'!$B$10))</f>
        <v/>
      </c>
      <c r="W950">
        <f>--($G950=IF('الداشبورد'!$B$11="الكل",$G950,'الداشبورد'!$B$11))</f>
        <v/>
      </c>
      <c r="X950">
        <f>Q950*R950*S950*T950*U950*V950*W950*--($C950&lt;&gt;"")</f>
        <v/>
      </c>
    </row>
    <row r="951">
      <c r="Q951">
        <f>--($A951=IF('الداشبورد'!$B$5="الكل",$A951,'الداشبورد'!$B$5))</f>
        <v/>
      </c>
      <c r="R951">
        <f>--($E951=IF('الداشبورد'!$B$6="الكل",$E951,'الداشبورد'!$B$6))</f>
        <v/>
      </c>
      <c r="S951">
        <f>--($K951=IF('الداشبورد'!$B$7="الكل",$K951,IF('الداشبورد'!$B$7="تصدير","Y","N")))</f>
        <v/>
      </c>
      <c r="T951">
        <f>--($J951=IF('الداشبورد'!$B$8="الكل",$J951,IF('الداشبورد'!$B$8="AL","A","C")))</f>
        <v/>
      </c>
      <c r="U951">
        <f>--($I951=IF('الداشبورد'!$B$9="الكل",$I951,IF('الداشبورد'!$B$9="بدون حالة","P",'الداشبورد'!$B$9)))</f>
        <v/>
      </c>
      <c r="V951">
        <f>--($D951=IF('الداشبورد'!$B$10="الكل",$D951,'الداشبورد'!$B$10))</f>
        <v/>
      </c>
      <c r="W951">
        <f>--($G951=IF('الداشبورد'!$B$11="الكل",$G951,'الداشبورد'!$B$11))</f>
        <v/>
      </c>
      <c r="X951">
        <f>Q951*R951*S951*T951*U951*V951*W951*--($C951&lt;&gt;"")</f>
        <v/>
      </c>
    </row>
    <row r="952">
      <c r="Q952">
        <f>--($A952=IF('الداشبورد'!$B$5="الكل",$A952,'الداشبورد'!$B$5))</f>
        <v/>
      </c>
      <c r="R952">
        <f>--($E952=IF('الداشبورد'!$B$6="الكل",$E952,'الداشبورد'!$B$6))</f>
        <v/>
      </c>
      <c r="S952">
        <f>--($K952=IF('الداشبورد'!$B$7="الكل",$K952,IF('الداشبورد'!$B$7="تصدير","Y","N")))</f>
        <v/>
      </c>
      <c r="T952">
        <f>--($J952=IF('الداشبورد'!$B$8="الكل",$J952,IF('الداشبورد'!$B$8="AL","A","C")))</f>
        <v/>
      </c>
      <c r="U952">
        <f>--($I952=IF('الداشبورد'!$B$9="الكل",$I952,IF('الداشبورد'!$B$9="بدون حالة","P",'الداشبورد'!$B$9)))</f>
        <v/>
      </c>
      <c r="V952">
        <f>--($D952=IF('الداشبورد'!$B$10="الكل",$D952,'الداشبورد'!$B$10))</f>
        <v/>
      </c>
      <c r="W952">
        <f>--($G952=IF('الداشبورد'!$B$11="الكل",$G952,'الداشبورد'!$B$11))</f>
        <v/>
      </c>
      <c r="X952">
        <f>Q952*R952*S952*T952*U952*V952*W952*--($C952&lt;&gt;"")</f>
        <v/>
      </c>
    </row>
    <row r="953">
      <c r="Q953">
        <f>--($A953=IF('الداشبورد'!$B$5="الكل",$A953,'الداشبورد'!$B$5))</f>
        <v/>
      </c>
      <c r="R953">
        <f>--($E953=IF('الداشبورد'!$B$6="الكل",$E953,'الداشبورد'!$B$6))</f>
        <v/>
      </c>
      <c r="S953">
        <f>--($K953=IF('الداشبورد'!$B$7="الكل",$K953,IF('الداشبورد'!$B$7="تصدير","Y","N")))</f>
        <v/>
      </c>
      <c r="T953">
        <f>--($J953=IF('الداشبورد'!$B$8="الكل",$J953,IF('الداشبورد'!$B$8="AL","A","C")))</f>
        <v/>
      </c>
      <c r="U953">
        <f>--($I953=IF('الداشبورد'!$B$9="الكل",$I953,IF('الداشبورد'!$B$9="بدون حالة","P",'الداشبورد'!$B$9)))</f>
        <v/>
      </c>
      <c r="V953">
        <f>--($D953=IF('الداشبورد'!$B$10="الكل",$D953,'الداشبورد'!$B$10))</f>
        <v/>
      </c>
      <c r="W953">
        <f>--($G953=IF('الداشبورد'!$B$11="الكل",$G953,'الداشبورد'!$B$11))</f>
        <v/>
      </c>
      <c r="X953">
        <f>Q953*R953*S953*T953*U953*V953*W953*--($C953&lt;&gt;"")</f>
        <v/>
      </c>
    </row>
    <row r="954">
      <c r="Q954">
        <f>--($A954=IF('الداشبورد'!$B$5="الكل",$A954,'الداشبورد'!$B$5))</f>
        <v/>
      </c>
      <c r="R954">
        <f>--($E954=IF('الداشبورد'!$B$6="الكل",$E954,'الداشبورد'!$B$6))</f>
        <v/>
      </c>
      <c r="S954">
        <f>--($K954=IF('الداشبورد'!$B$7="الكل",$K954,IF('الداشبورد'!$B$7="تصدير","Y","N")))</f>
        <v/>
      </c>
      <c r="T954">
        <f>--($J954=IF('الداشبورد'!$B$8="الكل",$J954,IF('الداشبورد'!$B$8="AL","A","C")))</f>
        <v/>
      </c>
      <c r="U954">
        <f>--($I954=IF('الداشبورد'!$B$9="الكل",$I954,IF('الداشبورد'!$B$9="بدون حالة","P",'الداشبورد'!$B$9)))</f>
        <v/>
      </c>
      <c r="V954">
        <f>--($D954=IF('الداشبورد'!$B$10="الكل",$D954,'الداشبورد'!$B$10))</f>
        <v/>
      </c>
      <c r="W954">
        <f>--($G954=IF('الداشبورد'!$B$11="الكل",$G954,'الداشبورد'!$B$11))</f>
        <v/>
      </c>
      <c r="X954">
        <f>Q954*R954*S954*T954*U954*V954*W954*--($C954&lt;&gt;"")</f>
        <v/>
      </c>
    </row>
    <row r="955">
      <c r="Q955">
        <f>--($A955=IF('الداشبورد'!$B$5="الكل",$A955,'الداشبورد'!$B$5))</f>
        <v/>
      </c>
      <c r="R955">
        <f>--($E955=IF('الداشبورد'!$B$6="الكل",$E955,'الداشبورد'!$B$6))</f>
        <v/>
      </c>
      <c r="S955">
        <f>--($K955=IF('الداشبورد'!$B$7="الكل",$K955,IF('الداشبورد'!$B$7="تصدير","Y","N")))</f>
        <v/>
      </c>
      <c r="T955">
        <f>--($J955=IF('الداشبورد'!$B$8="الكل",$J955,IF('الداشبورد'!$B$8="AL","A","C")))</f>
        <v/>
      </c>
      <c r="U955">
        <f>--($I955=IF('الداشبورد'!$B$9="الكل",$I955,IF('الداشبورد'!$B$9="بدون حالة","P",'الداشبورد'!$B$9)))</f>
        <v/>
      </c>
      <c r="V955">
        <f>--($D955=IF('الداشبورد'!$B$10="الكل",$D955,'الداشبورد'!$B$10))</f>
        <v/>
      </c>
      <c r="W955">
        <f>--($G955=IF('الداشبورد'!$B$11="الكل",$G955,'الداشبورد'!$B$11))</f>
        <v/>
      </c>
      <c r="X955">
        <f>Q955*R955*S955*T955*U955*V955*W955*--($C955&lt;&gt;"")</f>
        <v/>
      </c>
    </row>
    <row r="956">
      <c r="Q956">
        <f>--($A956=IF('الداشبورد'!$B$5="الكل",$A956,'الداشبورد'!$B$5))</f>
        <v/>
      </c>
      <c r="R956">
        <f>--($E956=IF('الداشبورد'!$B$6="الكل",$E956,'الداشبورد'!$B$6))</f>
        <v/>
      </c>
      <c r="S956">
        <f>--($K956=IF('الداشبورد'!$B$7="الكل",$K956,IF('الداشبورد'!$B$7="تصدير","Y","N")))</f>
        <v/>
      </c>
      <c r="T956">
        <f>--($J956=IF('الداشبورد'!$B$8="الكل",$J956,IF('الداشبورد'!$B$8="AL","A","C")))</f>
        <v/>
      </c>
      <c r="U956">
        <f>--($I956=IF('الداشبورد'!$B$9="الكل",$I956,IF('الداشبورد'!$B$9="بدون حالة","P",'الداشبورد'!$B$9)))</f>
        <v/>
      </c>
      <c r="V956">
        <f>--($D956=IF('الداشبورد'!$B$10="الكل",$D956,'الداشبورد'!$B$10))</f>
        <v/>
      </c>
      <c r="W956">
        <f>--($G956=IF('الداشبورد'!$B$11="الكل",$G956,'الداشبورد'!$B$11))</f>
        <v/>
      </c>
      <c r="X956">
        <f>Q956*R956*S956*T956*U956*V956*W956*--($C956&lt;&gt;"")</f>
        <v/>
      </c>
    </row>
    <row r="957">
      <c r="Q957">
        <f>--($A957=IF('الداشبورد'!$B$5="الكل",$A957,'الداشبورد'!$B$5))</f>
        <v/>
      </c>
      <c r="R957">
        <f>--($E957=IF('الداشبورد'!$B$6="الكل",$E957,'الداشبورد'!$B$6))</f>
        <v/>
      </c>
      <c r="S957">
        <f>--($K957=IF('الداشبورد'!$B$7="الكل",$K957,IF('الداشبورد'!$B$7="تصدير","Y","N")))</f>
        <v/>
      </c>
      <c r="T957">
        <f>--($J957=IF('الداشبورد'!$B$8="الكل",$J957,IF('الداشبورد'!$B$8="AL","A","C")))</f>
        <v/>
      </c>
      <c r="U957">
        <f>--($I957=IF('الداشبورد'!$B$9="الكل",$I957,IF('الداشبورد'!$B$9="بدون حالة","P",'الداشبورد'!$B$9)))</f>
        <v/>
      </c>
      <c r="V957">
        <f>--($D957=IF('الداشبورد'!$B$10="الكل",$D957,'الداشبورد'!$B$10))</f>
        <v/>
      </c>
      <c r="W957">
        <f>--($G957=IF('الداشبورد'!$B$11="الكل",$G957,'الداشبورد'!$B$11))</f>
        <v/>
      </c>
      <c r="X957">
        <f>Q957*R957*S957*T957*U957*V957*W957*--($C957&lt;&gt;"")</f>
        <v/>
      </c>
    </row>
    <row r="958">
      <c r="Q958">
        <f>--($A958=IF('الداشبورد'!$B$5="الكل",$A958,'الداشبورد'!$B$5))</f>
        <v/>
      </c>
      <c r="R958">
        <f>--($E958=IF('الداشبورد'!$B$6="الكل",$E958,'الداشبورد'!$B$6))</f>
        <v/>
      </c>
      <c r="S958">
        <f>--($K958=IF('الداشبورد'!$B$7="الكل",$K958,IF('الداشبورد'!$B$7="تصدير","Y","N")))</f>
        <v/>
      </c>
      <c r="T958">
        <f>--($J958=IF('الداشبورد'!$B$8="الكل",$J958,IF('الداشبورد'!$B$8="AL","A","C")))</f>
        <v/>
      </c>
      <c r="U958">
        <f>--($I958=IF('الداشبورد'!$B$9="الكل",$I958,IF('الداشبورد'!$B$9="بدون حالة","P",'الداشبورد'!$B$9)))</f>
        <v/>
      </c>
      <c r="V958">
        <f>--($D958=IF('الداشبورد'!$B$10="الكل",$D958,'الداشبورد'!$B$10))</f>
        <v/>
      </c>
      <c r="W958">
        <f>--($G958=IF('الداشبورد'!$B$11="الكل",$G958,'الداشبورد'!$B$11))</f>
        <v/>
      </c>
      <c r="X958">
        <f>Q958*R958*S958*T958*U958*V958*W958*--($C958&lt;&gt;"")</f>
        <v/>
      </c>
    </row>
    <row r="959">
      <c r="Q959">
        <f>--($A959=IF('الداشبورد'!$B$5="الكل",$A959,'الداشبورد'!$B$5))</f>
        <v/>
      </c>
      <c r="R959">
        <f>--($E959=IF('الداشبورد'!$B$6="الكل",$E959,'الداشبورد'!$B$6))</f>
        <v/>
      </c>
      <c r="S959">
        <f>--($K959=IF('الداشبورد'!$B$7="الكل",$K959,IF('الداشبورد'!$B$7="تصدير","Y","N")))</f>
        <v/>
      </c>
      <c r="T959">
        <f>--($J959=IF('الداشبورد'!$B$8="الكل",$J959,IF('الداشبورد'!$B$8="AL","A","C")))</f>
        <v/>
      </c>
      <c r="U959">
        <f>--($I959=IF('الداشبورد'!$B$9="الكل",$I959,IF('الداشبورد'!$B$9="بدون حالة","P",'الداشبورد'!$B$9)))</f>
        <v/>
      </c>
      <c r="V959">
        <f>--($D959=IF('الداشبورد'!$B$10="الكل",$D959,'الداشبورد'!$B$10))</f>
        <v/>
      </c>
      <c r="W959">
        <f>--($G959=IF('الداشبورد'!$B$11="الكل",$G959,'الداشبورد'!$B$11))</f>
        <v/>
      </c>
      <c r="X959">
        <f>Q959*R959*S959*T959*U959*V959*W959*--($C959&lt;&gt;"")</f>
        <v/>
      </c>
    </row>
    <row r="960">
      <c r="Q960">
        <f>--($A960=IF('الداشبورد'!$B$5="الكل",$A960,'الداشبورد'!$B$5))</f>
        <v/>
      </c>
      <c r="R960">
        <f>--($E960=IF('الداشبورد'!$B$6="الكل",$E960,'الداشبورد'!$B$6))</f>
        <v/>
      </c>
      <c r="S960">
        <f>--($K960=IF('الداشبورد'!$B$7="الكل",$K960,IF('الداشبورد'!$B$7="تصدير","Y","N")))</f>
        <v/>
      </c>
      <c r="T960">
        <f>--($J960=IF('الداشبورد'!$B$8="الكل",$J960,IF('الداشبورد'!$B$8="AL","A","C")))</f>
        <v/>
      </c>
      <c r="U960">
        <f>--($I960=IF('الداشبورد'!$B$9="الكل",$I960,IF('الداشبورد'!$B$9="بدون حالة","P",'الداشبورد'!$B$9)))</f>
        <v/>
      </c>
      <c r="V960">
        <f>--($D960=IF('الداشبورد'!$B$10="الكل",$D960,'الداشبورد'!$B$10))</f>
        <v/>
      </c>
      <c r="W960">
        <f>--($G960=IF('الداشبورد'!$B$11="الكل",$G960,'الداشبورد'!$B$11))</f>
        <v/>
      </c>
      <c r="X960">
        <f>Q960*R960*S960*T960*U960*V960*W960*--($C960&lt;&gt;"")</f>
        <v/>
      </c>
    </row>
    <row r="961">
      <c r="Q961">
        <f>--($A961=IF('الداشبورد'!$B$5="الكل",$A961,'الداشبورد'!$B$5))</f>
        <v/>
      </c>
      <c r="R961">
        <f>--($E961=IF('الداشبورد'!$B$6="الكل",$E961,'الداشبورد'!$B$6))</f>
        <v/>
      </c>
      <c r="S961">
        <f>--($K961=IF('الداشبورد'!$B$7="الكل",$K961,IF('الداشبورد'!$B$7="تصدير","Y","N")))</f>
        <v/>
      </c>
      <c r="T961">
        <f>--($J961=IF('الداشبورد'!$B$8="الكل",$J961,IF('الداشبورد'!$B$8="AL","A","C")))</f>
        <v/>
      </c>
      <c r="U961">
        <f>--($I961=IF('الداشبورد'!$B$9="الكل",$I961,IF('الداشبورد'!$B$9="بدون حالة","P",'الداشبورد'!$B$9)))</f>
        <v/>
      </c>
      <c r="V961">
        <f>--($D961=IF('الداشبورد'!$B$10="الكل",$D961,'الداشبورد'!$B$10))</f>
        <v/>
      </c>
      <c r="W961">
        <f>--($G961=IF('الداشبورد'!$B$11="الكل",$G961,'الداشبورد'!$B$11))</f>
        <v/>
      </c>
      <c r="X961">
        <f>Q961*R961*S961*T961*U961*V961*W961*--($C961&lt;&gt;"")</f>
        <v/>
      </c>
    </row>
    <row r="962">
      <c r="Q962">
        <f>--($A962=IF('الداشبورد'!$B$5="الكل",$A962,'الداشبورد'!$B$5))</f>
        <v/>
      </c>
      <c r="R962">
        <f>--($E962=IF('الداشبورد'!$B$6="الكل",$E962,'الداشبورد'!$B$6))</f>
        <v/>
      </c>
      <c r="S962">
        <f>--($K962=IF('الداشبورد'!$B$7="الكل",$K962,IF('الداشبورد'!$B$7="تصدير","Y","N")))</f>
        <v/>
      </c>
      <c r="T962">
        <f>--($J962=IF('الداشبورد'!$B$8="الكل",$J962,IF('الداشبورد'!$B$8="AL","A","C")))</f>
        <v/>
      </c>
      <c r="U962">
        <f>--($I962=IF('الداشبورد'!$B$9="الكل",$I962,IF('الداشبورد'!$B$9="بدون حالة","P",'الداشبورد'!$B$9)))</f>
        <v/>
      </c>
      <c r="V962">
        <f>--($D962=IF('الداشبورد'!$B$10="الكل",$D962,'الداشبورد'!$B$10))</f>
        <v/>
      </c>
      <c r="W962">
        <f>--($G962=IF('الداشبورد'!$B$11="الكل",$G962,'الداشبورد'!$B$11))</f>
        <v/>
      </c>
      <c r="X962">
        <f>Q962*R962*S962*T962*U962*V962*W962*--($C962&lt;&gt;"")</f>
        <v/>
      </c>
    </row>
    <row r="963">
      <c r="Q963">
        <f>--($A963=IF('الداشبورد'!$B$5="الكل",$A963,'الداشبورد'!$B$5))</f>
        <v/>
      </c>
      <c r="R963">
        <f>--($E963=IF('الداشبورد'!$B$6="الكل",$E963,'الداشبورد'!$B$6))</f>
        <v/>
      </c>
      <c r="S963">
        <f>--($K963=IF('الداشبورد'!$B$7="الكل",$K963,IF('الداشبورد'!$B$7="تصدير","Y","N")))</f>
        <v/>
      </c>
      <c r="T963">
        <f>--($J963=IF('الداشبورد'!$B$8="الكل",$J963,IF('الداشبورد'!$B$8="AL","A","C")))</f>
        <v/>
      </c>
      <c r="U963">
        <f>--($I963=IF('الداشبورد'!$B$9="الكل",$I963,IF('الداشبورد'!$B$9="بدون حالة","P",'الداشبورد'!$B$9)))</f>
        <v/>
      </c>
      <c r="V963">
        <f>--($D963=IF('الداشبورد'!$B$10="الكل",$D963,'الداشبورد'!$B$10))</f>
        <v/>
      </c>
      <c r="W963">
        <f>--($G963=IF('الداشبورد'!$B$11="الكل",$G963,'الداشبورد'!$B$11))</f>
        <v/>
      </c>
      <c r="X963">
        <f>Q963*R963*S963*T963*U963*V963*W963*--($C963&lt;&gt;"")</f>
        <v/>
      </c>
    </row>
    <row r="964">
      <c r="Q964">
        <f>--($A964=IF('الداشبورد'!$B$5="الكل",$A964,'الداشبورد'!$B$5))</f>
        <v/>
      </c>
      <c r="R964">
        <f>--($E964=IF('الداشبورد'!$B$6="الكل",$E964,'الداشبورد'!$B$6))</f>
        <v/>
      </c>
      <c r="S964">
        <f>--($K964=IF('الداشبورد'!$B$7="الكل",$K964,IF('الداشبورد'!$B$7="تصدير","Y","N")))</f>
        <v/>
      </c>
      <c r="T964">
        <f>--($J964=IF('الداشبورد'!$B$8="الكل",$J964,IF('الداشبورد'!$B$8="AL","A","C")))</f>
        <v/>
      </c>
      <c r="U964">
        <f>--($I964=IF('الداشبورد'!$B$9="الكل",$I964,IF('الداشبورد'!$B$9="بدون حالة","P",'الداشبورد'!$B$9)))</f>
        <v/>
      </c>
      <c r="V964">
        <f>--($D964=IF('الداشبورد'!$B$10="الكل",$D964,'الداشبورد'!$B$10))</f>
        <v/>
      </c>
      <c r="W964">
        <f>--($G964=IF('الداشبورد'!$B$11="الكل",$G964,'الداشبورد'!$B$11))</f>
        <v/>
      </c>
      <c r="X964">
        <f>Q964*R964*S964*T964*U964*V964*W964*--($C964&lt;&gt;"")</f>
        <v/>
      </c>
    </row>
    <row r="965">
      <c r="Q965">
        <f>--($A965=IF('الداشبورد'!$B$5="الكل",$A965,'الداشبورد'!$B$5))</f>
        <v/>
      </c>
      <c r="R965">
        <f>--($E965=IF('الداشبورد'!$B$6="الكل",$E965,'الداشبورد'!$B$6))</f>
        <v/>
      </c>
      <c r="S965">
        <f>--($K965=IF('الداشبورد'!$B$7="الكل",$K965,IF('الداشبورد'!$B$7="تصدير","Y","N")))</f>
        <v/>
      </c>
      <c r="T965">
        <f>--($J965=IF('الداشبورد'!$B$8="الكل",$J965,IF('الداشبورد'!$B$8="AL","A","C")))</f>
        <v/>
      </c>
      <c r="U965">
        <f>--($I965=IF('الداشبورد'!$B$9="الكل",$I965,IF('الداشبورد'!$B$9="بدون حالة","P",'الداشبورد'!$B$9)))</f>
        <v/>
      </c>
      <c r="V965">
        <f>--($D965=IF('الداشبورد'!$B$10="الكل",$D965,'الداشبورد'!$B$10))</f>
        <v/>
      </c>
      <c r="W965">
        <f>--($G965=IF('الداشبورد'!$B$11="الكل",$G965,'الداشبورد'!$B$11))</f>
        <v/>
      </c>
      <c r="X965">
        <f>Q965*R965*S965*T965*U965*V965*W965*--($C965&lt;&gt;"")</f>
        <v/>
      </c>
    </row>
    <row r="966">
      <c r="Q966">
        <f>--($A966=IF('الداشبورد'!$B$5="الكل",$A966,'الداشبورد'!$B$5))</f>
        <v/>
      </c>
      <c r="R966">
        <f>--($E966=IF('الداشبورد'!$B$6="الكل",$E966,'الداشبورد'!$B$6))</f>
        <v/>
      </c>
      <c r="S966">
        <f>--($K966=IF('الداشبورد'!$B$7="الكل",$K966,IF('الداشبورد'!$B$7="تصدير","Y","N")))</f>
        <v/>
      </c>
      <c r="T966">
        <f>--($J966=IF('الداشبورد'!$B$8="الكل",$J966,IF('الداشبورد'!$B$8="AL","A","C")))</f>
        <v/>
      </c>
      <c r="U966">
        <f>--($I966=IF('الداشبورد'!$B$9="الكل",$I966,IF('الداشبورد'!$B$9="بدون حالة","P",'الداشبورد'!$B$9)))</f>
        <v/>
      </c>
      <c r="V966">
        <f>--($D966=IF('الداشبورد'!$B$10="الكل",$D966,'الداشبورد'!$B$10))</f>
        <v/>
      </c>
      <c r="W966">
        <f>--($G966=IF('الداشبورد'!$B$11="الكل",$G966,'الداشبورد'!$B$11))</f>
        <v/>
      </c>
      <c r="X966">
        <f>Q966*R966*S966*T966*U966*V966*W966*--($C966&lt;&gt;"")</f>
        <v/>
      </c>
    </row>
    <row r="967">
      <c r="Q967">
        <f>--($A967=IF('الداشبورد'!$B$5="الكل",$A967,'الداشبورد'!$B$5))</f>
        <v/>
      </c>
      <c r="R967">
        <f>--($E967=IF('الداشبورد'!$B$6="الكل",$E967,'الداشبورد'!$B$6))</f>
        <v/>
      </c>
      <c r="S967">
        <f>--($K967=IF('الداشبورد'!$B$7="الكل",$K967,IF('الداشبورد'!$B$7="تصدير","Y","N")))</f>
        <v/>
      </c>
      <c r="T967">
        <f>--($J967=IF('الداشبورد'!$B$8="الكل",$J967,IF('الداشبورد'!$B$8="AL","A","C")))</f>
        <v/>
      </c>
      <c r="U967">
        <f>--($I967=IF('الداشبورد'!$B$9="الكل",$I967,IF('الداشبورد'!$B$9="بدون حالة","P",'الداشبورد'!$B$9)))</f>
        <v/>
      </c>
      <c r="V967">
        <f>--($D967=IF('الداشبورد'!$B$10="الكل",$D967,'الداشبورد'!$B$10))</f>
        <v/>
      </c>
      <c r="W967">
        <f>--($G967=IF('الداشبورد'!$B$11="الكل",$G967,'الداشبورد'!$B$11))</f>
        <v/>
      </c>
      <c r="X967">
        <f>Q967*R967*S967*T967*U967*V967*W967*--($C967&lt;&gt;"")</f>
        <v/>
      </c>
    </row>
    <row r="968">
      <c r="Q968">
        <f>--($A968=IF('الداشبورد'!$B$5="الكل",$A968,'الداشبورد'!$B$5))</f>
        <v/>
      </c>
      <c r="R968">
        <f>--($E968=IF('الداشبورد'!$B$6="الكل",$E968,'الداشبورد'!$B$6))</f>
        <v/>
      </c>
      <c r="S968">
        <f>--($K968=IF('الداشبورد'!$B$7="الكل",$K968,IF('الداشبورد'!$B$7="تصدير","Y","N")))</f>
        <v/>
      </c>
      <c r="T968">
        <f>--($J968=IF('الداشبورد'!$B$8="الكل",$J968,IF('الداشبورد'!$B$8="AL","A","C")))</f>
        <v/>
      </c>
      <c r="U968">
        <f>--($I968=IF('الداشبورد'!$B$9="الكل",$I968,IF('الداشبورد'!$B$9="بدون حالة","P",'الداشبورد'!$B$9)))</f>
        <v/>
      </c>
      <c r="V968">
        <f>--($D968=IF('الداشبورد'!$B$10="الكل",$D968,'الداشبورد'!$B$10))</f>
        <v/>
      </c>
      <c r="W968">
        <f>--($G968=IF('الداشبورد'!$B$11="الكل",$G968,'الداشبورد'!$B$11))</f>
        <v/>
      </c>
      <c r="X968">
        <f>Q968*R968*S968*T968*U968*V968*W968*--($C968&lt;&gt;"")</f>
        <v/>
      </c>
    </row>
    <row r="969">
      <c r="Q969">
        <f>--($A969=IF('الداشبورد'!$B$5="الكل",$A969,'الداشبورد'!$B$5))</f>
        <v/>
      </c>
      <c r="R969">
        <f>--($E969=IF('الداشبورد'!$B$6="الكل",$E969,'الداشبورد'!$B$6))</f>
        <v/>
      </c>
      <c r="S969">
        <f>--($K969=IF('الداشبورد'!$B$7="الكل",$K969,IF('الداشبورد'!$B$7="تصدير","Y","N")))</f>
        <v/>
      </c>
      <c r="T969">
        <f>--($J969=IF('الداشبورد'!$B$8="الكل",$J969,IF('الداشبورد'!$B$8="AL","A","C")))</f>
        <v/>
      </c>
      <c r="U969">
        <f>--($I969=IF('الداشبورد'!$B$9="الكل",$I969,IF('الداشبورد'!$B$9="بدون حالة","P",'الداشبورد'!$B$9)))</f>
        <v/>
      </c>
      <c r="V969">
        <f>--($D969=IF('الداشبورد'!$B$10="الكل",$D969,'الداشبورد'!$B$10))</f>
        <v/>
      </c>
      <c r="W969">
        <f>--($G969=IF('الداشبورد'!$B$11="الكل",$G969,'الداشبورد'!$B$11))</f>
        <v/>
      </c>
      <c r="X969">
        <f>Q969*R969*S969*T969*U969*V969*W969*--($C969&lt;&gt;"")</f>
        <v/>
      </c>
    </row>
    <row r="970">
      <c r="Q970">
        <f>--($A970=IF('الداشبورد'!$B$5="الكل",$A970,'الداشبورد'!$B$5))</f>
        <v/>
      </c>
      <c r="R970">
        <f>--($E970=IF('الداشبورد'!$B$6="الكل",$E970,'الداشبورد'!$B$6))</f>
        <v/>
      </c>
      <c r="S970">
        <f>--($K970=IF('الداشبورد'!$B$7="الكل",$K970,IF('الداشبورد'!$B$7="تصدير","Y","N")))</f>
        <v/>
      </c>
      <c r="T970">
        <f>--($J970=IF('الداشبورد'!$B$8="الكل",$J970,IF('الداشبورد'!$B$8="AL","A","C")))</f>
        <v/>
      </c>
      <c r="U970">
        <f>--($I970=IF('الداشبورد'!$B$9="الكل",$I970,IF('الداشبورد'!$B$9="بدون حالة","P",'الداشبورد'!$B$9)))</f>
        <v/>
      </c>
      <c r="V970">
        <f>--($D970=IF('الداشبورد'!$B$10="الكل",$D970,'الداشبورد'!$B$10))</f>
        <v/>
      </c>
      <c r="W970">
        <f>--($G970=IF('الداشبورد'!$B$11="الكل",$G970,'الداشبورد'!$B$11))</f>
        <v/>
      </c>
      <c r="X970">
        <f>Q970*R970*S970*T970*U970*V970*W970*--($C970&lt;&gt;"")</f>
        <v/>
      </c>
    </row>
    <row r="971">
      <c r="Q971">
        <f>--($A971=IF('الداشبورد'!$B$5="الكل",$A971,'الداشبورد'!$B$5))</f>
        <v/>
      </c>
      <c r="R971">
        <f>--($E971=IF('الداشبورد'!$B$6="الكل",$E971,'الداشبورد'!$B$6))</f>
        <v/>
      </c>
      <c r="S971">
        <f>--($K971=IF('الداشبورد'!$B$7="الكل",$K971,IF('الداشبورد'!$B$7="تصدير","Y","N")))</f>
        <v/>
      </c>
      <c r="T971">
        <f>--($J971=IF('الداشبورد'!$B$8="الكل",$J971,IF('الداشبورد'!$B$8="AL","A","C")))</f>
        <v/>
      </c>
      <c r="U971">
        <f>--($I971=IF('الداشبورد'!$B$9="الكل",$I971,IF('الداشبورد'!$B$9="بدون حالة","P",'الداشبورد'!$B$9)))</f>
        <v/>
      </c>
      <c r="V971">
        <f>--($D971=IF('الداشبورد'!$B$10="الكل",$D971,'الداشبورد'!$B$10))</f>
        <v/>
      </c>
      <c r="W971">
        <f>--($G971=IF('الداشبورد'!$B$11="الكل",$G971,'الداشبورد'!$B$11))</f>
        <v/>
      </c>
      <c r="X971">
        <f>Q971*R971*S971*T971*U971*V971*W971*--($C971&lt;&gt;"")</f>
        <v/>
      </c>
    </row>
    <row r="972">
      <c r="Q972">
        <f>--($A972=IF('الداشبورد'!$B$5="الكل",$A972,'الداشبورد'!$B$5))</f>
        <v/>
      </c>
      <c r="R972">
        <f>--($E972=IF('الداشبورد'!$B$6="الكل",$E972,'الداشبورد'!$B$6))</f>
        <v/>
      </c>
      <c r="S972">
        <f>--($K972=IF('الداشبورد'!$B$7="الكل",$K972,IF('الداشبورد'!$B$7="تصدير","Y","N")))</f>
        <v/>
      </c>
      <c r="T972">
        <f>--($J972=IF('الداشبورد'!$B$8="الكل",$J972,IF('الداشبورد'!$B$8="AL","A","C")))</f>
        <v/>
      </c>
      <c r="U972">
        <f>--($I972=IF('الداشبورد'!$B$9="الكل",$I972,IF('الداشبورد'!$B$9="بدون حالة","P",'الداشبورد'!$B$9)))</f>
        <v/>
      </c>
      <c r="V972">
        <f>--($D972=IF('الداشبورد'!$B$10="الكل",$D972,'الداشبورد'!$B$10))</f>
        <v/>
      </c>
      <c r="W972">
        <f>--($G972=IF('الداشبورد'!$B$11="الكل",$G972,'الداشبورد'!$B$11))</f>
        <v/>
      </c>
      <c r="X972">
        <f>Q972*R972*S972*T972*U972*V972*W972*--($C972&lt;&gt;"")</f>
        <v/>
      </c>
    </row>
    <row r="973">
      <c r="Q973">
        <f>--($A973=IF('الداشبورد'!$B$5="الكل",$A973,'الداشبورد'!$B$5))</f>
        <v/>
      </c>
      <c r="R973">
        <f>--($E973=IF('الداشبورد'!$B$6="الكل",$E973,'الداشبورد'!$B$6))</f>
        <v/>
      </c>
      <c r="S973">
        <f>--($K973=IF('الداشبورد'!$B$7="الكل",$K973,IF('الداشبورد'!$B$7="تصدير","Y","N")))</f>
        <v/>
      </c>
      <c r="T973">
        <f>--($J973=IF('الداشبورد'!$B$8="الكل",$J973,IF('الداشبورد'!$B$8="AL","A","C")))</f>
        <v/>
      </c>
      <c r="U973">
        <f>--($I973=IF('الداشبورد'!$B$9="الكل",$I973,IF('الداشبورد'!$B$9="بدون حالة","P",'الداشبورد'!$B$9)))</f>
        <v/>
      </c>
      <c r="V973">
        <f>--($D973=IF('الداشبورد'!$B$10="الكل",$D973,'الداشبورد'!$B$10))</f>
        <v/>
      </c>
      <c r="W973">
        <f>--($G973=IF('الداشبورد'!$B$11="الكل",$G973,'الداشبورد'!$B$11))</f>
        <v/>
      </c>
      <c r="X973">
        <f>Q973*R973*S973*T973*U973*V973*W973*--($C973&lt;&gt;"")</f>
        <v/>
      </c>
    </row>
    <row r="974">
      <c r="Q974">
        <f>--($A974=IF('الداشبورد'!$B$5="الكل",$A974,'الداشبورد'!$B$5))</f>
        <v/>
      </c>
      <c r="R974">
        <f>--($E974=IF('الداشبورد'!$B$6="الكل",$E974,'الداشبورد'!$B$6))</f>
        <v/>
      </c>
      <c r="S974">
        <f>--($K974=IF('الداشبورد'!$B$7="الكل",$K974,IF('الداشبورد'!$B$7="تصدير","Y","N")))</f>
        <v/>
      </c>
      <c r="T974">
        <f>--($J974=IF('الداشبورد'!$B$8="الكل",$J974,IF('الداشبورد'!$B$8="AL","A","C")))</f>
        <v/>
      </c>
      <c r="U974">
        <f>--($I974=IF('الداشبورد'!$B$9="الكل",$I974,IF('الداشبورد'!$B$9="بدون حالة","P",'الداشبورد'!$B$9)))</f>
        <v/>
      </c>
      <c r="V974">
        <f>--($D974=IF('الداشبورد'!$B$10="الكل",$D974,'الداشبورد'!$B$10))</f>
        <v/>
      </c>
      <c r="W974">
        <f>--($G974=IF('الداشبورد'!$B$11="الكل",$G974,'الداشبورد'!$B$11))</f>
        <v/>
      </c>
      <c r="X974">
        <f>Q974*R974*S974*T974*U974*V974*W974*--($C974&lt;&gt;"")</f>
        <v/>
      </c>
    </row>
    <row r="975">
      <c r="Q975">
        <f>--($A975=IF('الداشبورد'!$B$5="الكل",$A975,'الداشبورد'!$B$5))</f>
        <v/>
      </c>
      <c r="R975">
        <f>--($E975=IF('الداشبورد'!$B$6="الكل",$E975,'الداشبورد'!$B$6))</f>
        <v/>
      </c>
      <c r="S975">
        <f>--($K975=IF('الداشبورد'!$B$7="الكل",$K975,IF('الداشبورد'!$B$7="تصدير","Y","N")))</f>
        <v/>
      </c>
      <c r="T975">
        <f>--($J975=IF('الداشبورد'!$B$8="الكل",$J975,IF('الداشبورد'!$B$8="AL","A","C")))</f>
        <v/>
      </c>
      <c r="U975">
        <f>--($I975=IF('الداشبورد'!$B$9="الكل",$I975,IF('الداشبورد'!$B$9="بدون حالة","P",'الداشبورد'!$B$9)))</f>
        <v/>
      </c>
      <c r="V975">
        <f>--($D975=IF('الداشبورد'!$B$10="الكل",$D975,'الداشبورد'!$B$10))</f>
        <v/>
      </c>
      <c r="W975">
        <f>--($G975=IF('الداشبورد'!$B$11="الكل",$G975,'الداشبورد'!$B$11))</f>
        <v/>
      </c>
      <c r="X975">
        <f>Q975*R975*S975*T975*U975*V975*W975*--($C975&lt;&gt;"")</f>
        <v/>
      </c>
    </row>
    <row r="976">
      <c r="Q976">
        <f>--($A976=IF('الداشبورد'!$B$5="الكل",$A976,'الداشبورد'!$B$5))</f>
        <v/>
      </c>
      <c r="R976">
        <f>--($E976=IF('الداشبورد'!$B$6="الكل",$E976,'الداشبورد'!$B$6))</f>
        <v/>
      </c>
      <c r="S976">
        <f>--($K976=IF('الداشبورد'!$B$7="الكل",$K976,IF('الداشبورد'!$B$7="تصدير","Y","N")))</f>
        <v/>
      </c>
      <c r="T976">
        <f>--($J976=IF('الداشبورد'!$B$8="الكل",$J976,IF('الداشبورد'!$B$8="AL","A","C")))</f>
        <v/>
      </c>
      <c r="U976">
        <f>--($I976=IF('الداشبورد'!$B$9="الكل",$I976,IF('الداشبورد'!$B$9="بدون حالة","P",'الداشبورد'!$B$9)))</f>
        <v/>
      </c>
      <c r="V976">
        <f>--($D976=IF('الداشبورد'!$B$10="الكل",$D976,'الداشبورد'!$B$10))</f>
        <v/>
      </c>
      <c r="W976">
        <f>--($G976=IF('الداشبورد'!$B$11="الكل",$G976,'الداشبورد'!$B$11))</f>
        <v/>
      </c>
      <c r="X976">
        <f>Q976*R976*S976*T976*U976*V976*W976*--($C976&lt;&gt;"")</f>
        <v/>
      </c>
    </row>
    <row r="977">
      <c r="Q977">
        <f>--($A977=IF('الداشبورد'!$B$5="الكل",$A977,'الداشبورد'!$B$5))</f>
        <v/>
      </c>
      <c r="R977">
        <f>--($E977=IF('الداشبورد'!$B$6="الكل",$E977,'الداشبورد'!$B$6))</f>
        <v/>
      </c>
      <c r="S977">
        <f>--($K977=IF('الداشبورد'!$B$7="الكل",$K977,IF('الداشبورد'!$B$7="تصدير","Y","N")))</f>
        <v/>
      </c>
      <c r="T977">
        <f>--($J977=IF('الداشبورد'!$B$8="الكل",$J977,IF('الداشبورد'!$B$8="AL","A","C")))</f>
        <v/>
      </c>
      <c r="U977">
        <f>--($I977=IF('الداشبورد'!$B$9="الكل",$I977,IF('الداشبورد'!$B$9="بدون حالة","P",'الداشبورد'!$B$9)))</f>
        <v/>
      </c>
      <c r="V977">
        <f>--($D977=IF('الداشبورد'!$B$10="الكل",$D977,'الداشبورد'!$B$10))</f>
        <v/>
      </c>
      <c r="W977">
        <f>--($G977=IF('الداشبورد'!$B$11="الكل",$G977,'الداشبورد'!$B$11))</f>
        <v/>
      </c>
      <c r="X977">
        <f>Q977*R977*S977*T977*U977*V977*W977*--($C977&lt;&gt;"")</f>
        <v/>
      </c>
    </row>
    <row r="978">
      <c r="Q978">
        <f>--($A978=IF('الداشبورد'!$B$5="الكل",$A978,'الداشبورد'!$B$5))</f>
        <v/>
      </c>
      <c r="R978">
        <f>--($E978=IF('الداشبورد'!$B$6="الكل",$E978,'الداشبورد'!$B$6))</f>
        <v/>
      </c>
      <c r="S978">
        <f>--($K978=IF('الداشبورد'!$B$7="الكل",$K978,IF('الداشبورد'!$B$7="تصدير","Y","N")))</f>
        <v/>
      </c>
      <c r="T978">
        <f>--($J978=IF('الداشبورد'!$B$8="الكل",$J978,IF('الداشبورد'!$B$8="AL","A","C")))</f>
        <v/>
      </c>
      <c r="U978">
        <f>--($I978=IF('الداشبورد'!$B$9="الكل",$I978,IF('الداشبورد'!$B$9="بدون حالة","P",'الداشبورد'!$B$9)))</f>
        <v/>
      </c>
      <c r="V978">
        <f>--($D978=IF('الداشبورد'!$B$10="الكل",$D978,'الداشبورد'!$B$10))</f>
        <v/>
      </c>
      <c r="W978">
        <f>--($G978=IF('الداشبورد'!$B$11="الكل",$G978,'الداشبورد'!$B$11))</f>
        <v/>
      </c>
      <c r="X978">
        <f>Q978*R978*S978*T978*U978*V978*W978*--($C978&lt;&gt;"")</f>
        <v/>
      </c>
    </row>
    <row r="979">
      <c r="Q979">
        <f>--($A979=IF('الداشبورد'!$B$5="الكل",$A979,'الداشبورد'!$B$5))</f>
        <v/>
      </c>
      <c r="R979">
        <f>--($E979=IF('الداشبورد'!$B$6="الكل",$E979,'الداشبورد'!$B$6))</f>
        <v/>
      </c>
      <c r="S979">
        <f>--($K979=IF('الداشبورد'!$B$7="الكل",$K979,IF('الداشبورد'!$B$7="تصدير","Y","N")))</f>
        <v/>
      </c>
      <c r="T979">
        <f>--($J979=IF('الداشبورد'!$B$8="الكل",$J979,IF('الداشبورد'!$B$8="AL","A","C")))</f>
        <v/>
      </c>
      <c r="U979">
        <f>--($I979=IF('الداشبورد'!$B$9="الكل",$I979,IF('الداشبورد'!$B$9="بدون حالة","P",'الداشبورد'!$B$9)))</f>
        <v/>
      </c>
      <c r="V979">
        <f>--($D979=IF('الداشبورد'!$B$10="الكل",$D979,'الداشبورد'!$B$10))</f>
        <v/>
      </c>
      <c r="W979">
        <f>--($G979=IF('الداشبورد'!$B$11="الكل",$G979,'الداشبورد'!$B$11))</f>
        <v/>
      </c>
      <c r="X979">
        <f>Q979*R979*S979*T979*U979*V979*W979*--($C979&lt;&gt;"")</f>
        <v/>
      </c>
    </row>
    <row r="980">
      <c r="Q980">
        <f>--($A980=IF('الداشبورد'!$B$5="الكل",$A980,'الداشبورد'!$B$5))</f>
        <v/>
      </c>
      <c r="R980">
        <f>--($E980=IF('الداشبورد'!$B$6="الكل",$E980,'الداشبورد'!$B$6))</f>
        <v/>
      </c>
      <c r="S980">
        <f>--($K980=IF('الداشبورد'!$B$7="الكل",$K980,IF('الداشبورد'!$B$7="تصدير","Y","N")))</f>
        <v/>
      </c>
      <c r="T980">
        <f>--($J980=IF('الداشبورد'!$B$8="الكل",$J980,IF('الداشبورد'!$B$8="AL","A","C")))</f>
        <v/>
      </c>
      <c r="U980">
        <f>--($I980=IF('الداشبورد'!$B$9="الكل",$I980,IF('الداشبورد'!$B$9="بدون حالة","P",'الداشبورد'!$B$9)))</f>
        <v/>
      </c>
      <c r="V980">
        <f>--($D980=IF('الداشبورد'!$B$10="الكل",$D980,'الداشبورد'!$B$10))</f>
        <v/>
      </c>
      <c r="W980">
        <f>--($G980=IF('الداشبورد'!$B$11="الكل",$G980,'الداشبورد'!$B$11))</f>
        <v/>
      </c>
      <c r="X980">
        <f>Q980*R980*S980*T980*U980*V980*W980*--($C980&lt;&gt;"")</f>
        <v/>
      </c>
    </row>
    <row r="981">
      <c r="Q981">
        <f>--($A981=IF('الداشبورد'!$B$5="الكل",$A981,'الداشبورد'!$B$5))</f>
        <v/>
      </c>
      <c r="R981">
        <f>--($E981=IF('الداشبورد'!$B$6="الكل",$E981,'الداشبورد'!$B$6))</f>
        <v/>
      </c>
      <c r="S981">
        <f>--($K981=IF('الداشبورد'!$B$7="الكل",$K981,IF('الداشبورد'!$B$7="تصدير","Y","N")))</f>
        <v/>
      </c>
      <c r="T981">
        <f>--($J981=IF('الداشبورد'!$B$8="الكل",$J981,IF('الداشبورد'!$B$8="AL","A","C")))</f>
        <v/>
      </c>
      <c r="U981">
        <f>--($I981=IF('الداشبورد'!$B$9="الكل",$I981,IF('الداشبورد'!$B$9="بدون حالة","P",'الداشبورد'!$B$9)))</f>
        <v/>
      </c>
      <c r="V981">
        <f>--($D981=IF('الداشبورد'!$B$10="الكل",$D981,'الداشبورد'!$B$10))</f>
        <v/>
      </c>
      <c r="W981">
        <f>--($G981=IF('الداشبورد'!$B$11="الكل",$G981,'الداشبورد'!$B$11))</f>
        <v/>
      </c>
      <c r="X981">
        <f>Q981*R981*S981*T981*U981*V981*W981*--($C981&lt;&gt;"")</f>
        <v/>
      </c>
    </row>
    <row r="982">
      <c r="Q982">
        <f>--($A982=IF('الداشبورد'!$B$5="الكل",$A982,'الداشبورد'!$B$5))</f>
        <v/>
      </c>
      <c r="R982">
        <f>--($E982=IF('الداشبورد'!$B$6="الكل",$E982,'الداشبورد'!$B$6))</f>
        <v/>
      </c>
      <c r="S982">
        <f>--($K982=IF('الداشبورد'!$B$7="الكل",$K982,IF('الداشبورد'!$B$7="تصدير","Y","N")))</f>
        <v/>
      </c>
      <c r="T982">
        <f>--($J982=IF('الداشبورد'!$B$8="الكل",$J982,IF('الداشبورد'!$B$8="AL","A","C")))</f>
        <v/>
      </c>
      <c r="U982">
        <f>--($I982=IF('الداشبورد'!$B$9="الكل",$I982,IF('الداشبورد'!$B$9="بدون حالة","P",'الداشبورد'!$B$9)))</f>
        <v/>
      </c>
      <c r="V982">
        <f>--($D982=IF('الداشبورد'!$B$10="الكل",$D982,'الداشبورد'!$B$10))</f>
        <v/>
      </c>
      <c r="W982">
        <f>--($G982=IF('الداشبورد'!$B$11="الكل",$G982,'الداشبورد'!$B$11))</f>
        <v/>
      </c>
      <c r="X982">
        <f>Q982*R982*S982*T982*U982*V982*W982*--($C982&lt;&gt;"")</f>
        <v/>
      </c>
    </row>
    <row r="983">
      <c r="Q983">
        <f>--($A983=IF('الداشبورد'!$B$5="الكل",$A983,'الداشبورد'!$B$5))</f>
        <v/>
      </c>
      <c r="R983">
        <f>--($E983=IF('الداشبورد'!$B$6="الكل",$E983,'الداشبورد'!$B$6))</f>
        <v/>
      </c>
      <c r="S983">
        <f>--($K983=IF('الداشبورد'!$B$7="الكل",$K983,IF('الداشبورد'!$B$7="تصدير","Y","N")))</f>
        <v/>
      </c>
      <c r="T983">
        <f>--($J983=IF('الداشبورد'!$B$8="الكل",$J983,IF('الداشبورد'!$B$8="AL","A","C")))</f>
        <v/>
      </c>
      <c r="U983">
        <f>--($I983=IF('الداشبورد'!$B$9="الكل",$I983,IF('الداشبورد'!$B$9="بدون حالة","P",'الداشبورد'!$B$9)))</f>
        <v/>
      </c>
      <c r="V983">
        <f>--($D983=IF('الداشبورد'!$B$10="الكل",$D983,'الداشبورد'!$B$10))</f>
        <v/>
      </c>
      <c r="W983">
        <f>--($G983=IF('الداشبورد'!$B$11="الكل",$G983,'الداشبورد'!$B$11))</f>
        <v/>
      </c>
      <c r="X983">
        <f>Q983*R983*S983*T983*U983*V983*W983*--($C983&lt;&gt;"")</f>
        <v/>
      </c>
    </row>
    <row r="984">
      <c r="Q984">
        <f>--($A984=IF('الداشبورد'!$B$5="الكل",$A984,'الداشبورد'!$B$5))</f>
        <v/>
      </c>
      <c r="R984">
        <f>--($E984=IF('الداشبورد'!$B$6="الكل",$E984,'الداشبورد'!$B$6))</f>
        <v/>
      </c>
      <c r="S984">
        <f>--($K984=IF('الداشبورد'!$B$7="الكل",$K984,IF('الداشبورد'!$B$7="تصدير","Y","N")))</f>
        <v/>
      </c>
      <c r="T984">
        <f>--($J984=IF('الداشبورد'!$B$8="الكل",$J984,IF('الداشبورد'!$B$8="AL","A","C")))</f>
        <v/>
      </c>
      <c r="U984">
        <f>--($I984=IF('الداشبورد'!$B$9="الكل",$I984,IF('الداشبورد'!$B$9="بدون حالة","P",'الداشبورد'!$B$9)))</f>
        <v/>
      </c>
      <c r="V984">
        <f>--($D984=IF('الداشبورد'!$B$10="الكل",$D984,'الداشبورد'!$B$10))</f>
        <v/>
      </c>
      <c r="W984">
        <f>--($G984=IF('الداشبورد'!$B$11="الكل",$G984,'الداشبورد'!$B$11))</f>
        <v/>
      </c>
      <c r="X984">
        <f>Q984*R984*S984*T984*U984*V984*W984*--($C984&lt;&gt;"")</f>
        <v/>
      </c>
    </row>
    <row r="985">
      <c r="Q985">
        <f>--($A985=IF('الداشبورد'!$B$5="الكل",$A985,'الداشبورد'!$B$5))</f>
        <v/>
      </c>
      <c r="R985">
        <f>--($E985=IF('الداشبورد'!$B$6="الكل",$E985,'الداشبورد'!$B$6))</f>
        <v/>
      </c>
      <c r="S985">
        <f>--($K985=IF('الداشبورد'!$B$7="الكل",$K985,IF('الداشبورد'!$B$7="تصدير","Y","N")))</f>
        <v/>
      </c>
      <c r="T985">
        <f>--($J985=IF('الداشبورد'!$B$8="الكل",$J985,IF('الداشبورد'!$B$8="AL","A","C")))</f>
        <v/>
      </c>
      <c r="U985">
        <f>--($I985=IF('الداشبورد'!$B$9="الكل",$I985,IF('الداشبورد'!$B$9="بدون حالة","P",'الداشبورد'!$B$9)))</f>
        <v/>
      </c>
      <c r="V985">
        <f>--($D985=IF('الداشبورد'!$B$10="الكل",$D985,'الداشبورد'!$B$10))</f>
        <v/>
      </c>
      <c r="W985">
        <f>--($G985=IF('الداشبورد'!$B$11="الكل",$G985,'الداشبورد'!$B$11))</f>
        <v/>
      </c>
      <c r="X985">
        <f>Q985*R985*S985*T985*U985*V985*W985*--($C985&lt;&gt;"")</f>
        <v/>
      </c>
    </row>
    <row r="986">
      <c r="Q986">
        <f>--($A986=IF('الداشبورد'!$B$5="الكل",$A986,'الداشبورد'!$B$5))</f>
        <v/>
      </c>
      <c r="R986">
        <f>--($E986=IF('الداشبورد'!$B$6="الكل",$E986,'الداشبورد'!$B$6))</f>
        <v/>
      </c>
      <c r="S986">
        <f>--($K986=IF('الداشبورد'!$B$7="الكل",$K986,IF('الداشبورد'!$B$7="تصدير","Y","N")))</f>
        <v/>
      </c>
      <c r="T986">
        <f>--($J986=IF('الداشبورد'!$B$8="الكل",$J986,IF('الداشبورد'!$B$8="AL","A","C")))</f>
        <v/>
      </c>
      <c r="U986">
        <f>--($I986=IF('الداشبورد'!$B$9="الكل",$I986,IF('الداشبورد'!$B$9="بدون حالة","P",'الداشبورد'!$B$9)))</f>
        <v/>
      </c>
      <c r="V986">
        <f>--($D986=IF('الداشبورد'!$B$10="الكل",$D986,'الداشبورد'!$B$10))</f>
        <v/>
      </c>
      <c r="W986">
        <f>--($G986=IF('الداشبورد'!$B$11="الكل",$G986,'الداشبورد'!$B$11))</f>
        <v/>
      </c>
      <c r="X986">
        <f>Q986*R986*S986*T986*U986*V986*W986*--($C986&lt;&gt;"")</f>
        <v/>
      </c>
    </row>
    <row r="987">
      <c r="Q987">
        <f>--($A987=IF('الداشبورد'!$B$5="الكل",$A987,'الداشبورد'!$B$5))</f>
        <v/>
      </c>
      <c r="R987">
        <f>--($E987=IF('الداشبورد'!$B$6="الكل",$E987,'الداشبورد'!$B$6))</f>
        <v/>
      </c>
      <c r="S987">
        <f>--($K987=IF('الداشبورد'!$B$7="الكل",$K987,IF('الداشبورد'!$B$7="تصدير","Y","N")))</f>
        <v/>
      </c>
      <c r="T987">
        <f>--($J987=IF('الداشبورد'!$B$8="الكل",$J987,IF('الداشبورد'!$B$8="AL","A","C")))</f>
        <v/>
      </c>
      <c r="U987">
        <f>--($I987=IF('الداشبورد'!$B$9="الكل",$I987,IF('الداشبورد'!$B$9="بدون حالة","P",'الداشبورد'!$B$9)))</f>
        <v/>
      </c>
      <c r="V987">
        <f>--($D987=IF('الداشبورد'!$B$10="الكل",$D987,'الداشبورد'!$B$10))</f>
        <v/>
      </c>
      <c r="W987">
        <f>--($G987=IF('الداشبورد'!$B$11="الكل",$G987,'الداشبورد'!$B$11))</f>
        <v/>
      </c>
      <c r="X987">
        <f>Q987*R987*S987*T987*U987*V987*W987*--($C987&lt;&gt;"")</f>
        <v/>
      </c>
    </row>
    <row r="988">
      <c r="Q988">
        <f>--($A988=IF('الداشبورد'!$B$5="الكل",$A988,'الداشبورد'!$B$5))</f>
        <v/>
      </c>
      <c r="R988">
        <f>--($E988=IF('الداشبورد'!$B$6="الكل",$E988,'الداشبورد'!$B$6))</f>
        <v/>
      </c>
      <c r="S988">
        <f>--($K988=IF('الداشبورد'!$B$7="الكل",$K988,IF('الداشبورد'!$B$7="تصدير","Y","N")))</f>
        <v/>
      </c>
      <c r="T988">
        <f>--($J988=IF('الداشبورد'!$B$8="الكل",$J988,IF('الداشبورد'!$B$8="AL","A","C")))</f>
        <v/>
      </c>
      <c r="U988">
        <f>--($I988=IF('الداشبورد'!$B$9="الكل",$I988,IF('الداشبورد'!$B$9="بدون حالة","P",'الداشبورد'!$B$9)))</f>
        <v/>
      </c>
      <c r="V988">
        <f>--($D988=IF('الداشبورد'!$B$10="الكل",$D988,'الداشبورد'!$B$10))</f>
        <v/>
      </c>
      <c r="W988">
        <f>--($G988=IF('الداشبورد'!$B$11="الكل",$G988,'الداشبورد'!$B$11))</f>
        <v/>
      </c>
      <c r="X988">
        <f>Q988*R988*S988*T988*U988*V988*W988*--($C988&lt;&gt;"")</f>
        <v/>
      </c>
    </row>
    <row r="989">
      <c r="Q989">
        <f>--($A989=IF('الداشبورد'!$B$5="الكل",$A989,'الداشبورد'!$B$5))</f>
        <v/>
      </c>
      <c r="R989">
        <f>--($E989=IF('الداشبورد'!$B$6="الكل",$E989,'الداشبورد'!$B$6))</f>
        <v/>
      </c>
      <c r="S989">
        <f>--($K989=IF('الداشبورد'!$B$7="الكل",$K989,IF('الداشبورد'!$B$7="تصدير","Y","N")))</f>
        <v/>
      </c>
      <c r="T989">
        <f>--($J989=IF('الداشبورد'!$B$8="الكل",$J989,IF('الداشبورد'!$B$8="AL","A","C")))</f>
        <v/>
      </c>
      <c r="U989">
        <f>--($I989=IF('الداشبورد'!$B$9="الكل",$I989,IF('الداشبورد'!$B$9="بدون حالة","P",'الداشبورد'!$B$9)))</f>
        <v/>
      </c>
      <c r="V989">
        <f>--($D989=IF('الداشبورد'!$B$10="الكل",$D989,'الداشبورد'!$B$10))</f>
        <v/>
      </c>
      <c r="W989">
        <f>--($G989=IF('الداشبورد'!$B$11="الكل",$G989,'الداشبورد'!$B$11))</f>
        <v/>
      </c>
      <c r="X989">
        <f>Q989*R989*S989*T989*U989*V989*W989*--($C989&lt;&gt;"")</f>
        <v/>
      </c>
    </row>
    <row r="990">
      <c r="Q990">
        <f>--($A990=IF('الداشبورد'!$B$5="الكل",$A990,'الداشبورد'!$B$5))</f>
        <v/>
      </c>
      <c r="R990">
        <f>--($E990=IF('الداشبورد'!$B$6="الكل",$E990,'الداشبورد'!$B$6))</f>
        <v/>
      </c>
      <c r="S990">
        <f>--($K990=IF('الداشبورد'!$B$7="الكل",$K990,IF('الداشبورد'!$B$7="تصدير","Y","N")))</f>
        <v/>
      </c>
      <c r="T990">
        <f>--($J990=IF('الداشبورد'!$B$8="الكل",$J990,IF('الداشبورد'!$B$8="AL","A","C")))</f>
        <v/>
      </c>
      <c r="U990">
        <f>--($I990=IF('الداشبورد'!$B$9="الكل",$I990,IF('الداشبورد'!$B$9="بدون حالة","P",'الداشبورد'!$B$9)))</f>
        <v/>
      </c>
      <c r="V990">
        <f>--($D990=IF('الداشبورد'!$B$10="الكل",$D990,'الداشبورد'!$B$10))</f>
        <v/>
      </c>
      <c r="W990">
        <f>--($G990=IF('الداشبورد'!$B$11="الكل",$G990,'الداشبورد'!$B$11))</f>
        <v/>
      </c>
      <c r="X990">
        <f>Q990*R990*S990*T990*U990*V990*W990*--($C990&lt;&gt;"")</f>
        <v/>
      </c>
    </row>
    <row r="991">
      <c r="Q991">
        <f>--($A991=IF('الداشبورد'!$B$5="الكل",$A991,'الداشبورد'!$B$5))</f>
        <v/>
      </c>
      <c r="R991">
        <f>--($E991=IF('الداشبورد'!$B$6="الكل",$E991,'الداشبورد'!$B$6))</f>
        <v/>
      </c>
      <c r="S991">
        <f>--($K991=IF('الداشبورد'!$B$7="الكل",$K991,IF('الداشبورد'!$B$7="تصدير","Y","N")))</f>
        <v/>
      </c>
      <c r="T991">
        <f>--($J991=IF('الداشبورد'!$B$8="الكل",$J991,IF('الداشبورد'!$B$8="AL","A","C")))</f>
        <v/>
      </c>
      <c r="U991">
        <f>--($I991=IF('الداشبورد'!$B$9="الكل",$I991,IF('الداشبورد'!$B$9="بدون حالة","P",'الداشبورد'!$B$9)))</f>
        <v/>
      </c>
      <c r="V991">
        <f>--($D991=IF('الداشبورد'!$B$10="الكل",$D991,'الداشبورد'!$B$10))</f>
        <v/>
      </c>
      <c r="W991">
        <f>--($G991=IF('الداشبورد'!$B$11="الكل",$G991,'الداشبورد'!$B$11))</f>
        <v/>
      </c>
      <c r="X991">
        <f>Q991*R991*S991*T991*U991*V991*W991*--($C991&lt;&gt;"")</f>
        <v/>
      </c>
    </row>
    <row r="992">
      <c r="Q992">
        <f>--($A992=IF('الداشبورد'!$B$5="الكل",$A992,'الداشبورد'!$B$5))</f>
        <v/>
      </c>
      <c r="R992">
        <f>--($E992=IF('الداشبورد'!$B$6="الكل",$E992,'الداشبورد'!$B$6))</f>
        <v/>
      </c>
      <c r="S992">
        <f>--($K992=IF('الداشبورد'!$B$7="الكل",$K992,IF('الداشبورد'!$B$7="تصدير","Y","N")))</f>
        <v/>
      </c>
      <c r="T992">
        <f>--($J992=IF('الداشبورد'!$B$8="الكل",$J992,IF('الداشبورد'!$B$8="AL","A","C")))</f>
        <v/>
      </c>
      <c r="U992">
        <f>--($I992=IF('الداشبورد'!$B$9="الكل",$I992,IF('الداشبورد'!$B$9="بدون حالة","P",'الداشبورد'!$B$9)))</f>
        <v/>
      </c>
      <c r="V992">
        <f>--($D992=IF('الداشبورد'!$B$10="الكل",$D992,'الداشبورد'!$B$10))</f>
        <v/>
      </c>
      <c r="W992">
        <f>--($G992=IF('الداشبورد'!$B$11="الكل",$G992,'الداشبورد'!$B$11))</f>
        <v/>
      </c>
      <c r="X992">
        <f>Q992*R992*S992*T992*U992*V992*W992*--($C992&lt;&gt;"")</f>
        <v/>
      </c>
    </row>
    <row r="993">
      <c r="Q993">
        <f>--($A993=IF('الداشبورد'!$B$5="الكل",$A993,'الداشبورد'!$B$5))</f>
        <v/>
      </c>
      <c r="R993">
        <f>--($E993=IF('الداشبورد'!$B$6="الكل",$E993,'الداشبورد'!$B$6))</f>
        <v/>
      </c>
      <c r="S993">
        <f>--($K993=IF('الداشبورد'!$B$7="الكل",$K993,IF('الداشبورد'!$B$7="تصدير","Y","N")))</f>
        <v/>
      </c>
      <c r="T993">
        <f>--($J993=IF('الداشبورد'!$B$8="الكل",$J993,IF('الداشبورد'!$B$8="AL","A","C")))</f>
        <v/>
      </c>
      <c r="U993">
        <f>--($I993=IF('الداشبورد'!$B$9="الكل",$I993,IF('الداشبورد'!$B$9="بدون حالة","P",'الداشبورد'!$B$9)))</f>
        <v/>
      </c>
      <c r="V993">
        <f>--($D993=IF('الداشبورد'!$B$10="الكل",$D993,'الداشبورد'!$B$10))</f>
        <v/>
      </c>
      <c r="W993">
        <f>--($G993=IF('الداشبورد'!$B$11="الكل",$G993,'الداشبورد'!$B$11))</f>
        <v/>
      </c>
      <c r="X993">
        <f>Q993*R993*S993*T993*U993*V993*W993*--($C993&lt;&gt;"")</f>
        <v/>
      </c>
    </row>
    <row r="994">
      <c r="Q994">
        <f>--($A994=IF('الداشبورد'!$B$5="الكل",$A994,'الداشبورد'!$B$5))</f>
        <v/>
      </c>
      <c r="R994">
        <f>--($E994=IF('الداشبورد'!$B$6="الكل",$E994,'الداشبورد'!$B$6))</f>
        <v/>
      </c>
      <c r="S994">
        <f>--($K994=IF('الداشبورد'!$B$7="الكل",$K994,IF('الداشبورد'!$B$7="تصدير","Y","N")))</f>
        <v/>
      </c>
      <c r="T994">
        <f>--($J994=IF('الداشبورد'!$B$8="الكل",$J994,IF('الداشبورد'!$B$8="AL","A","C")))</f>
        <v/>
      </c>
      <c r="U994">
        <f>--($I994=IF('الداشبورد'!$B$9="الكل",$I994,IF('الداشبورد'!$B$9="بدون حالة","P",'الداشبورد'!$B$9)))</f>
        <v/>
      </c>
      <c r="V994">
        <f>--($D994=IF('الداشبورد'!$B$10="الكل",$D994,'الداشبورد'!$B$10))</f>
        <v/>
      </c>
      <c r="W994">
        <f>--($G994=IF('الداشبورد'!$B$11="الكل",$G994,'الداشبورد'!$B$11))</f>
        <v/>
      </c>
      <c r="X994">
        <f>Q994*R994*S994*T994*U994*V994*W994*--($C994&lt;&gt;"")</f>
        <v/>
      </c>
    </row>
    <row r="995">
      <c r="Q995">
        <f>--($A995=IF('الداشبورد'!$B$5="الكل",$A995,'الداشبورد'!$B$5))</f>
        <v/>
      </c>
      <c r="R995">
        <f>--($E995=IF('الداشبورد'!$B$6="الكل",$E995,'الداشبورد'!$B$6))</f>
        <v/>
      </c>
      <c r="S995">
        <f>--($K995=IF('الداشبورد'!$B$7="الكل",$K995,IF('الداشبورد'!$B$7="تصدير","Y","N")))</f>
        <v/>
      </c>
      <c r="T995">
        <f>--($J995=IF('الداشبورد'!$B$8="الكل",$J995,IF('الداشبورد'!$B$8="AL","A","C")))</f>
        <v/>
      </c>
      <c r="U995">
        <f>--($I995=IF('الداشبورد'!$B$9="الكل",$I995,IF('الداشبورد'!$B$9="بدون حالة","P",'الداشبورد'!$B$9)))</f>
        <v/>
      </c>
      <c r="V995">
        <f>--($D995=IF('الداشبورد'!$B$10="الكل",$D995,'الداشبورد'!$B$10))</f>
        <v/>
      </c>
      <c r="W995">
        <f>--($G995=IF('الداشبورد'!$B$11="الكل",$G995,'الداشبورد'!$B$11))</f>
        <v/>
      </c>
      <c r="X995">
        <f>Q995*R995*S995*T995*U995*V995*W995*--($C995&lt;&gt;"")</f>
        <v/>
      </c>
    </row>
    <row r="996">
      <c r="Q996">
        <f>--($A996=IF('الداشبورد'!$B$5="الكل",$A996,'الداشبورد'!$B$5))</f>
        <v/>
      </c>
      <c r="R996">
        <f>--($E996=IF('الداشبورد'!$B$6="الكل",$E996,'الداشبورد'!$B$6))</f>
        <v/>
      </c>
      <c r="S996">
        <f>--($K996=IF('الداشبورد'!$B$7="الكل",$K996,IF('الداشبورد'!$B$7="تصدير","Y","N")))</f>
        <v/>
      </c>
      <c r="T996">
        <f>--($J996=IF('الداشبورد'!$B$8="الكل",$J996,IF('الداشبورد'!$B$8="AL","A","C")))</f>
        <v/>
      </c>
      <c r="U996">
        <f>--($I996=IF('الداشبورد'!$B$9="الكل",$I996,IF('الداشبورد'!$B$9="بدون حالة","P",'الداشبورد'!$B$9)))</f>
        <v/>
      </c>
      <c r="V996">
        <f>--($D996=IF('الداشبورد'!$B$10="الكل",$D996,'الداشبورد'!$B$10))</f>
        <v/>
      </c>
      <c r="W996">
        <f>--($G996=IF('الداشبورد'!$B$11="الكل",$G996,'الداشبورد'!$B$11))</f>
        <v/>
      </c>
      <c r="X996">
        <f>Q996*R996*S996*T996*U996*V996*W996*--($C996&lt;&gt;"")</f>
        <v/>
      </c>
    </row>
    <row r="997">
      <c r="Q997">
        <f>--($A997=IF('الداشبورد'!$B$5="الكل",$A997,'الداشبورد'!$B$5))</f>
        <v/>
      </c>
      <c r="R997">
        <f>--($E997=IF('الداشبورد'!$B$6="الكل",$E997,'الداشبورد'!$B$6))</f>
        <v/>
      </c>
      <c r="S997">
        <f>--($K997=IF('الداشبورد'!$B$7="الكل",$K997,IF('الداشبورد'!$B$7="تصدير","Y","N")))</f>
        <v/>
      </c>
      <c r="T997">
        <f>--($J997=IF('الداشبورد'!$B$8="الكل",$J997,IF('الداشبورد'!$B$8="AL","A","C")))</f>
        <v/>
      </c>
      <c r="U997">
        <f>--($I997=IF('الداشبورد'!$B$9="الكل",$I997,IF('الداشبورد'!$B$9="بدون حالة","P",'الداشبورد'!$B$9)))</f>
        <v/>
      </c>
      <c r="V997">
        <f>--($D997=IF('الداشبورد'!$B$10="الكل",$D997,'الداشبورد'!$B$10))</f>
        <v/>
      </c>
      <c r="W997">
        <f>--($G997=IF('الداشبورد'!$B$11="الكل",$G997,'الداشبورد'!$B$11))</f>
        <v/>
      </c>
      <c r="X997">
        <f>Q997*R997*S997*T997*U997*V997*W997*--($C997&lt;&gt;"")</f>
        <v/>
      </c>
    </row>
    <row r="998">
      <c r="Q998">
        <f>--($A998=IF('الداشبورد'!$B$5="الكل",$A998,'الداشبورد'!$B$5))</f>
        <v/>
      </c>
      <c r="R998">
        <f>--($E998=IF('الداشبورد'!$B$6="الكل",$E998,'الداشبورد'!$B$6))</f>
        <v/>
      </c>
      <c r="S998">
        <f>--($K998=IF('الداشبورد'!$B$7="الكل",$K998,IF('الداشبورد'!$B$7="تصدير","Y","N")))</f>
        <v/>
      </c>
      <c r="T998">
        <f>--($J998=IF('الداشبورد'!$B$8="الكل",$J998,IF('الداشبورد'!$B$8="AL","A","C")))</f>
        <v/>
      </c>
      <c r="U998">
        <f>--($I998=IF('الداشبورد'!$B$9="الكل",$I998,IF('الداشبورد'!$B$9="بدون حالة","P",'الداشبورد'!$B$9)))</f>
        <v/>
      </c>
      <c r="V998">
        <f>--($D998=IF('الداشبورد'!$B$10="الكل",$D998,'الداشبورد'!$B$10))</f>
        <v/>
      </c>
      <c r="W998">
        <f>--($G998=IF('الداشبورد'!$B$11="الكل",$G998,'الداشبورد'!$B$11))</f>
        <v/>
      </c>
      <c r="X998">
        <f>Q998*R998*S998*T998*U998*V998*W998*--($C998&lt;&gt;"")</f>
        <v/>
      </c>
    </row>
    <row r="999">
      <c r="Q999">
        <f>--($A999=IF('الداشبورد'!$B$5="الكل",$A999,'الداشبورد'!$B$5))</f>
        <v/>
      </c>
      <c r="R999">
        <f>--($E999=IF('الداشبورد'!$B$6="الكل",$E999,'الداشبورد'!$B$6))</f>
        <v/>
      </c>
      <c r="S999">
        <f>--($K999=IF('الداشبورد'!$B$7="الكل",$K999,IF('الداشبورد'!$B$7="تصدير","Y","N")))</f>
        <v/>
      </c>
      <c r="T999">
        <f>--($J999=IF('الداشبورد'!$B$8="الكل",$J999,IF('الداشبورد'!$B$8="AL","A","C")))</f>
        <v/>
      </c>
      <c r="U999">
        <f>--($I999=IF('الداشبورد'!$B$9="الكل",$I999,IF('الداشبورد'!$B$9="بدون حالة","P",'الداشبورد'!$B$9)))</f>
        <v/>
      </c>
      <c r="V999">
        <f>--($D999=IF('الداشبورد'!$B$10="الكل",$D999,'الداشبورد'!$B$10))</f>
        <v/>
      </c>
      <c r="W999">
        <f>--($G999=IF('الداشبورد'!$B$11="الكل",$G999,'الداشبورد'!$B$11))</f>
        <v/>
      </c>
      <c r="X999">
        <f>Q999*R999*S999*T999*U999*V999*W999*--($C999&lt;&gt;"")</f>
        <v/>
      </c>
    </row>
    <row r="1000">
      <c r="Q1000">
        <f>--($A1000=IF('الداشبورد'!$B$5="الكل",$A1000,'الداشبورد'!$B$5))</f>
        <v/>
      </c>
      <c r="R1000">
        <f>--($E1000=IF('الداشبورد'!$B$6="الكل",$E1000,'الداشبورد'!$B$6))</f>
        <v/>
      </c>
      <c r="S1000">
        <f>--($K1000=IF('الداشبورد'!$B$7="الكل",$K1000,IF('الداشبورد'!$B$7="تصدير","Y","N")))</f>
        <v/>
      </c>
      <c r="T1000">
        <f>--($J1000=IF('الداشبورد'!$B$8="الكل",$J1000,IF('الداشبورد'!$B$8="AL","A","C")))</f>
        <v/>
      </c>
      <c r="U1000">
        <f>--($I1000=IF('الداشبورد'!$B$9="الكل",$I1000,IF('الداشبورد'!$B$9="بدون حالة","P",'الداشبورد'!$B$9)))</f>
        <v/>
      </c>
      <c r="V1000">
        <f>--($D1000=IF('الداشبورد'!$B$10="الكل",$D1000,'الداشبورد'!$B$10))</f>
        <v/>
      </c>
      <c r="W1000">
        <f>--($G1000=IF('الداشبورد'!$B$11="الكل",$G1000,'الداشبورد'!$B$11))</f>
        <v/>
      </c>
      <c r="X1000">
        <f>Q1000*R1000*S1000*T1000*U1000*V1000*W1000*--($C1000&lt;&gt;"")</f>
        <v/>
      </c>
    </row>
    <row r="1001">
      <c r="Q1001">
        <f>--($A1001=IF('الداشبورد'!$B$5="الكل",$A1001,'الداشبورد'!$B$5))</f>
        <v/>
      </c>
      <c r="R1001">
        <f>--($E1001=IF('الداشبورد'!$B$6="الكل",$E1001,'الداشبورد'!$B$6))</f>
        <v/>
      </c>
      <c r="S1001">
        <f>--($K1001=IF('الداشبورد'!$B$7="الكل",$K1001,IF('الداشبورد'!$B$7="تصدير","Y","N")))</f>
        <v/>
      </c>
      <c r="T1001">
        <f>--($J1001=IF('الداشبورد'!$B$8="الكل",$J1001,IF('الداشبورد'!$B$8="AL","A","C")))</f>
        <v/>
      </c>
      <c r="U1001">
        <f>--($I1001=IF('الداشبورد'!$B$9="الكل",$I1001,IF('الداشبورد'!$B$9="بدون حالة","P",'الداشبورد'!$B$9)))</f>
        <v/>
      </c>
      <c r="V1001">
        <f>--($D1001=IF('الداشبورد'!$B$10="الكل",$D1001,'الداشبورد'!$B$10))</f>
        <v/>
      </c>
      <c r="W1001">
        <f>--($G1001=IF('الداشبورد'!$B$11="الكل",$G1001,'الداشبورد'!$B$11))</f>
        <v/>
      </c>
      <c r="X1001">
        <f>Q1001*R1001*S1001*T1001*U1001*V1001*W1001*--($C1001&lt;&gt;"")</f>
        <v/>
      </c>
    </row>
    <row r="1002">
      <c r="Q1002">
        <f>--($A1002=IF('الداشبورد'!$B$5="الكل",$A1002,'الداشبورد'!$B$5))</f>
        <v/>
      </c>
      <c r="R1002">
        <f>--($E1002=IF('الداشبورد'!$B$6="الكل",$E1002,'الداشبورد'!$B$6))</f>
        <v/>
      </c>
      <c r="S1002">
        <f>--($K1002=IF('الداشبورد'!$B$7="الكل",$K1002,IF('الداشبورد'!$B$7="تصدير","Y","N")))</f>
        <v/>
      </c>
      <c r="T1002">
        <f>--($J1002=IF('الداشبورد'!$B$8="الكل",$J1002,IF('الداشبورد'!$B$8="AL","A","C")))</f>
        <v/>
      </c>
      <c r="U1002">
        <f>--($I1002=IF('الداشبورد'!$B$9="الكل",$I1002,IF('الداشبورد'!$B$9="بدون حالة","P",'الداشبورد'!$B$9)))</f>
        <v/>
      </c>
      <c r="V1002">
        <f>--($D1002=IF('الداشبورد'!$B$10="الكل",$D1002,'الداشبورد'!$B$10))</f>
        <v/>
      </c>
      <c r="W1002">
        <f>--($G1002=IF('الداشبورد'!$B$11="الكل",$G1002,'الداشبورد'!$B$11))</f>
        <v/>
      </c>
      <c r="X1002">
        <f>Q1002*R1002*S1002*T1002*U1002*V1002*W1002*--($C1002&lt;&gt;"")</f>
        <v/>
      </c>
    </row>
    <row r="1003">
      <c r="Q1003">
        <f>--($A1003=IF('الداشبورد'!$B$5="الكل",$A1003,'الداشبورد'!$B$5))</f>
        <v/>
      </c>
      <c r="R1003">
        <f>--($E1003=IF('الداشبورد'!$B$6="الكل",$E1003,'الداشبورد'!$B$6))</f>
        <v/>
      </c>
      <c r="S1003">
        <f>--($K1003=IF('الداشبورد'!$B$7="الكل",$K1003,IF('الداشبورد'!$B$7="تصدير","Y","N")))</f>
        <v/>
      </c>
      <c r="T1003">
        <f>--($J1003=IF('الداشبورد'!$B$8="الكل",$J1003,IF('الداشبورد'!$B$8="AL","A","C")))</f>
        <v/>
      </c>
      <c r="U1003">
        <f>--($I1003=IF('الداشبورد'!$B$9="الكل",$I1003,IF('الداشبورد'!$B$9="بدون حالة","P",'الداشبورد'!$B$9)))</f>
        <v/>
      </c>
      <c r="V1003">
        <f>--($D1003=IF('الداشبورد'!$B$10="الكل",$D1003,'الداشبورد'!$B$10))</f>
        <v/>
      </c>
      <c r="W1003">
        <f>--($G1003=IF('الداشبورد'!$B$11="الكل",$G1003,'الداشبورد'!$B$11))</f>
        <v/>
      </c>
      <c r="X1003">
        <f>Q1003*R1003*S1003*T1003*U1003*V1003*W1003*--($C1003&lt;&gt;"")</f>
        <v/>
      </c>
    </row>
    <row r="1004">
      <c r="Q1004">
        <f>--($A1004=IF('الداشبورد'!$B$5="الكل",$A1004,'الداشبورد'!$B$5))</f>
        <v/>
      </c>
      <c r="R1004">
        <f>--($E1004=IF('الداشبورد'!$B$6="الكل",$E1004,'الداشبورد'!$B$6))</f>
        <v/>
      </c>
      <c r="S1004">
        <f>--($K1004=IF('الداشبورد'!$B$7="الكل",$K1004,IF('الداشبورد'!$B$7="تصدير","Y","N")))</f>
        <v/>
      </c>
      <c r="T1004">
        <f>--($J1004=IF('الداشبورد'!$B$8="الكل",$J1004,IF('الداشبورد'!$B$8="AL","A","C")))</f>
        <v/>
      </c>
      <c r="U1004">
        <f>--($I1004=IF('الداشبورد'!$B$9="الكل",$I1004,IF('الداشبورد'!$B$9="بدون حالة","P",'الداشبورد'!$B$9)))</f>
        <v/>
      </c>
      <c r="V1004">
        <f>--($D1004=IF('الداشبورد'!$B$10="الكل",$D1004,'الداشبورد'!$B$10))</f>
        <v/>
      </c>
      <c r="W1004">
        <f>--($G1004=IF('الداشبورد'!$B$11="الكل",$G1004,'الداشبورد'!$B$11))</f>
        <v/>
      </c>
      <c r="X1004">
        <f>Q1004*R1004*S1004*T1004*U1004*V1004*W1004*--($C1004&lt;&gt;"")</f>
        <v/>
      </c>
    </row>
    <row r="1005">
      <c r="Q1005">
        <f>--($A1005=IF('الداشبورد'!$B$5="الكل",$A1005,'الداشبورد'!$B$5))</f>
        <v/>
      </c>
      <c r="R1005">
        <f>--($E1005=IF('الداشبورد'!$B$6="الكل",$E1005,'الداشبورد'!$B$6))</f>
        <v/>
      </c>
      <c r="S1005">
        <f>--($K1005=IF('الداشبورد'!$B$7="الكل",$K1005,IF('الداشبورد'!$B$7="تصدير","Y","N")))</f>
        <v/>
      </c>
      <c r="T1005">
        <f>--($J1005=IF('الداشبورد'!$B$8="الكل",$J1005,IF('الداشبورد'!$B$8="AL","A","C")))</f>
        <v/>
      </c>
      <c r="U1005">
        <f>--($I1005=IF('الداشبورد'!$B$9="الكل",$I1005,IF('الداشبورد'!$B$9="بدون حالة","P",'الداشبورد'!$B$9)))</f>
        <v/>
      </c>
      <c r="V1005">
        <f>--($D1005=IF('الداشبورد'!$B$10="الكل",$D1005,'الداشبورد'!$B$10))</f>
        <v/>
      </c>
      <c r="W1005">
        <f>--($G1005=IF('الداشبورد'!$B$11="الكل",$G1005,'الداشبورد'!$B$11))</f>
        <v/>
      </c>
      <c r="X1005">
        <f>Q1005*R1005*S1005*T1005*U1005*V1005*W1005*--($C1005&lt;&gt;"")</f>
        <v/>
      </c>
    </row>
    <row r="1006">
      <c r="Q1006">
        <f>--($A1006=IF('الداشبورد'!$B$5="الكل",$A1006,'الداشبورد'!$B$5))</f>
        <v/>
      </c>
      <c r="R1006">
        <f>--($E1006=IF('الداشبورد'!$B$6="الكل",$E1006,'الداشبورد'!$B$6))</f>
        <v/>
      </c>
      <c r="S1006">
        <f>--($K1006=IF('الداشبورد'!$B$7="الكل",$K1006,IF('الداشبورد'!$B$7="تصدير","Y","N")))</f>
        <v/>
      </c>
      <c r="T1006">
        <f>--($J1006=IF('الداشبورد'!$B$8="الكل",$J1006,IF('الداشبورد'!$B$8="AL","A","C")))</f>
        <v/>
      </c>
      <c r="U1006">
        <f>--($I1006=IF('الداشبورد'!$B$9="الكل",$I1006,IF('الداشبورد'!$B$9="بدون حالة","P",'الداشبورد'!$B$9)))</f>
        <v/>
      </c>
      <c r="V1006">
        <f>--($D1006=IF('الداشبورد'!$B$10="الكل",$D1006,'الداشبورد'!$B$10))</f>
        <v/>
      </c>
      <c r="W1006">
        <f>--($G1006=IF('الداشبورد'!$B$11="الكل",$G1006,'الداشبورد'!$B$11))</f>
        <v/>
      </c>
      <c r="X1006">
        <f>Q1006*R1006*S1006*T1006*U1006*V1006*W1006*--($C1006&lt;&gt;"")</f>
        <v/>
      </c>
    </row>
    <row r="1007">
      <c r="Q1007">
        <f>--($A1007=IF('الداشبورد'!$B$5="الكل",$A1007,'الداشبورد'!$B$5))</f>
        <v/>
      </c>
      <c r="R1007">
        <f>--($E1007=IF('الداشبورد'!$B$6="الكل",$E1007,'الداشبورد'!$B$6))</f>
        <v/>
      </c>
      <c r="S1007">
        <f>--($K1007=IF('الداشبورد'!$B$7="الكل",$K1007,IF('الداشبورد'!$B$7="تصدير","Y","N")))</f>
        <v/>
      </c>
      <c r="T1007">
        <f>--($J1007=IF('الداشبورد'!$B$8="الكل",$J1007,IF('الداشبورد'!$B$8="AL","A","C")))</f>
        <v/>
      </c>
      <c r="U1007">
        <f>--($I1007=IF('الداشبورد'!$B$9="الكل",$I1007,IF('الداشبورد'!$B$9="بدون حالة","P",'الداشبورد'!$B$9)))</f>
        <v/>
      </c>
      <c r="V1007">
        <f>--($D1007=IF('الداشبورد'!$B$10="الكل",$D1007,'الداشبورد'!$B$10))</f>
        <v/>
      </c>
      <c r="W1007">
        <f>--($G1007=IF('الداشبورد'!$B$11="الكل",$G1007,'الداشبورد'!$B$11))</f>
        <v/>
      </c>
      <c r="X1007">
        <f>Q1007*R1007*S1007*T1007*U1007*V1007*W1007*--($C1007&lt;&gt;"")</f>
        <v/>
      </c>
    </row>
    <row r="1008">
      <c r="Q1008">
        <f>--($A1008=IF('الداشبورد'!$B$5="الكل",$A1008,'الداشبورد'!$B$5))</f>
        <v/>
      </c>
      <c r="R1008">
        <f>--($E1008=IF('الداشبورد'!$B$6="الكل",$E1008,'الداشبورد'!$B$6))</f>
        <v/>
      </c>
      <c r="S1008">
        <f>--($K1008=IF('الداشبورد'!$B$7="الكل",$K1008,IF('الداشبورد'!$B$7="تصدير","Y","N")))</f>
        <v/>
      </c>
      <c r="T1008">
        <f>--($J1008=IF('الداشبورد'!$B$8="الكل",$J1008,IF('الداشبورد'!$B$8="AL","A","C")))</f>
        <v/>
      </c>
      <c r="U1008">
        <f>--($I1008=IF('الداشبورد'!$B$9="الكل",$I1008,IF('الداشبورد'!$B$9="بدون حالة","P",'الداشبورد'!$B$9)))</f>
        <v/>
      </c>
      <c r="V1008">
        <f>--($D1008=IF('الداشبورد'!$B$10="الكل",$D1008,'الداشبورد'!$B$10))</f>
        <v/>
      </c>
      <c r="W1008">
        <f>--($G1008=IF('الداشبورد'!$B$11="الكل",$G1008,'الداشبورد'!$B$11))</f>
        <v/>
      </c>
      <c r="X1008">
        <f>Q1008*R1008*S1008*T1008*U1008*V1008*W1008*--($C1008&lt;&gt;"")</f>
        <v/>
      </c>
    </row>
    <row r="1009">
      <c r="Q1009">
        <f>--($A1009=IF('الداشبورد'!$B$5="الكل",$A1009,'الداشبورد'!$B$5))</f>
        <v/>
      </c>
      <c r="R1009">
        <f>--($E1009=IF('الداشبورد'!$B$6="الكل",$E1009,'الداشبورد'!$B$6))</f>
        <v/>
      </c>
      <c r="S1009">
        <f>--($K1009=IF('الداشبورد'!$B$7="الكل",$K1009,IF('الداشبورد'!$B$7="تصدير","Y","N")))</f>
        <v/>
      </c>
      <c r="T1009">
        <f>--($J1009=IF('الداشبورد'!$B$8="الكل",$J1009,IF('الداشبورد'!$B$8="AL","A","C")))</f>
        <v/>
      </c>
      <c r="U1009">
        <f>--($I1009=IF('الداشبورد'!$B$9="الكل",$I1009,IF('الداشبورد'!$B$9="بدون حالة","P",'الداشبورد'!$B$9)))</f>
        <v/>
      </c>
      <c r="V1009">
        <f>--($D1009=IF('الداشبورد'!$B$10="الكل",$D1009,'الداشبورد'!$B$10))</f>
        <v/>
      </c>
      <c r="W1009">
        <f>--($G1009=IF('الداشبورد'!$B$11="الكل",$G1009,'الداشبورد'!$B$11))</f>
        <v/>
      </c>
      <c r="X1009">
        <f>Q1009*R1009*S1009*T1009*U1009*V1009*W1009*--($C1009&lt;&gt;"")</f>
        <v/>
      </c>
    </row>
    <row r="1010">
      <c r="Q1010">
        <f>--($A1010=IF('الداشبورد'!$B$5="الكل",$A1010,'الداشبورد'!$B$5))</f>
        <v/>
      </c>
      <c r="R1010">
        <f>--($E1010=IF('الداشبورد'!$B$6="الكل",$E1010,'الداشبورد'!$B$6))</f>
        <v/>
      </c>
      <c r="S1010">
        <f>--($K1010=IF('الداشبورد'!$B$7="الكل",$K1010,IF('الداشبورد'!$B$7="تصدير","Y","N")))</f>
        <v/>
      </c>
      <c r="T1010">
        <f>--($J1010=IF('الداشبورد'!$B$8="الكل",$J1010,IF('الداشبورد'!$B$8="AL","A","C")))</f>
        <v/>
      </c>
      <c r="U1010">
        <f>--($I1010=IF('الداشبورد'!$B$9="الكل",$I1010,IF('الداشبورد'!$B$9="بدون حالة","P",'الداشبورد'!$B$9)))</f>
        <v/>
      </c>
      <c r="V1010">
        <f>--($D1010=IF('الداشبورد'!$B$10="الكل",$D1010,'الداشبورد'!$B$10))</f>
        <v/>
      </c>
      <c r="W1010">
        <f>--($G1010=IF('الداشبورد'!$B$11="الكل",$G1010,'الداشبورد'!$B$11))</f>
        <v/>
      </c>
      <c r="X1010">
        <f>Q1010*R1010*S1010*T1010*U1010*V1010*W1010*--($C1010&lt;&gt;"")</f>
        <v/>
      </c>
    </row>
    <row r="1011">
      <c r="Q1011">
        <f>--($A1011=IF('الداشبورد'!$B$5="الكل",$A1011,'الداشبورد'!$B$5))</f>
        <v/>
      </c>
      <c r="R1011">
        <f>--($E1011=IF('الداشبورد'!$B$6="الكل",$E1011,'الداشبورد'!$B$6))</f>
        <v/>
      </c>
      <c r="S1011">
        <f>--($K1011=IF('الداشبورد'!$B$7="الكل",$K1011,IF('الداشبورد'!$B$7="تصدير","Y","N")))</f>
        <v/>
      </c>
      <c r="T1011">
        <f>--($J1011=IF('الداشبورد'!$B$8="الكل",$J1011,IF('الداشبورد'!$B$8="AL","A","C")))</f>
        <v/>
      </c>
      <c r="U1011">
        <f>--($I1011=IF('الداشبورد'!$B$9="الكل",$I1011,IF('الداشبورد'!$B$9="بدون حالة","P",'الداشبورد'!$B$9)))</f>
        <v/>
      </c>
      <c r="V1011">
        <f>--($D1011=IF('الداشبورد'!$B$10="الكل",$D1011,'الداشبورد'!$B$10))</f>
        <v/>
      </c>
      <c r="W1011">
        <f>--($G1011=IF('الداشبورد'!$B$11="الكل",$G1011,'الداشبورد'!$B$11))</f>
        <v/>
      </c>
      <c r="X1011">
        <f>Q1011*R1011*S1011*T1011*U1011*V1011*W1011*--($C1011&lt;&gt;"")</f>
        <v/>
      </c>
    </row>
    <row r="1012">
      <c r="Q1012">
        <f>--($A1012=IF('الداشبورد'!$B$5="الكل",$A1012,'الداشبورد'!$B$5))</f>
        <v/>
      </c>
      <c r="R1012">
        <f>--($E1012=IF('الداشبورد'!$B$6="الكل",$E1012,'الداشبورد'!$B$6))</f>
        <v/>
      </c>
      <c r="S1012">
        <f>--($K1012=IF('الداشبورد'!$B$7="الكل",$K1012,IF('الداشبورد'!$B$7="تصدير","Y","N")))</f>
        <v/>
      </c>
      <c r="T1012">
        <f>--($J1012=IF('الداشبورد'!$B$8="الكل",$J1012,IF('الداشبورد'!$B$8="AL","A","C")))</f>
        <v/>
      </c>
      <c r="U1012">
        <f>--($I1012=IF('الداشبورد'!$B$9="الكل",$I1012,IF('الداشبورد'!$B$9="بدون حالة","P",'الداشبورد'!$B$9)))</f>
        <v/>
      </c>
      <c r="V1012">
        <f>--($D1012=IF('الداشبورد'!$B$10="الكل",$D1012,'الداشبورد'!$B$10))</f>
        <v/>
      </c>
      <c r="W1012">
        <f>--($G1012=IF('الداشبورد'!$B$11="الكل",$G1012,'الداشبورد'!$B$11))</f>
        <v/>
      </c>
      <c r="X1012">
        <f>Q1012*R1012*S1012*T1012*U1012*V1012*W1012*--($C1012&lt;&gt;"")</f>
        <v/>
      </c>
    </row>
    <row r="1013">
      <c r="Q1013">
        <f>--($A1013=IF('الداشبورد'!$B$5="الكل",$A1013,'الداشبورد'!$B$5))</f>
        <v/>
      </c>
      <c r="R1013">
        <f>--($E1013=IF('الداشبورد'!$B$6="الكل",$E1013,'الداشبورد'!$B$6))</f>
        <v/>
      </c>
      <c r="S1013">
        <f>--($K1013=IF('الداشبورد'!$B$7="الكل",$K1013,IF('الداشبورد'!$B$7="تصدير","Y","N")))</f>
        <v/>
      </c>
      <c r="T1013">
        <f>--($J1013=IF('الداشبورد'!$B$8="الكل",$J1013,IF('الداشبورد'!$B$8="AL","A","C")))</f>
        <v/>
      </c>
      <c r="U1013">
        <f>--($I1013=IF('الداشبورد'!$B$9="الكل",$I1013,IF('الداشبورد'!$B$9="بدون حالة","P",'الداشبورد'!$B$9)))</f>
        <v/>
      </c>
      <c r="V1013">
        <f>--($D1013=IF('الداشبورد'!$B$10="الكل",$D1013,'الداشبورد'!$B$10))</f>
        <v/>
      </c>
      <c r="W1013">
        <f>--($G1013=IF('الداشبورد'!$B$11="الكل",$G1013,'الداشبورد'!$B$11))</f>
        <v/>
      </c>
      <c r="X1013">
        <f>Q1013*R1013*S1013*T1013*U1013*V1013*W1013*--($C1013&lt;&gt;"")</f>
        <v/>
      </c>
    </row>
    <row r="1014">
      <c r="Q1014">
        <f>--($A1014=IF('الداشبورد'!$B$5="الكل",$A1014,'الداشبورد'!$B$5))</f>
        <v/>
      </c>
      <c r="R1014">
        <f>--($E1014=IF('الداشبورد'!$B$6="الكل",$E1014,'الداشبورد'!$B$6))</f>
        <v/>
      </c>
      <c r="S1014">
        <f>--($K1014=IF('الداشبورد'!$B$7="الكل",$K1014,IF('الداشبورد'!$B$7="تصدير","Y","N")))</f>
        <v/>
      </c>
      <c r="T1014">
        <f>--($J1014=IF('الداشبورد'!$B$8="الكل",$J1014,IF('الداشبورد'!$B$8="AL","A","C")))</f>
        <v/>
      </c>
      <c r="U1014">
        <f>--($I1014=IF('الداشبورد'!$B$9="الكل",$I1014,IF('الداشبورد'!$B$9="بدون حالة","P",'الداشبورد'!$B$9)))</f>
        <v/>
      </c>
      <c r="V1014">
        <f>--($D1014=IF('الداشبورد'!$B$10="الكل",$D1014,'الداشبورد'!$B$10))</f>
        <v/>
      </c>
      <c r="W1014">
        <f>--($G1014=IF('الداشبورد'!$B$11="الكل",$G1014,'الداشبورد'!$B$11))</f>
        <v/>
      </c>
      <c r="X1014">
        <f>Q1014*R1014*S1014*T1014*U1014*V1014*W1014*--($C1014&lt;&gt;"")</f>
        <v/>
      </c>
    </row>
    <row r="1015">
      <c r="Q1015">
        <f>--($A1015=IF('الداشبورد'!$B$5="الكل",$A1015,'الداشبورد'!$B$5))</f>
        <v/>
      </c>
      <c r="R1015">
        <f>--($E1015=IF('الداشبورد'!$B$6="الكل",$E1015,'الداشبورد'!$B$6))</f>
        <v/>
      </c>
      <c r="S1015">
        <f>--($K1015=IF('الداشبورد'!$B$7="الكل",$K1015,IF('الداشبورد'!$B$7="تصدير","Y","N")))</f>
        <v/>
      </c>
      <c r="T1015">
        <f>--($J1015=IF('الداشبورد'!$B$8="الكل",$J1015,IF('الداشبورد'!$B$8="AL","A","C")))</f>
        <v/>
      </c>
      <c r="U1015">
        <f>--($I1015=IF('الداشبورد'!$B$9="الكل",$I1015,IF('الداشبورد'!$B$9="بدون حالة","P",'الداشبورد'!$B$9)))</f>
        <v/>
      </c>
      <c r="V1015">
        <f>--($D1015=IF('الداشبورد'!$B$10="الكل",$D1015,'الداشبورد'!$B$10))</f>
        <v/>
      </c>
      <c r="W1015">
        <f>--($G1015=IF('الداشبورد'!$B$11="الكل",$G1015,'الداشبورد'!$B$11))</f>
        <v/>
      </c>
      <c r="X1015">
        <f>Q1015*R1015*S1015*T1015*U1015*V1015*W1015*--($C1015&lt;&gt;"")</f>
        <v/>
      </c>
    </row>
    <row r="1016">
      <c r="Q1016">
        <f>--($A1016=IF('الداشبورد'!$B$5="الكل",$A1016,'الداشبورد'!$B$5))</f>
        <v/>
      </c>
      <c r="R1016">
        <f>--($E1016=IF('الداشبورد'!$B$6="الكل",$E1016,'الداشبورد'!$B$6))</f>
        <v/>
      </c>
      <c r="S1016">
        <f>--($K1016=IF('الداشبورد'!$B$7="الكل",$K1016,IF('الداشبورد'!$B$7="تصدير","Y","N")))</f>
        <v/>
      </c>
      <c r="T1016">
        <f>--($J1016=IF('الداشبورد'!$B$8="الكل",$J1016,IF('الداشبورد'!$B$8="AL","A","C")))</f>
        <v/>
      </c>
      <c r="U1016">
        <f>--($I1016=IF('الداشبورد'!$B$9="الكل",$I1016,IF('الداشبورد'!$B$9="بدون حالة","P",'الداشبورد'!$B$9)))</f>
        <v/>
      </c>
      <c r="V1016">
        <f>--($D1016=IF('الداشبورد'!$B$10="الكل",$D1016,'الداشبورد'!$B$10))</f>
        <v/>
      </c>
      <c r="W1016">
        <f>--($G1016=IF('الداشبورد'!$B$11="الكل",$G1016,'الداشبورد'!$B$11))</f>
        <v/>
      </c>
      <c r="X1016">
        <f>Q1016*R1016*S1016*T1016*U1016*V1016*W1016*--($C1016&lt;&gt;"")</f>
        <v/>
      </c>
    </row>
    <row r="1017">
      <c r="Q1017">
        <f>--($A1017=IF('الداشبورد'!$B$5="الكل",$A1017,'الداشبورد'!$B$5))</f>
        <v/>
      </c>
      <c r="R1017">
        <f>--($E1017=IF('الداشبورد'!$B$6="الكل",$E1017,'الداشبورد'!$B$6))</f>
        <v/>
      </c>
      <c r="S1017">
        <f>--($K1017=IF('الداشبورد'!$B$7="الكل",$K1017,IF('الداشبورد'!$B$7="تصدير","Y","N")))</f>
        <v/>
      </c>
      <c r="T1017">
        <f>--($J1017=IF('الداشبورد'!$B$8="الكل",$J1017,IF('الداشبورد'!$B$8="AL","A","C")))</f>
        <v/>
      </c>
      <c r="U1017">
        <f>--($I1017=IF('الداشبورد'!$B$9="الكل",$I1017,IF('الداشبورد'!$B$9="بدون حالة","P",'الداشبورد'!$B$9)))</f>
        <v/>
      </c>
      <c r="V1017">
        <f>--($D1017=IF('الداشبورد'!$B$10="الكل",$D1017,'الداشبورد'!$B$10))</f>
        <v/>
      </c>
      <c r="W1017">
        <f>--($G1017=IF('الداشبورد'!$B$11="الكل",$G1017,'الداشبورد'!$B$11))</f>
        <v/>
      </c>
      <c r="X1017">
        <f>Q1017*R1017*S1017*T1017*U1017*V1017*W1017*--($C1017&lt;&gt;"")</f>
        <v/>
      </c>
    </row>
    <row r="1018">
      <c r="Q1018">
        <f>--($A1018=IF('الداشبورد'!$B$5="الكل",$A1018,'الداشبورد'!$B$5))</f>
        <v/>
      </c>
      <c r="R1018">
        <f>--($E1018=IF('الداشبورد'!$B$6="الكل",$E1018,'الداشبورد'!$B$6))</f>
        <v/>
      </c>
      <c r="S1018">
        <f>--($K1018=IF('الداشبورد'!$B$7="الكل",$K1018,IF('الداشبورد'!$B$7="تصدير","Y","N")))</f>
        <v/>
      </c>
      <c r="T1018">
        <f>--($J1018=IF('الداشبورد'!$B$8="الكل",$J1018,IF('الداشبورد'!$B$8="AL","A","C")))</f>
        <v/>
      </c>
      <c r="U1018">
        <f>--($I1018=IF('الداشبورد'!$B$9="الكل",$I1018,IF('الداشبورد'!$B$9="بدون حالة","P",'الداشبورد'!$B$9)))</f>
        <v/>
      </c>
      <c r="V1018">
        <f>--($D1018=IF('الداشبورد'!$B$10="الكل",$D1018,'الداشبورد'!$B$10))</f>
        <v/>
      </c>
      <c r="W1018">
        <f>--($G1018=IF('الداشبورد'!$B$11="الكل",$G1018,'الداشبورد'!$B$11))</f>
        <v/>
      </c>
      <c r="X1018">
        <f>Q1018*R1018*S1018*T1018*U1018*V1018*W1018*--($C1018&lt;&gt;"")</f>
        <v/>
      </c>
    </row>
    <row r="1019">
      <c r="Q1019">
        <f>--($A1019=IF('الداشبورد'!$B$5="الكل",$A1019,'الداشبورد'!$B$5))</f>
        <v/>
      </c>
      <c r="R1019">
        <f>--($E1019=IF('الداشبورد'!$B$6="الكل",$E1019,'الداشبورد'!$B$6))</f>
        <v/>
      </c>
      <c r="S1019">
        <f>--($K1019=IF('الداشبورد'!$B$7="الكل",$K1019,IF('الداشبورد'!$B$7="تصدير","Y","N")))</f>
        <v/>
      </c>
      <c r="T1019">
        <f>--($J1019=IF('الداشبورد'!$B$8="الكل",$J1019,IF('الداشبورد'!$B$8="AL","A","C")))</f>
        <v/>
      </c>
      <c r="U1019">
        <f>--($I1019=IF('الداشبورد'!$B$9="الكل",$I1019,IF('الداشبورد'!$B$9="بدون حالة","P",'الداشبورد'!$B$9)))</f>
        <v/>
      </c>
      <c r="V1019">
        <f>--($D1019=IF('الداشبورد'!$B$10="الكل",$D1019,'الداشبورد'!$B$10))</f>
        <v/>
      </c>
      <c r="W1019">
        <f>--($G1019=IF('الداشبورد'!$B$11="الكل",$G1019,'الداشبورد'!$B$11))</f>
        <v/>
      </c>
      <c r="X1019">
        <f>Q1019*R1019*S1019*T1019*U1019*V1019*W1019*--($C1019&lt;&gt;"")</f>
        <v/>
      </c>
    </row>
    <row r="1020">
      <c r="Q1020">
        <f>--($A1020=IF('الداشبورد'!$B$5="الكل",$A1020,'الداشبورد'!$B$5))</f>
        <v/>
      </c>
      <c r="R1020">
        <f>--($E1020=IF('الداشبورد'!$B$6="الكل",$E1020,'الداشبورد'!$B$6))</f>
        <v/>
      </c>
      <c r="S1020">
        <f>--($K1020=IF('الداشبورد'!$B$7="الكل",$K1020,IF('الداشبورد'!$B$7="تصدير","Y","N")))</f>
        <v/>
      </c>
      <c r="T1020">
        <f>--($J1020=IF('الداشبورد'!$B$8="الكل",$J1020,IF('الداشبورد'!$B$8="AL","A","C")))</f>
        <v/>
      </c>
      <c r="U1020">
        <f>--($I1020=IF('الداشبورد'!$B$9="الكل",$I1020,IF('الداشبورد'!$B$9="بدون حالة","P",'الداشبورد'!$B$9)))</f>
        <v/>
      </c>
      <c r="V1020">
        <f>--($D1020=IF('الداشبورد'!$B$10="الكل",$D1020,'الداشبورد'!$B$10))</f>
        <v/>
      </c>
      <c r="W1020">
        <f>--($G1020=IF('الداشبورد'!$B$11="الكل",$G1020,'الداشبورد'!$B$11))</f>
        <v/>
      </c>
      <c r="X1020">
        <f>Q1020*R1020*S1020*T1020*U1020*V1020*W1020*--($C1020&lt;&gt;"")</f>
        <v/>
      </c>
    </row>
    <row r="1021">
      <c r="Q1021">
        <f>--($A1021=IF('الداشبورد'!$B$5="الكل",$A1021,'الداشبورد'!$B$5))</f>
        <v/>
      </c>
      <c r="R1021">
        <f>--($E1021=IF('الداشبورد'!$B$6="الكل",$E1021,'الداشبورد'!$B$6))</f>
        <v/>
      </c>
      <c r="S1021">
        <f>--($K1021=IF('الداشبورد'!$B$7="الكل",$K1021,IF('الداشبورد'!$B$7="تصدير","Y","N")))</f>
        <v/>
      </c>
      <c r="T1021">
        <f>--($J1021=IF('الداشبورد'!$B$8="الكل",$J1021,IF('الداشبورد'!$B$8="AL","A","C")))</f>
        <v/>
      </c>
      <c r="U1021">
        <f>--($I1021=IF('الداشبورد'!$B$9="الكل",$I1021,IF('الداشبورد'!$B$9="بدون حالة","P",'الداشبورد'!$B$9)))</f>
        <v/>
      </c>
      <c r="V1021">
        <f>--($D1021=IF('الداشبورد'!$B$10="الكل",$D1021,'الداشبورد'!$B$10))</f>
        <v/>
      </c>
      <c r="W1021">
        <f>--($G1021=IF('الداشبورد'!$B$11="الكل",$G1021,'الداشبورد'!$B$11))</f>
        <v/>
      </c>
      <c r="X1021">
        <f>Q1021*R1021*S1021*T1021*U1021*V1021*W1021*--($C1021&lt;&gt;"")</f>
        <v/>
      </c>
    </row>
    <row r="1022">
      <c r="Q1022">
        <f>--($A1022=IF('الداشبورد'!$B$5="الكل",$A1022,'الداشبورد'!$B$5))</f>
        <v/>
      </c>
      <c r="R1022">
        <f>--($E1022=IF('الداشبورد'!$B$6="الكل",$E1022,'الداشبورد'!$B$6))</f>
        <v/>
      </c>
      <c r="S1022">
        <f>--($K1022=IF('الداشبورد'!$B$7="الكل",$K1022,IF('الداشبورد'!$B$7="تصدير","Y","N")))</f>
        <v/>
      </c>
      <c r="T1022">
        <f>--($J1022=IF('الداشبورد'!$B$8="الكل",$J1022,IF('الداشبورد'!$B$8="AL","A","C")))</f>
        <v/>
      </c>
      <c r="U1022">
        <f>--($I1022=IF('الداشبورد'!$B$9="الكل",$I1022,IF('الداشبورد'!$B$9="بدون حالة","P",'الداشبورد'!$B$9)))</f>
        <v/>
      </c>
      <c r="V1022">
        <f>--($D1022=IF('الداشبورد'!$B$10="الكل",$D1022,'الداشبورد'!$B$10))</f>
        <v/>
      </c>
      <c r="W1022">
        <f>--($G1022=IF('الداشبورد'!$B$11="الكل",$G1022,'الداشبورد'!$B$11))</f>
        <v/>
      </c>
      <c r="X1022">
        <f>Q1022*R1022*S1022*T1022*U1022*V1022*W1022*--($C1022&lt;&gt;"")</f>
        <v/>
      </c>
    </row>
    <row r="1023">
      <c r="Q1023">
        <f>--($A1023=IF('الداشبورد'!$B$5="الكل",$A1023,'الداشبورد'!$B$5))</f>
        <v/>
      </c>
      <c r="R1023">
        <f>--($E1023=IF('الداشبورد'!$B$6="الكل",$E1023,'الداشبورد'!$B$6))</f>
        <v/>
      </c>
      <c r="S1023">
        <f>--($K1023=IF('الداشبورد'!$B$7="الكل",$K1023,IF('الداشبورد'!$B$7="تصدير","Y","N")))</f>
        <v/>
      </c>
      <c r="T1023">
        <f>--($J1023=IF('الداشبورد'!$B$8="الكل",$J1023,IF('الداشبورد'!$B$8="AL","A","C")))</f>
        <v/>
      </c>
      <c r="U1023">
        <f>--($I1023=IF('الداشبورد'!$B$9="الكل",$I1023,IF('الداشبورد'!$B$9="بدون حالة","P",'الداشبورد'!$B$9)))</f>
        <v/>
      </c>
      <c r="V1023">
        <f>--($D1023=IF('الداشبورد'!$B$10="الكل",$D1023,'الداشبورد'!$B$10))</f>
        <v/>
      </c>
      <c r="W1023">
        <f>--($G1023=IF('الداشبورد'!$B$11="الكل",$G1023,'الداشبورد'!$B$11))</f>
        <v/>
      </c>
      <c r="X1023">
        <f>Q1023*R1023*S1023*T1023*U1023*V1023*W1023*--($C1023&lt;&gt;"")</f>
        <v/>
      </c>
    </row>
    <row r="1024">
      <c r="Q1024">
        <f>--($A1024=IF('الداشبورد'!$B$5="الكل",$A1024,'الداشبورد'!$B$5))</f>
        <v/>
      </c>
      <c r="R1024">
        <f>--($E1024=IF('الداشبورد'!$B$6="الكل",$E1024,'الداشبورد'!$B$6))</f>
        <v/>
      </c>
      <c r="S1024">
        <f>--($K1024=IF('الداشبورد'!$B$7="الكل",$K1024,IF('الداشبورد'!$B$7="تصدير","Y","N")))</f>
        <v/>
      </c>
      <c r="T1024">
        <f>--($J1024=IF('الداشبورد'!$B$8="الكل",$J1024,IF('الداشبورد'!$B$8="AL","A","C")))</f>
        <v/>
      </c>
      <c r="U1024">
        <f>--($I1024=IF('الداشبورد'!$B$9="الكل",$I1024,IF('الداشبورد'!$B$9="بدون حالة","P",'الداشبورد'!$B$9)))</f>
        <v/>
      </c>
      <c r="V1024">
        <f>--($D1024=IF('الداشبورد'!$B$10="الكل",$D1024,'الداشبورد'!$B$10))</f>
        <v/>
      </c>
      <c r="W1024">
        <f>--($G1024=IF('الداشبورد'!$B$11="الكل",$G1024,'الداشبورد'!$B$11))</f>
        <v/>
      </c>
      <c r="X1024">
        <f>Q1024*R1024*S1024*T1024*U1024*V1024*W1024*--($C1024&lt;&gt;"")</f>
        <v/>
      </c>
    </row>
    <row r="1025">
      <c r="Q1025">
        <f>--($A1025=IF('الداشبورد'!$B$5="الكل",$A1025,'الداشبورد'!$B$5))</f>
        <v/>
      </c>
      <c r="R1025">
        <f>--($E1025=IF('الداشبورد'!$B$6="الكل",$E1025,'الداشبورد'!$B$6))</f>
        <v/>
      </c>
      <c r="S1025">
        <f>--($K1025=IF('الداشبورد'!$B$7="الكل",$K1025,IF('الداشبورد'!$B$7="تصدير","Y","N")))</f>
        <v/>
      </c>
      <c r="T1025">
        <f>--($J1025=IF('الداشبورد'!$B$8="الكل",$J1025,IF('الداشبورد'!$B$8="AL","A","C")))</f>
        <v/>
      </c>
      <c r="U1025">
        <f>--($I1025=IF('الداشبورد'!$B$9="الكل",$I1025,IF('الداشبورد'!$B$9="بدون حالة","P",'الداشبورد'!$B$9)))</f>
        <v/>
      </c>
      <c r="V1025">
        <f>--($D1025=IF('الداشبورد'!$B$10="الكل",$D1025,'الداشبورد'!$B$10))</f>
        <v/>
      </c>
      <c r="W1025">
        <f>--($G1025=IF('الداشبورد'!$B$11="الكل",$G1025,'الداشبورد'!$B$11))</f>
        <v/>
      </c>
      <c r="X1025">
        <f>Q1025*R1025*S1025*T1025*U1025*V1025*W1025*--($C1025&lt;&gt;"")</f>
        <v/>
      </c>
    </row>
    <row r="1026">
      <c r="Q1026">
        <f>--($A1026=IF('الداشبورد'!$B$5="الكل",$A1026,'الداشبورد'!$B$5))</f>
        <v/>
      </c>
      <c r="R1026">
        <f>--($E1026=IF('الداشبورد'!$B$6="الكل",$E1026,'الداشبورد'!$B$6))</f>
        <v/>
      </c>
      <c r="S1026">
        <f>--($K1026=IF('الداشبورد'!$B$7="الكل",$K1026,IF('الداشبورد'!$B$7="تصدير","Y","N")))</f>
        <v/>
      </c>
      <c r="T1026">
        <f>--($J1026=IF('الداشبورد'!$B$8="الكل",$J1026,IF('الداشبورد'!$B$8="AL","A","C")))</f>
        <v/>
      </c>
      <c r="U1026">
        <f>--($I1026=IF('الداشبورد'!$B$9="الكل",$I1026,IF('الداشبورد'!$B$9="بدون حالة","P",'الداشبورد'!$B$9)))</f>
        <v/>
      </c>
      <c r="V1026">
        <f>--($D1026=IF('الداشبورد'!$B$10="الكل",$D1026,'الداشبورد'!$B$10))</f>
        <v/>
      </c>
      <c r="W1026">
        <f>--($G1026=IF('الداشبورد'!$B$11="الكل",$G1026,'الداشبورد'!$B$11))</f>
        <v/>
      </c>
      <c r="X1026">
        <f>Q1026*R1026*S1026*T1026*U1026*V1026*W1026*--($C1026&lt;&gt;"")</f>
        <v/>
      </c>
    </row>
    <row r="1027">
      <c r="Q1027">
        <f>--($A1027=IF('الداشبورد'!$B$5="الكل",$A1027,'الداشبورد'!$B$5))</f>
        <v/>
      </c>
      <c r="R1027">
        <f>--($E1027=IF('الداشبورد'!$B$6="الكل",$E1027,'الداشبورد'!$B$6))</f>
        <v/>
      </c>
      <c r="S1027">
        <f>--($K1027=IF('الداشبورد'!$B$7="الكل",$K1027,IF('الداشبورد'!$B$7="تصدير","Y","N")))</f>
        <v/>
      </c>
      <c r="T1027">
        <f>--($J1027=IF('الداشبورد'!$B$8="الكل",$J1027,IF('الداشبورد'!$B$8="AL","A","C")))</f>
        <v/>
      </c>
      <c r="U1027">
        <f>--($I1027=IF('الداشبورد'!$B$9="الكل",$I1027,IF('الداشبورد'!$B$9="بدون حالة","P",'الداشبورد'!$B$9)))</f>
        <v/>
      </c>
      <c r="V1027">
        <f>--($D1027=IF('الداشبورد'!$B$10="الكل",$D1027,'الداشبورد'!$B$10))</f>
        <v/>
      </c>
      <c r="W1027">
        <f>--($G1027=IF('الداشبورد'!$B$11="الكل",$G1027,'الداشبورد'!$B$11))</f>
        <v/>
      </c>
      <c r="X1027">
        <f>Q1027*R1027*S1027*T1027*U1027*V1027*W1027*--($C1027&lt;&gt;"")</f>
        <v/>
      </c>
    </row>
    <row r="1028">
      <c r="Q1028">
        <f>--($A1028=IF('الداشبورد'!$B$5="الكل",$A1028,'الداشبورد'!$B$5))</f>
        <v/>
      </c>
      <c r="R1028">
        <f>--($E1028=IF('الداشبورد'!$B$6="الكل",$E1028,'الداشبورد'!$B$6))</f>
        <v/>
      </c>
      <c r="S1028">
        <f>--($K1028=IF('الداشبورد'!$B$7="الكل",$K1028,IF('الداشبورد'!$B$7="تصدير","Y","N")))</f>
        <v/>
      </c>
      <c r="T1028">
        <f>--($J1028=IF('الداشبورد'!$B$8="الكل",$J1028,IF('الداشبورد'!$B$8="AL","A","C")))</f>
        <v/>
      </c>
      <c r="U1028">
        <f>--($I1028=IF('الداشبورد'!$B$9="الكل",$I1028,IF('الداشبورد'!$B$9="بدون حالة","P",'الداشبورد'!$B$9)))</f>
        <v/>
      </c>
      <c r="V1028">
        <f>--($D1028=IF('الداشبورد'!$B$10="الكل",$D1028,'الداشبورد'!$B$10))</f>
        <v/>
      </c>
      <c r="W1028">
        <f>--($G1028=IF('الداشبورد'!$B$11="الكل",$G1028,'الداشبورد'!$B$11))</f>
        <v/>
      </c>
      <c r="X1028">
        <f>Q1028*R1028*S1028*T1028*U1028*V1028*W1028*--($C1028&lt;&gt;"")</f>
        <v/>
      </c>
    </row>
    <row r="1029">
      <c r="Q1029">
        <f>--($A1029=IF('الداشبورد'!$B$5="الكل",$A1029,'الداشبورد'!$B$5))</f>
        <v/>
      </c>
      <c r="R1029">
        <f>--($E1029=IF('الداشبورد'!$B$6="الكل",$E1029,'الداشبورد'!$B$6))</f>
        <v/>
      </c>
      <c r="S1029">
        <f>--($K1029=IF('الداشبورد'!$B$7="الكل",$K1029,IF('الداشبورد'!$B$7="تصدير","Y","N")))</f>
        <v/>
      </c>
      <c r="T1029">
        <f>--($J1029=IF('الداشبورد'!$B$8="الكل",$J1029,IF('الداشبورد'!$B$8="AL","A","C")))</f>
        <v/>
      </c>
      <c r="U1029">
        <f>--($I1029=IF('الداشبورد'!$B$9="الكل",$I1029,IF('الداشبورد'!$B$9="بدون حالة","P",'الداشبورد'!$B$9)))</f>
        <v/>
      </c>
      <c r="V1029">
        <f>--($D1029=IF('الداشبورد'!$B$10="الكل",$D1029,'الداشبورد'!$B$10))</f>
        <v/>
      </c>
      <c r="W1029">
        <f>--($G1029=IF('الداشبورد'!$B$11="الكل",$G1029,'الداشبورد'!$B$11))</f>
        <v/>
      </c>
      <c r="X1029">
        <f>Q1029*R1029*S1029*T1029*U1029*V1029*W1029*--($C1029&lt;&gt;"")</f>
        <v/>
      </c>
    </row>
    <row r="1030">
      <c r="Q1030">
        <f>--($A1030=IF('الداشبورد'!$B$5="الكل",$A1030,'الداشبورد'!$B$5))</f>
        <v/>
      </c>
      <c r="R1030">
        <f>--($E1030=IF('الداشبورد'!$B$6="الكل",$E1030,'الداشبورد'!$B$6))</f>
        <v/>
      </c>
      <c r="S1030">
        <f>--($K1030=IF('الداشبورد'!$B$7="الكل",$K1030,IF('الداشبورد'!$B$7="تصدير","Y","N")))</f>
        <v/>
      </c>
      <c r="T1030">
        <f>--($J1030=IF('الداشبورد'!$B$8="الكل",$J1030,IF('الداشبورد'!$B$8="AL","A","C")))</f>
        <v/>
      </c>
      <c r="U1030">
        <f>--($I1030=IF('الداشبورد'!$B$9="الكل",$I1030,IF('الداشبورد'!$B$9="بدون حالة","P",'الداشبورد'!$B$9)))</f>
        <v/>
      </c>
      <c r="V1030">
        <f>--($D1030=IF('الداشبورد'!$B$10="الكل",$D1030,'الداشبورد'!$B$10))</f>
        <v/>
      </c>
      <c r="W1030">
        <f>--($G1030=IF('الداشبورد'!$B$11="الكل",$G1030,'الداشبورد'!$B$11))</f>
        <v/>
      </c>
      <c r="X1030">
        <f>Q1030*R1030*S1030*T1030*U1030*V1030*W1030*--($C1030&lt;&gt;"")</f>
        <v/>
      </c>
    </row>
    <row r="1031">
      <c r="Q1031">
        <f>--($A1031=IF('الداشبورد'!$B$5="الكل",$A1031,'الداشبورد'!$B$5))</f>
        <v/>
      </c>
      <c r="R1031">
        <f>--($E1031=IF('الداشبورد'!$B$6="الكل",$E1031,'الداشبورد'!$B$6))</f>
        <v/>
      </c>
      <c r="S1031">
        <f>--($K1031=IF('الداشبورد'!$B$7="الكل",$K1031,IF('الداشبورد'!$B$7="تصدير","Y","N")))</f>
        <v/>
      </c>
      <c r="T1031">
        <f>--($J1031=IF('الداشبورد'!$B$8="الكل",$J1031,IF('الداشبورد'!$B$8="AL","A","C")))</f>
        <v/>
      </c>
      <c r="U1031">
        <f>--($I1031=IF('الداشبورد'!$B$9="الكل",$I1031,IF('الداشبورد'!$B$9="بدون حالة","P",'الداشبورد'!$B$9)))</f>
        <v/>
      </c>
      <c r="V1031">
        <f>--($D1031=IF('الداشبورد'!$B$10="الكل",$D1031,'الداشبورد'!$B$10))</f>
        <v/>
      </c>
      <c r="W1031">
        <f>--($G1031=IF('الداشبورد'!$B$11="الكل",$G1031,'الداشبورد'!$B$11))</f>
        <v/>
      </c>
      <c r="X1031">
        <f>Q1031*R1031*S1031*T1031*U1031*V1031*W1031*--($C1031&lt;&gt;"")</f>
        <v/>
      </c>
    </row>
    <row r="1032">
      <c r="Q1032">
        <f>--($A1032=IF('الداشبورد'!$B$5="الكل",$A1032,'الداشبورد'!$B$5))</f>
        <v/>
      </c>
      <c r="R1032">
        <f>--($E1032=IF('الداشبورد'!$B$6="الكل",$E1032,'الداشبورد'!$B$6))</f>
        <v/>
      </c>
      <c r="S1032">
        <f>--($K1032=IF('الداشبورد'!$B$7="الكل",$K1032,IF('الداشبورد'!$B$7="تصدير","Y","N")))</f>
        <v/>
      </c>
      <c r="T1032">
        <f>--($J1032=IF('الداشبورد'!$B$8="الكل",$J1032,IF('الداشبورد'!$B$8="AL","A","C")))</f>
        <v/>
      </c>
      <c r="U1032">
        <f>--($I1032=IF('الداشبورد'!$B$9="الكل",$I1032,IF('الداشبورد'!$B$9="بدون حالة","P",'الداشبورد'!$B$9)))</f>
        <v/>
      </c>
      <c r="V1032">
        <f>--($D1032=IF('الداشبورد'!$B$10="الكل",$D1032,'الداشبورد'!$B$10))</f>
        <v/>
      </c>
      <c r="W1032">
        <f>--($G1032=IF('الداشبورد'!$B$11="الكل",$G1032,'الداشبورد'!$B$11))</f>
        <v/>
      </c>
      <c r="X1032">
        <f>Q1032*R1032*S1032*T1032*U1032*V1032*W1032*--($C1032&lt;&gt;"")</f>
        <v/>
      </c>
    </row>
    <row r="1033">
      <c r="Q1033">
        <f>--($A1033=IF('الداشبورد'!$B$5="الكل",$A1033,'الداشبورد'!$B$5))</f>
        <v/>
      </c>
      <c r="R1033">
        <f>--($E1033=IF('الداشبورد'!$B$6="الكل",$E1033,'الداشبورد'!$B$6))</f>
        <v/>
      </c>
      <c r="S1033">
        <f>--($K1033=IF('الداشبورد'!$B$7="الكل",$K1033,IF('الداشبورد'!$B$7="تصدير","Y","N")))</f>
        <v/>
      </c>
      <c r="T1033">
        <f>--($J1033=IF('الداشبورد'!$B$8="الكل",$J1033,IF('الداشبورد'!$B$8="AL","A","C")))</f>
        <v/>
      </c>
      <c r="U1033">
        <f>--($I1033=IF('الداشبورد'!$B$9="الكل",$I1033,IF('الداشبورد'!$B$9="بدون حالة","P",'الداشبورد'!$B$9)))</f>
        <v/>
      </c>
      <c r="V1033">
        <f>--($D1033=IF('الداشبورد'!$B$10="الكل",$D1033,'الداشبورد'!$B$10))</f>
        <v/>
      </c>
      <c r="W1033">
        <f>--($G1033=IF('الداشبورد'!$B$11="الكل",$G1033,'الداشبورد'!$B$11))</f>
        <v/>
      </c>
      <c r="X1033">
        <f>Q1033*R1033*S1033*T1033*U1033*V1033*W1033*--($C1033&lt;&gt;"")</f>
        <v/>
      </c>
    </row>
    <row r="1034">
      <c r="Q1034">
        <f>--($A1034=IF('الداشبورد'!$B$5="الكل",$A1034,'الداشبورد'!$B$5))</f>
        <v/>
      </c>
      <c r="R1034">
        <f>--($E1034=IF('الداشبورد'!$B$6="الكل",$E1034,'الداشبورد'!$B$6))</f>
        <v/>
      </c>
      <c r="S1034">
        <f>--($K1034=IF('الداشبورد'!$B$7="الكل",$K1034,IF('الداشبورد'!$B$7="تصدير","Y","N")))</f>
        <v/>
      </c>
      <c r="T1034">
        <f>--($J1034=IF('الداشبورد'!$B$8="الكل",$J1034,IF('الداشبورد'!$B$8="AL","A","C")))</f>
        <v/>
      </c>
      <c r="U1034">
        <f>--($I1034=IF('الداشبورد'!$B$9="الكل",$I1034,IF('الداشبورد'!$B$9="بدون حالة","P",'الداشبورد'!$B$9)))</f>
        <v/>
      </c>
      <c r="V1034">
        <f>--($D1034=IF('الداشبورد'!$B$10="الكل",$D1034,'الداشبورد'!$B$10))</f>
        <v/>
      </c>
      <c r="W1034">
        <f>--($G1034=IF('الداشبورد'!$B$11="الكل",$G1034,'الداشبورد'!$B$11))</f>
        <v/>
      </c>
      <c r="X1034">
        <f>Q1034*R1034*S1034*T1034*U1034*V1034*W1034*--($C1034&lt;&gt;"")</f>
        <v/>
      </c>
    </row>
    <row r="1035">
      <c r="Q1035">
        <f>--($A1035=IF('الداشبورد'!$B$5="الكل",$A1035,'الداشبورد'!$B$5))</f>
        <v/>
      </c>
      <c r="R1035">
        <f>--($E1035=IF('الداشبورد'!$B$6="الكل",$E1035,'الداشبورد'!$B$6))</f>
        <v/>
      </c>
      <c r="S1035">
        <f>--($K1035=IF('الداشبورد'!$B$7="الكل",$K1035,IF('الداشبورد'!$B$7="تصدير","Y","N")))</f>
        <v/>
      </c>
      <c r="T1035">
        <f>--($J1035=IF('الداشبورد'!$B$8="الكل",$J1035,IF('الداشبورد'!$B$8="AL","A","C")))</f>
        <v/>
      </c>
      <c r="U1035">
        <f>--($I1035=IF('الداشبورد'!$B$9="الكل",$I1035,IF('الداشبورد'!$B$9="بدون حالة","P",'الداشبورد'!$B$9)))</f>
        <v/>
      </c>
      <c r="V1035">
        <f>--($D1035=IF('الداشبورد'!$B$10="الكل",$D1035,'الداشبورد'!$B$10))</f>
        <v/>
      </c>
      <c r="W1035">
        <f>--($G1035=IF('الداشبورد'!$B$11="الكل",$G1035,'الداشبورد'!$B$11))</f>
        <v/>
      </c>
      <c r="X1035">
        <f>Q1035*R1035*S1035*T1035*U1035*V1035*W1035*--($C1035&lt;&gt;"")</f>
        <v/>
      </c>
    </row>
    <row r="1036">
      <c r="Q1036">
        <f>--($A1036=IF('الداشبورد'!$B$5="الكل",$A1036,'الداشبورد'!$B$5))</f>
        <v/>
      </c>
      <c r="R1036">
        <f>--($E1036=IF('الداشبورد'!$B$6="الكل",$E1036,'الداشبورد'!$B$6))</f>
        <v/>
      </c>
      <c r="S1036">
        <f>--($K1036=IF('الداشبورد'!$B$7="الكل",$K1036,IF('الداشبورد'!$B$7="تصدير","Y","N")))</f>
        <v/>
      </c>
      <c r="T1036">
        <f>--($J1036=IF('الداشبورد'!$B$8="الكل",$J1036,IF('الداشبورد'!$B$8="AL","A","C")))</f>
        <v/>
      </c>
      <c r="U1036">
        <f>--($I1036=IF('الداشبورد'!$B$9="الكل",$I1036,IF('الداشبورد'!$B$9="بدون حالة","P",'الداشبورد'!$B$9)))</f>
        <v/>
      </c>
      <c r="V1036">
        <f>--($D1036=IF('الداشبورد'!$B$10="الكل",$D1036,'الداشبورد'!$B$10))</f>
        <v/>
      </c>
      <c r="W1036">
        <f>--($G1036=IF('الداشبورد'!$B$11="الكل",$G1036,'الداشبورد'!$B$11))</f>
        <v/>
      </c>
      <c r="X1036">
        <f>Q1036*R1036*S1036*T1036*U1036*V1036*W1036*--($C1036&lt;&gt;"")</f>
        <v/>
      </c>
    </row>
    <row r="1037">
      <c r="Q1037">
        <f>--($A1037=IF('الداشبورد'!$B$5="الكل",$A1037,'الداشبورد'!$B$5))</f>
        <v/>
      </c>
      <c r="R1037">
        <f>--($E1037=IF('الداشبورد'!$B$6="الكل",$E1037,'الداشبورد'!$B$6))</f>
        <v/>
      </c>
      <c r="S1037">
        <f>--($K1037=IF('الداشبورد'!$B$7="الكل",$K1037,IF('الداشبورد'!$B$7="تصدير","Y","N")))</f>
        <v/>
      </c>
      <c r="T1037">
        <f>--($J1037=IF('الداشبورد'!$B$8="الكل",$J1037,IF('الداشبورد'!$B$8="AL","A","C")))</f>
        <v/>
      </c>
      <c r="U1037">
        <f>--($I1037=IF('الداشبورد'!$B$9="الكل",$I1037,IF('الداشبورد'!$B$9="بدون حالة","P",'الداشبورد'!$B$9)))</f>
        <v/>
      </c>
      <c r="V1037">
        <f>--($D1037=IF('الداشبورد'!$B$10="الكل",$D1037,'الداشبورد'!$B$10))</f>
        <v/>
      </c>
      <c r="W1037">
        <f>--($G1037=IF('الداشبورد'!$B$11="الكل",$G1037,'الداشبورد'!$B$11))</f>
        <v/>
      </c>
      <c r="X1037">
        <f>Q1037*R1037*S1037*T1037*U1037*V1037*W1037*--($C1037&lt;&gt;"")</f>
        <v/>
      </c>
    </row>
    <row r="1038">
      <c r="Q1038">
        <f>--($A1038=IF('الداشبورد'!$B$5="الكل",$A1038,'الداشبورد'!$B$5))</f>
        <v/>
      </c>
      <c r="R1038">
        <f>--($E1038=IF('الداشبورد'!$B$6="الكل",$E1038,'الداشبورد'!$B$6))</f>
        <v/>
      </c>
      <c r="S1038">
        <f>--($K1038=IF('الداشبورد'!$B$7="الكل",$K1038,IF('الداشبورد'!$B$7="تصدير","Y","N")))</f>
        <v/>
      </c>
      <c r="T1038">
        <f>--($J1038=IF('الداشبورد'!$B$8="الكل",$J1038,IF('الداشبورد'!$B$8="AL","A","C")))</f>
        <v/>
      </c>
      <c r="U1038">
        <f>--($I1038=IF('الداشبورد'!$B$9="الكل",$I1038,IF('الداشبورد'!$B$9="بدون حالة","P",'الداشبورد'!$B$9)))</f>
        <v/>
      </c>
      <c r="V1038">
        <f>--($D1038=IF('الداشبورد'!$B$10="الكل",$D1038,'الداشبورد'!$B$10))</f>
        <v/>
      </c>
      <c r="W1038">
        <f>--($G1038=IF('الداشبورد'!$B$11="الكل",$G1038,'الداشبورد'!$B$11))</f>
        <v/>
      </c>
      <c r="X1038">
        <f>Q1038*R1038*S1038*T1038*U1038*V1038*W1038*--($C1038&lt;&gt;"")</f>
        <v/>
      </c>
    </row>
    <row r="1039">
      <c r="Q1039">
        <f>--($A1039=IF('الداشبورد'!$B$5="الكل",$A1039,'الداشبورد'!$B$5))</f>
        <v/>
      </c>
      <c r="R1039">
        <f>--($E1039=IF('الداشبورد'!$B$6="الكل",$E1039,'الداشبورد'!$B$6))</f>
        <v/>
      </c>
      <c r="S1039">
        <f>--($K1039=IF('الداشبورد'!$B$7="الكل",$K1039,IF('الداشبورد'!$B$7="تصدير","Y","N")))</f>
        <v/>
      </c>
      <c r="T1039">
        <f>--($J1039=IF('الداشبورد'!$B$8="الكل",$J1039,IF('الداشبورد'!$B$8="AL","A","C")))</f>
        <v/>
      </c>
      <c r="U1039">
        <f>--($I1039=IF('الداشبورد'!$B$9="الكل",$I1039,IF('الداشبورد'!$B$9="بدون حالة","P",'الداشبورد'!$B$9)))</f>
        <v/>
      </c>
      <c r="V1039">
        <f>--($D1039=IF('الداشبورد'!$B$10="الكل",$D1039,'الداشبورد'!$B$10))</f>
        <v/>
      </c>
      <c r="W1039">
        <f>--($G1039=IF('الداشبورد'!$B$11="الكل",$G1039,'الداشبورد'!$B$11))</f>
        <v/>
      </c>
      <c r="X1039">
        <f>Q1039*R1039*S1039*T1039*U1039*V1039*W1039*--($C1039&lt;&gt;"")</f>
        <v/>
      </c>
    </row>
    <row r="1040">
      <c r="Q1040">
        <f>--($A1040=IF('الداشبورد'!$B$5="الكل",$A1040,'الداشبورد'!$B$5))</f>
        <v/>
      </c>
      <c r="R1040">
        <f>--($E1040=IF('الداشبورد'!$B$6="الكل",$E1040,'الداشبورد'!$B$6))</f>
        <v/>
      </c>
      <c r="S1040">
        <f>--($K1040=IF('الداشبورد'!$B$7="الكل",$K1040,IF('الداشبورد'!$B$7="تصدير","Y","N")))</f>
        <v/>
      </c>
      <c r="T1040">
        <f>--($J1040=IF('الداشبورد'!$B$8="الكل",$J1040,IF('الداشبورد'!$B$8="AL","A","C")))</f>
        <v/>
      </c>
      <c r="U1040">
        <f>--($I1040=IF('الداشبورد'!$B$9="الكل",$I1040,IF('الداشبورد'!$B$9="بدون حالة","P",'الداشبورد'!$B$9)))</f>
        <v/>
      </c>
      <c r="V1040">
        <f>--($D1040=IF('الداشبورد'!$B$10="الكل",$D1040,'الداشبورد'!$B$10))</f>
        <v/>
      </c>
      <c r="W1040">
        <f>--($G1040=IF('الداشبورد'!$B$11="الكل",$G1040,'الداشبورد'!$B$11))</f>
        <v/>
      </c>
      <c r="X1040">
        <f>Q1040*R1040*S1040*T1040*U1040*V1040*W1040*--($C1040&lt;&gt;"")</f>
        <v/>
      </c>
    </row>
    <row r="1041">
      <c r="Q1041">
        <f>--($A1041=IF('الداشبورد'!$B$5="الكل",$A1041,'الداشبورد'!$B$5))</f>
        <v/>
      </c>
      <c r="R1041">
        <f>--($E1041=IF('الداشبورد'!$B$6="الكل",$E1041,'الداشبورد'!$B$6))</f>
        <v/>
      </c>
      <c r="S1041">
        <f>--($K1041=IF('الداشبورد'!$B$7="الكل",$K1041,IF('الداشبورد'!$B$7="تصدير","Y","N")))</f>
        <v/>
      </c>
      <c r="T1041">
        <f>--($J1041=IF('الداشبورد'!$B$8="الكل",$J1041,IF('الداشبورد'!$B$8="AL","A","C")))</f>
        <v/>
      </c>
      <c r="U1041">
        <f>--($I1041=IF('الداشبورد'!$B$9="الكل",$I1041,IF('الداشبورد'!$B$9="بدون حالة","P",'الداشبورد'!$B$9)))</f>
        <v/>
      </c>
      <c r="V1041">
        <f>--($D1041=IF('الداشبورد'!$B$10="الكل",$D1041,'الداشبورد'!$B$10))</f>
        <v/>
      </c>
      <c r="W1041">
        <f>--($G1041=IF('الداشبورد'!$B$11="الكل",$G1041,'الداشبورد'!$B$11))</f>
        <v/>
      </c>
      <c r="X1041">
        <f>Q1041*R1041*S1041*T1041*U1041*V1041*W1041*--($C1041&lt;&gt;"")</f>
        <v/>
      </c>
    </row>
    <row r="1042">
      <c r="Q1042">
        <f>--($A1042=IF('الداشبورد'!$B$5="الكل",$A1042,'الداشبورد'!$B$5))</f>
        <v/>
      </c>
      <c r="R1042">
        <f>--($E1042=IF('الداشبورد'!$B$6="الكل",$E1042,'الداشبورد'!$B$6))</f>
        <v/>
      </c>
      <c r="S1042">
        <f>--($K1042=IF('الداشبورد'!$B$7="الكل",$K1042,IF('الداشبورد'!$B$7="تصدير","Y","N")))</f>
        <v/>
      </c>
      <c r="T1042">
        <f>--($J1042=IF('الداشبورد'!$B$8="الكل",$J1042,IF('الداشبورد'!$B$8="AL","A","C")))</f>
        <v/>
      </c>
      <c r="U1042">
        <f>--($I1042=IF('الداشبورد'!$B$9="الكل",$I1042,IF('الداشبورد'!$B$9="بدون حالة","P",'الداشبورد'!$B$9)))</f>
        <v/>
      </c>
      <c r="V1042">
        <f>--($D1042=IF('الداشبورد'!$B$10="الكل",$D1042,'الداشبورد'!$B$10))</f>
        <v/>
      </c>
      <c r="W1042">
        <f>--($G1042=IF('الداشبورد'!$B$11="الكل",$G1042,'الداشبورد'!$B$11))</f>
        <v/>
      </c>
      <c r="X1042">
        <f>Q1042*R1042*S1042*T1042*U1042*V1042*W1042*--($C1042&lt;&gt;"")</f>
        <v/>
      </c>
    </row>
    <row r="1043">
      <c r="Q1043">
        <f>--($A1043=IF('الداشبورد'!$B$5="الكل",$A1043,'الداشبورد'!$B$5))</f>
        <v/>
      </c>
      <c r="R1043">
        <f>--($E1043=IF('الداشبورد'!$B$6="الكل",$E1043,'الداشبورد'!$B$6))</f>
        <v/>
      </c>
      <c r="S1043">
        <f>--($K1043=IF('الداشبورد'!$B$7="الكل",$K1043,IF('الداشبورد'!$B$7="تصدير","Y","N")))</f>
        <v/>
      </c>
      <c r="T1043">
        <f>--($J1043=IF('الداشبورد'!$B$8="الكل",$J1043,IF('الداشبورد'!$B$8="AL","A","C")))</f>
        <v/>
      </c>
      <c r="U1043">
        <f>--($I1043=IF('الداشبورد'!$B$9="الكل",$I1043,IF('الداشبورد'!$B$9="بدون حالة","P",'الداشبورد'!$B$9)))</f>
        <v/>
      </c>
      <c r="V1043">
        <f>--($D1043=IF('الداشبورد'!$B$10="الكل",$D1043,'الداشبورد'!$B$10))</f>
        <v/>
      </c>
      <c r="W1043">
        <f>--($G1043=IF('الداشبورد'!$B$11="الكل",$G1043,'الداشبورد'!$B$11))</f>
        <v/>
      </c>
      <c r="X1043">
        <f>Q1043*R1043*S1043*T1043*U1043*V1043*W1043*--($C1043&lt;&gt;"")</f>
        <v/>
      </c>
    </row>
    <row r="1044">
      <c r="Q1044">
        <f>--($A1044=IF('الداشبورد'!$B$5="الكل",$A1044,'الداشبورد'!$B$5))</f>
        <v/>
      </c>
      <c r="R1044">
        <f>--($E1044=IF('الداشبورد'!$B$6="الكل",$E1044,'الداشبورد'!$B$6))</f>
        <v/>
      </c>
      <c r="S1044">
        <f>--($K1044=IF('الداشبورد'!$B$7="الكل",$K1044,IF('الداشبورد'!$B$7="تصدير","Y","N")))</f>
        <v/>
      </c>
      <c r="T1044">
        <f>--($J1044=IF('الداشبورد'!$B$8="الكل",$J1044,IF('الداشبورد'!$B$8="AL","A","C")))</f>
        <v/>
      </c>
      <c r="U1044">
        <f>--($I1044=IF('الداشبورد'!$B$9="الكل",$I1044,IF('الداشبورد'!$B$9="بدون حالة","P",'الداشبورد'!$B$9)))</f>
        <v/>
      </c>
      <c r="V1044">
        <f>--($D1044=IF('الداشبورد'!$B$10="الكل",$D1044,'الداشبورد'!$B$10))</f>
        <v/>
      </c>
      <c r="W1044">
        <f>--($G1044=IF('الداشبورد'!$B$11="الكل",$G1044,'الداشبورد'!$B$11))</f>
        <v/>
      </c>
      <c r="X1044">
        <f>Q1044*R1044*S1044*T1044*U1044*V1044*W1044*--($C1044&lt;&gt;"")</f>
        <v/>
      </c>
    </row>
    <row r="1045">
      <c r="Q1045">
        <f>--($A1045=IF('الداشبورد'!$B$5="الكل",$A1045,'الداشبورد'!$B$5))</f>
        <v/>
      </c>
      <c r="R1045">
        <f>--($E1045=IF('الداشبورد'!$B$6="الكل",$E1045,'الداشبورد'!$B$6))</f>
        <v/>
      </c>
      <c r="S1045">
        <f>--($K1045=IF('الداشبورد'!$B$7="الكل",$K1045,IF('الداشبورد'!$B$7="تصدير","Y","N")))</f>
        <v/>
      </c>
      <c r="T1045">
        <f>--($J1045=IF('الداشبورد'!$B$8="الكل",$J1045,IF('الداشبورد'!$B$8="AL","A","C")))</f>
        <v/>
      </c>
      <c r="U1045">
        <f>--($I1045=IF('الداشبورد'!$B$9="الكل",$I1045,IF('الداشبورد'!$B$9="بدون حالة","P",'الداشبورد'!$B$9)))</f>
        <v/>
      </c>
      <c r="V1045">
        <f>--($D1045=IF('الداشبورد'!$B$10="الكل",$D1045,'الداشبورد'!$B$10))</f>
        <v/>
      </c>
      <c r="W1045">
        <f>--($G1045=IF('الداشبورد'!$B$11="الكل",$G1045,'الداشبورد'!$B$11))</f>
        <v/>
      </c>
      <c r="X1045">
        <f>Q1045*R1045*S1045*T1045*U1045*V1045*W1045*--($C1045&lt;&gt;"")</f>
        <v/>
      </c>
    </row>
    <row r="1046">
      <c r="Q1046">
        <f>--($A1046=IF('الداشبورد'!$B$5="الكل",$A1046,'الداشبورد'!$B$5))</f>
        <v/>
      </c>
      <c r="R1046">
        <f>--($E1046=IF('الداشبورد'!$B$6="الكل",$E1046,'الداشبورد'!$B$6))</f>
        <v/>
      </c>
      <c r="S1046">
        <f>--($K1046=IF('الداشبورد'!$B$7="الكل",$K1046,IF('الداشبورد'!$B$7="تصدير","Y","N")))</f>
        <v/>
      </c>
      <c r="T1046">
        <f>--($J1046=IF('الداشبورد'!$B$8="الكل",$J1046,IF('الداشبورد'!$B$8="AL","A","C")))</f>
        <v/>
      </c>
      <c r="U1046">
        <f>--($I1046=IF('الداشبورد'!$B$9="الكل",$I1046,IF('الداشبورد'!$B$9="بدون حالة","P",'الداشبورد'!$B$9)))</f>
        <v/>
      </c>
      <c r="V1046">
        <f>--($D1046=IF('الداشبورد'!$B$10="الكل",$D1046,'الداشبورد'!$B$10))</f>
        <v/>
      </c>
      <c r="W1046">
        <f>--($G1046=IF('الداشبورد'!$B$11="الكل",$G1046,'الداشبورد'!$B$11))</f>
        <v/>
      </c>
      <c r="X1046">
        <f>Q1046*R1046*S1046*T1046*U1046*V1046*W1046*--($C1046&lt;&gt;"")</f>
        <v/>
      </c>
    </row>
    <row r="1047">
      <c r="Q1047">
        <f>--($A1047=IF('الداشبورد'!$B$5="الكل",$A1047,'الداشبورد'!$B$5))</f>
        <v/>
      </c>
      <c r="R1047">
        <f>--($E1047=IF('الداشبورد'!$B$6="الكل",$E1047,'الداشبورد'!$B$6))</f>
        <v/>
      </c>
      <c r="S1047">
        <f>--($K1047=IF('الداشبورد'!$B$7="الكل",$K1047,IF('الداشبورد'!$B$7="تصدير","Y","N")))</f>
        <v/>
      </c>
      <c r="T1047">
        <f>--($J1047=IF('الداشبورد'!$B$8="الكل",$J1047,IF('الداشبورد'!$B$8="AL","A","C")))</f>
        <v/>
      </c>
      <c r="U1047">
        <f>--($I1047=IF('الداشبورد'!$B$9="الكل",$I1047,IF('الداشبورد'!$B$9="بدون حالة","P",'الداشبورد'!$B$9)))</f>
        <v/>
      </c>
      <c r="V1047">
        <f>--($D1047=IF('الداشبورد'!$B$10="الكل",$D1047,'الداشبورد'!$B$10))</f>
        <v/>
      </c>
      <c r="W1047">
        <f>--($G1047=IF('الداشبورد'!$B$11="الكل",$G1047,'الداشبورد'!$B$11))</f>
        <v/>
      </c>
      <c r="X1047">
        <f>Q1047*R1047*S1047*T1047*U1047*V1047*W1047*--($C1047&lt;&gt;"")</f>
        <v/>
      </c>
    </row>
    <row r="1048">
      <c r="Q1048">
        <f>--($A1048=IF('الداشبورد'!$B$5="الكل",$A1048,'الداشبورد'!$B$5))</f>
        <v/>
      </c>
      <c r="R1048">
        <f>--($E1048=IF('الداشبورد'!$B$6="الكل",$E1048,'الداشبورد'!$B$6))</f>
        <v/>
      </c>
      <c r="S1048">
        <f>--($K1048=IF('الداشبورد'!$B$7="الكل",$K1048,IF('الداشبورد'!$B$7="تصدير","Y","N")))</f>
        <v/>
      </c>
      <c r="T1048">
        <f>--($J1048=IF('الداشبورد'!$B$8="الكل",$J1048,IF('الداشبورد'!$B$8="AL","A","C")))</f>
        <v/>
      </c>
      <c r="U1048">
        <f>--($I1048=IF('الداشبورد'!$B$9="الكل",$I1048,IF('الداشبورد'!$B$9="بدون حالة","P",'الداشبورد'!$B$9)))</f>
        <v/>
      </c>
      <c r="V1048">
        <f>--($D1048=IF('الداشبورد'!$B$10="الكل",$D1048,'الداشبورد'!$B$10))</f>
        <v/>
      </c>
      <c r="W1048">
        <f>--($G1048=IF('الداشبورد'!$B$11="الكل",$G1048,'الداشبورد'!$B$11))</f>
        <v/>
      </c>
      <c r="X1048">
        <f>Q1048*R1048*S1048*T1048*U1048*V1048*W1048*--($C1048&lt;&gt;"")</f>
        <v/>
      </c>
    </row>
    <row r="1049">
      <c r="Q1049">
        <f>--($A1049=IF('الداشبورد'!$B$5="الكل",$A1049,'الداشبورد'!$B$5))</f>
        <v/>
      </c>
      <c r="R1049">
        <f>--($E1049=IF('الداشبورد'!$B$6="الكل",$E1049,'الداشبورد'!$B$6))</f>
        <v/>
      </c>
      <c r="S1049">
        <f>--($K1049=IF('الداشبورد'!$B$7="الكل",$K1049,IF('الداشبورد'!$B$7="تصدير","Y","N")))</f>
        <v/>
      </c>
      <c r="T1049">
        <f>--($J1049=IF('الداشبورد'!$B$8="الكل",$J1049,IF('الداشبورد'!$B$8="AL","A","C")))</f>
        <v/>
      </c>
      <c r="U1049">
        <f>--($I1049=IF('الداشبورد'!$B$9="الكل",$I1049,IF('الداشبورد'!$B$9="بدون حالة","P",'الداشبورد'!$B$9)))</f>
        <v/>
      </c>
      <c r="V1049">
        <f>--($D1049=IF('الداشبورد'!$B$10="الكل",$D1049,'الداشبورد'!$B$10))</f>
        <v/>
      </c>
      <c r="W1049">
        <f>--($G1049=IF('الداشبورد'!$B$11="الكل",$G1049,'الداشبورد'!$B$11))</f>
        <v/>
      </c>
      <c r="X1049">
        <f>Q1049*R1049*S1049*T1049*U1049*V1049*W1049*--($C1049&lt;&gt;"")</f>
        <v/>
      </c>
    </row>
    <row r="1050">
      <c r="Q1050">
        <f>--($A1050=IF('الداشبورد'!$B$5="الكل",$A1050,'الداشبورد'!$B$5))</f>
        <v/>
      </c>
      <c r="R1050">
        <f>--($E1050=IF('الداشبورد'!$B$6="الكل",$E1050,'الداشبورد'!$B$6))</f>
        <v/>
      </c>
      <c r="S1050">
        <f>--($K1050=IF('الداشبورد'!$B$7="الكل",$K1050,IF('الداشبورد'!$B$7="تصدير","Y","N")))</f>
        <v/>
      </c>
      <c r="T1050">
        <f>--($J1050=IF('الداشبورد'!$B$8="الكل",$J1050,IF('الداشبورد'!$B$8="AL","A","C")))</f>
        <v/>
      </c>
      <c r="U1050">
        <f>--($I1050=IF('الداشبورد'!$B$9="الكل",$I1050,IF('الداشبورد'!$B$9="بدون حالة","P",'الداشبورد'!$B$9)))</f>
        <v/>
      </c>
      <c r="V1050">
        <f>--($D1050=IF('الداشبورد'!$B$10="الكل",$D1050,'الداشبورد'!$B$10))</f>
        <v/>
      </c>
      <c r="W1050">
        <f>--($G1050=IF('الداشبورد'!$B$11="الكل",$G1050,'الداشبورد'!$B$11))</f>
        <v/>
      </c>
      <c r="X1050">
        <f>Q1050*R1050*S1050*T1050*U1050*V1050*W1050*--($C1050&lt;&gt;"")</f>
        <v/>
      </c>
    </row>
    <row r="1051">
      <c r="Q1051">
        <f>--($A1051=IF('الداشبورد'!$B$5="الكل",$A1051,'الداشبورد'!$B$5))</f>
        <v/>
      </c>
      <c r="R1051">
        <f>--($E1051=IF('الداشبورد'!$B$6="الكل",$E1051,'الداشبورد'!$B$6))</f>
        <v/>
      </c>
      <c r="S1051">
        <f>--($K1051=IF('الداشبورد'!$B$7="الكل",$K1051,IF('الداشبورد'!$B$7="تصدير","Y","N")))</f>
        <v/>
      </c>
      <c r="T1051">
        <f>--($J1051=IF('الداشبورد'!$B$8="الكل",$J1051,IF('الداشبورد'!$B$8="AL","A","C")))</f>
        <v/>
      </c>
      <c r="U1051">
        <f>--($I1051=IF('الداشبورد'!$B$9="الكل",$I1051,IF('الداشبورد'!$B$9="بدون حالة","P",'الداشبورد'!$B$9)))</f>
        <v/>
      </c>
      <c r="V1051">
        <f>--($D1051=IF('الداشبورد'!$B$10="الكل",$D1051,'الداشبورد'!$B$10))</f>
        <v/>
      </c>
      <c r="W1051">
        <f>--($G1051=IF('الداشبورد'!$B$11="الكل",$G1051,'الداشبورد'!$B$11))</f>
        <v/>
      </c>
      <c r="X1051">
        <f>Q1051*R1051*S1051*T1051*U1051*V1051*W1051*--($C1051&lt;&gt;"")</f>
        <v/>
      </c>
    </row>
    <row r="1052">
      <c r="Q1052">
        <f>--($A1052=IF('الداشبورد'!$B$5="الكل",$A1052,'الداشبورد'!$B$5))</f>
        <v/>
      </c>
      <c r="R1052">
        <f>--($E1052=IF('الداشبورد'!$B$6="الكل",$E1052,'الداشبورد'!$B$6))</f>
        <v/>
      </c>
      <c r="S1052">
        <f>--($K1052=IF('الداشبورد'!$B$7="الكل",$K1052,IF('الداشبورد'!$B$7="تصدير","Y","N")))</f>
        <v/>
      </c>
      <c r="T1052">
        <f>--($J1052=IF('الداشبورد'!$B$8="الكل",$J1052,IF('الداشبورد'!$B$8="AL","A","C")))</f>
        <v/>
      </c>
      <c r="U1052">
        <f>--($I1052=IF('الداشبورد'!$B$9="الكل",$I1052,IF('الداشبورد'!$B$9="بدون حالة","P",'الداشبورد'!$B$9)))</f>
        <v/>
      </c>
      <c r="V1052">
        <f>--($D1052=IF('الداشبورد'!$B$10="الكل",$D1052,'الداشبورد'!$B$10))</f>
        <v/>
      </c>
      <c r="W1052">
        <f>--($G1052=IF('الداشبورد'!$B$11="الكل",$G1052,'الداشبورد'!$B$11))</f>
        <v/>
      </c>
      <c r="X1052">
        <f>Q1052*R1052*S1052*T1052*U1052*V1052*W1052*--($C1052&lt;&gt;"")</f>
        <v/>
      </c>
    </row>
    <row r="1053">
      <c r="Q1053">
        <f>--($A1053=IF('الداشبورد'!$B$5="الكل",$A1053,'الداشبورد'!$B$5))</f>
        <v/>
      </c>
      <c r="R1053">
        <f>--($E1053=IF('الداشبورد'!$B$6="الكل",$E1053,'الداشبورد'!$B$6))</f>
        <v/>
      </c>
      <c r="S1053">
        <f>--($K1053=IF('الداشبورد'!$B$7="الكل",$K1053,IF('الداشبورد'!$B$7="تصدير","Y","N")))</f>
        <v/>
      </c>
      <c r="T1053">
        <f>--($J1053=IF('الداشبورد'!$B$8="الكل",$J1053,IF('الداشبورد'!$B$8="AL","A","C")))</f>
        <v/>
      </c>
      <c r="U1053">
        <f>--($I1053=IF('الداشبورد'!$B$9="الكل",$I1053,IF('الداشبورد'!$B$9="بدون حالة","P",'الداشبورد'!$B$9)))</f>
        <v/>
      </c>
      <c r="V1053">
        <f>--($D1053=IF('الداشبورد'!$B$10="الكل",$D1053,'الداشبورد'!$B$10))</f>
        <v/>
      </c>
      <c r="W1053">
        <f>--($G1053=IF('الداشبورد'!$B$11="الكل",$G1053,'الداشبورد'!$B$11))</f>
        <v/>
      </c>
      <c r="X1053">
        <f>Q1053*R1053*S1053*T1053*U1053*V1053*W1053*--($C1053&lt;&gt;"")</f>
        <v/>
      </c>
    </row>
    <row r="1054">
      <c r="Q1054">
        <f>--($A1054=IF('الداشبورد'!$B$5="الكل",$A1054,'الداشبورد'!$B$5))</f>
        <v/>
      </c>
      <c r="R1054">
        <f>--($E1054=IF('الداشبورد'!$B$6="الكل",$E1054,'الداشبورد'!$B$6))</f>
        <v/>
      </c>
      <c r="S1054">
        <f>--($K1054=IF('الداشبورد'!$B$7="الكل",$K1054,IF('الداشبورد'!$B$7="تصدير","Y","N")))</f>
        <v/>
      </c>
      <c r="T1054">
        <f>--($J1054=IF('الداشبورد'!$B$8="الكل",$J1054,IF('الداشبورد'!$B$8="AL","A","C")))</f>
        <v/>
      </c>
      <c r="U1054">
        <f>--($I1054=IF('الداشبورد'!$B$9="الكل",$I1054,IF('الداشبورد'!$B$9="بدون حالة","P",'الداشبورد'!$B$9)))</f>
        <v/>
      </c>
      <c r="V1054">
        <f>--($D1054=IF('الداشبورد'!$B$10="الكل",$D1054,'الداشبورد'!$B$10))</f>
        <v/>
      </c>
      <c r="W1054">
        <f>--($G1054=IF('الداشبورد'!$B$11="الكل",$G1054,'الداشبورد'!$B$11))</f>
        <v/>
      </c>
      <c r="X1054">
        <f>Q1054*R1054*S1054*T1054*U1054*V1054*W1054*--($C1054&lt;&gt;"")</f>
        <v/>
      </c>
    </row>
    <row r="1055">
      <c r="Q1055">
        <f>--($A1055=IF('الداشبورد'!$B$5="الكل",$A1055,'الداشبورد'!$B$5))</f>
        <v/>
      </c>
      <c r="R1055">
        <f>--($E1055=IF('الداشبورد'!$B$6="الكل",$E1055,'الداشبورد'!$B$6))</f>
        <v/>
      </c>
      <c r="S1055">
        <f>--($K1055=IF('الداشبورد'!$B$7="الكل",$K1055,IF('الداشبورد'!$B$7="تصدير","Y","N")))</f>
        <v/>
      </c>
      <c r="T1055">
        <f>--($J1055=IF('الداشبورد'!$B$8="الكل",$J1055,IF('الداشبورد'!$B$8="AL","A","C")))</f>
        <v/>
      </c>
      <c r="U1055">
        <f>--($I1055=IF('الداشبورد'!$B$9="الكل",$I1055,IF('الداشبورد'!$B$9="بدون حالة","P",'الداشبورد'!$B$9)))</f>
        <v/>
      </c>
      <c r="V1055">
        <f>--($D1055=IF('الداشبورد'!$B$10="الكل",$D1055,'الداشبورد'!$B$10))</f>
        <v/>
      </c>
      <c r="W1055">
        <f>--($G1055=IF('الداشبورد'!$B$11="الكل",$G1055,'الداشبورد'!$B$11))</f>
        <v/>
      </c>
      <c r="X1055">
        <f>Q1055*R1055*S1055*T1055*U1055*V1055*W1055*--($C1055&lt;&gt;"")</f>
        <v/>
      </c>
    </row>
    <row r="1056">
      <c r="Q1056">
        <f>--($A1056=IF('الداشبورد'!$B$5="الكل",$A1056,'الداشبورد'!$B$5))</f>
        <v/>
      </c>
      <c r="R1056">
        <f>--($E1056=IF('الداشبورد'!$B$6="الكل",$E1056,'الداشبورد'!$B$6))</f>
        <v/>
      </c>
      <c r="S1056">
        <f>--($K1056=IF('الداشبورد'!$B$7="الكل",$K1056,IF('الداشبورد'!$B$7="تصدير","Y","N")))</f>
        <v/>
      </c>
      <c r="T1056">
        <f>--($J1056=IF('الداشبورد'!$B$8="الكل",$J1056,IF('الداشبورد'!$B$8="AL","A","C")))</f>
        <v/>
      </c>
      <c r="U1056">
        <f>--($I1056=IF('الداشبورد'!$B$9="الكل",$I1056,IF('الداشبورد'!$B$9="بدون حالة","P",'الداشبورد'!$B$9)))</f>
        <v/>
      </c>
      <c r="V1056">
        <f>--($D1056=IF('الداشبورد'!$B$10="الكل",$D1056,'الداشبورد'!$B$10))</f>
        <v/>
      </c>
      <c r="W1056">
        <f>--($G1056=IF('الداشبورد'!$B$11="الكل",$G1056,'الداشبورد'!$B$11))</f>
        <v/>
      </c>
      <c r="X1056">
        <f>Q1056*R1056*S1056*T1056*U1056*V1056*W1056*--($C1056&lt;&gt;"")</f>
        <v/>
      </c>
    </row>
    <row r="1057">
      <c r="Q1057">
        <f>--($A1057=IF('الداشبورد'!$B$5="الكل",$A1057,'الداشبورد'!$B$5))</f>
        <v/>
      </c>
      <c r="R1057">
        <f>--($E1057=IF('الداشبورد'!$B$6="الكل",$E1057,'الداشبورد'!$B$6))</f>
        <v/>
      </c>
      <c r="S1057">
        <f>--($K1057=IF('الداشبورد'!$B$7="الكل",$K1057,IF('الداشبورد'!$B$7="تصدير","Y","N")))</f>
        <v/>
      </c>
      <c r="T1057">
        <f>--($J1057=IF('الداشبورد'!$B$8="الكل",$J1057,IF('الداشبورد'!$B$8="AL","A","C")))</f>
        <v/>
      </c>
      <c r="U1057">
        <f>--($I1057=IF('الداشبورد'!$B$9="الكل",$I1057,IF('الداشبورد'!$B$9="بدون حالة","P",'الداشبورد'!$B$9)))</f>
        <v/>
      </c>
      <c r="V1057">
        <f>--($D1057=IF('الداشبورد'!$B$10="الكل",$D1057,'الداشبورد'!$B$10))</f>
        <v/>
      </c>
      <c r="W1057">
        <f>--($G1057=IF('الداشبورد'!$B$11="الكل",$G1057,'الداشبورد'!$B$11))</f>
        <v/>
      </c>
      <c r="X1057">
        <f>Q1057*R1057*S1057*T1057*U1057*V1057*W1057*--($C1057&lt;&gt;"")</f>
        <v/>
      </c>
    </row>
    <row r="1058">
      <c r="Q1058">
        <f>--($A1058=IF('الداشبورد'!$B$5="الكل",$A1058,'الداشبورد'!$B$5))</f>
        <v/>
      </c>
      <c r="R1058">
        <f>--($E1058=IF('الداشبورد'!$B$6="الكل",$E1058,'الداشبورد'!$B$6))</f>
        <v/>
      </c>
      <c r="S1058">
        <f>--($K1058=IF('الداشبورد'!$B$7="الكل",$K1058,IF('الداشبورد'!$B$7="تصدير","Y","N")))</f>
        <v/>
      </c>
      <c r="T1058">
        <f>--($J1058=IF('الداشبورد'!$B$8="الكل",$J1058,IF('الداشبورد'!$B$8="AL","A","C")))</f>
        <v/>
      </c>
      <c r="U1058">
        <f>--($I1058=IF('الداشبورد'!$B$9="الكل",$I1058,IF('الداشبورد'!$B$9="بدون حالة","P",'الداشبورد'!$B$9)))</f>
        <v/>
      </c>
      <c r="V1058">
        <f>--($D1058=IF('الداشبورد'!$B$10="الكل",$D1058,'الداشبورد'!$B$10))</f>
        <v/>
      </c>
      <c r="W1058">
        <f>--($G1058=IF('الداشبورد'!$B$11="الكل",$G1058,'الداشبورد'!$B$11))</f>
        <v/>
      </c>
      <c r="X1058">
        <f>Q1058*R1058*S1058*T1058*U1058*V1058*W1058*--($C1058&lt;&gt;"")</f>
        <v/>
      </c>
    </row>
    <row r="1059">
      <c r="Q1059">
        <f>--($A1059=IF('الداشبورد'!$B$5="الكل",$A1059,'الداشبورد'!$B$5))</f>
        <v/>
      </c>
      <c r="R1059">
        <f>--($E1059=IF('الداشبورد'!$B$6="الكل",$E1059,'الداشبورد'!$B$6))</f>
        <v/>
      </c>
      <c r="S1059">
        <f>--($K1059=IF('الداشبورد'!$B$7="الكل",$K1059,IF('الداشبورد'!$B$7="تصدير","Y","N")))</f>
        <v/>
      </c>
      <c r="T1059">
        <f>--($J1059=IF('الداشبورد'!$B$8="الكل",$J1059,IF('الداشبورد'!$B$8="AL","A","C")))</f>
        <v/>
      </c>
      <c r="U1059">
        <f>--($I1059=IF('الداشبورد'!$B$9="الكل",$I1059,IF('الداشبورد'!$B$9="بدون حالة","P",'الداشبورد'!$B$9)))</f>
        <v/>
      </c>
      <c r="V1059">
        <f>--($D1059=IF('الداشبورد'!$B$10="الكل",$D1059,'الداشبورد'!$B$10))</f>
        <v/>
      </c>
      <c r="W1059">
        <f>--($G1059=IF('الداشبورد'!$B$11="الكل",$G1059,'الداشبورد'!$B$11))</f>
        <v/>
      </c>
      <c r="X1059">
        <f>Q1059*R1059*S1059*T1059*U1059*V1059*W1059*--($C1059&lt;&gt;"")</f>
        <v/>
      </c>
    </row>
    <row r="1060">
      <c r="Q1060">
        <f>--($A1060=IF('الداشبورد'!$B$5="الكل",$A1060,'الداشبورد'!$B$5))</f>
        <v/>
      </c>
      <c r="R1060">
        <f>--($E1060=IF('الداشبورد'!$B$6="الكل",$E1060,'الداشبورد'!$B$6))</f>
        <v/>
      </c>
      <c r="S1060">
        <f>--($K1060=IF('الداشبورد'!$B$7="الكل",$K1060,IF('الداشبورد'!$B$7="تصدير","Y","N")))</f>
        <v/>
      </c>
      <c r="T1060">
        <f>--($J1060=IF('الداشبورد'!$B$8="الكل",$J1060,IF('الداشبورد'!$B$8="AL","A","C")))</f>
        <v/>
      </c>
      <c r="U1060">
        <f>--($I1060=IF('الداشبورد'!$B$9="الكل",$I1060,IF('الداشبورد'!$B$9="بدون حالة","P",'الداشبورد'!$B$9)))</f>
        <v/>
      </c>
      <c r="V1060">
        <f>--($D1060=IF('الداشبورد'!$B$10="الكل",$D1060,'الداشبورد'!$B$10))</f>
        <v/>
      </c>
      <c r="W1060">
        <f>--($G1060=IF('الداشبورد'!$B$11="الكل",$G1060,'الداشبورد'!$B$11))</f>
        <v/>
      </c>
      <c r="X1060">
        <f>Q1060*R1060*S1060*T1060*U1060*V1060*W1060*--($C1060&lt;&gt;"")</f>
        <v/>
      </c>
    </row>
    <row r="1061">
      <c r="Q1061">
        <f>--($A1061=IF('الداشبورد'!$B$5="الكل",$A1061,'الداشبورد'!$B$5))</f>
        <v/>
      </c>
      <c r="R1061">
        <f>--($E1061=IF('الداشبورد'!$B$6="الكل",$E1061,'الداشبورد'!$B$6))</f>
        <v/>
      </c>
      <c r="S1061">
        <f>--($K1061=IF('الداشبورد'!$B$7="الكل",$K1061,IF('الداشبورد'!$B$7="تصدير","Y","N")))</f>
        <v/>
      </c>
      <c r="T1061">
        <f>--($J1061=IF('الداشبورد'!$B$8="الكل",$J1061,IF('الداشبورد'!$B$8="AL","A","C")))</f>
        <v/>
      </c>
      <c r="U1061">
        <f>--($I1061=IF('الداشبورد'!$B$9="الكل",$I1061,IF('الداشبورد'!$B$9="بدون حالة","P",'الداشبورد'!$B$9)))</f>
        <v/>
      </c>
      <c r="V1061">
        <f>--($D1061=IF('الداشبورد'!$B$10="الكل",$D1061,'الداشبورد'!$B$10))</f>
        <v/>
      </c>
      <c r="W1061">
        <f>--($G1061=IF('الداشبورد'!$B$11="الكل",$G1061,'الداشبورد'!$B$11))</f>
        <v/>
      </c>
      <c r="X1061">
        <f>Q1061*R1061*S1061*T1061*U1061*V1061*W1061*--($C1061&lt;&gt;"")</f>
        <v/>
      </c>
    </row>
    <row r="1062">
      <c r="Q1062">
        <f>--($A1062=IF('الداشبورد'!$B$5="الكل",$A1062,'الداشبورد'!$B$5))</f>
        <v/>
      </c>
      <c r="R1062">
        <f>--($E1062=IF('الداشبورد'!$B$6="الكل",$E1062,'الداشبورد'!$B$6))</f>
        <v/>
      </c>
      <c r="S1062">
        <f>--($K1062=IF('الداشبورد'!$B$7="الكل",$K1062,IF('الداشبورد'!$B$7="تصدير","Y","N")))</f>
        <v/>
      </c>
      <c r="T1062">
        <f>--($J1062=IF('الداشبورد'!$B$8="الكل",$J1062,IF('الداشبورد'!$B$8="AL","A","C")))</f>
        <v/>
      </c>
      <c r="U1062">
        <f>--($I1062=IF('الداشبورد'!$B$9="الكل",$I1062,IF('الداشبورد'!$B$9="بدون حالة","P",'الداشبورد'!$B$9)))</f>
        <v/>
      </c>
      <c r="V1062">
        <f>--($D1062=IF('الداشبورد'!$B$10="الكل",$D1062,'الداشبورد'!$B$10))</f>
        <v/>
      </c>
      <c r="W1062">
        <f>--($G1062=IF('الداشبورد'!$B$11="الكل",$G1062,'الداشبورد'!$B$11))</f>
        <v/>
      </c>
      <c r="X1062">
        <f>Q1062*R1062*S1062*T1062*U1062*V1062*W1062*--($C1062&lt;&gt;"")</f>
        <v/>
      </c>
    </row>
    <row r="1063">
      <c r="Q1063">
        <f>--($A1063=IF('الداشبورد'!$B$5="الكل",$A1063,'الداشبورد'!$B$5))</f>
        <v/>
      </c>
      <c r="R1063">
        <f>--($E1063=IF('الداشبورد'!$B$6="الكل",$E1063,'الداشبورد'!$B$6))</f>
        <v/>
      </c>
      <c r="S1063">
        <f>--($K1063=IF('الداشبورد'!$B$7="الكل",$K1063,IF('الداشبورد'!$B$7="تصدير","Y","N")))</f>
        <v/>
      </c>
      <c r="T1063">
        <f>--($J1063=IF('الداشبورد'!$B$8="الكل",$J1063,IF('الداشبورد'!$B$8="AL","A","C")))</f>
        <v/>
      </c>
      <c r="U1063">
        <f>--($I1063=IF('الداشبورد'!$B$9="الكل",$I1063,IF('الداشبورد'!$B$9="بدون حالة","P",'الداشبورد'!$B$9)))</f>
        <v/>
      </c>
      <c r="V1063">
        <f>--($D1063=IF('الداشبورد'!$B$10="الكل",$D1063,'الداشبورد'!$B$10))</f>
        <v/>
      </c>
      <c r="W1063">
        <f>--($G1063=IF('الداشبورد'!$B$11="الكل",$G1063,'الداشبورد'!$B$11))</f>
        <v/>
      </c>
      <c r="X1063">
        <f>Q1063*R1063*S1063*T1063*U1063*V1063*W1063*--($C1063&lt;&gt;"")</f>
        <v/>
      </c>
    </row>
    <row r="1064">
      <c r="Q1064">
        <f>--($A1064=IF('الداشبورد'!$B$5="الكل",$A1064,'الداشبورد'!$B$5))</f>
        <v/>
      </c>
      <c r="R1064">
        <f>--($E1064=IF('الداشبورد'!$B$6="الكل",$E1064,'الداشبورد'!$B$6))</f>
        <v/>
      </c>
      <c r="S1064">
        <f>--($K1064=IF('الداشبورد'!$B$7="الكل",$K1064,IF('الداشبورد'!$B$7="تصدير","Y","N")))</f>
        <v/>
      </c>
      <c r="T1064">
        <f>--($J1064=IF('الداشبورد'!$B$8="الكل",$J1064,IF('الداشبورد'!$B$8="AL","A","C")))</f>
        <v/>
      </c>
      <c r="U1064">
        <f>--($I1064=IF('الداشبورد'!$B$9="الكل",$I1064,IF('الداشبورد'!$B$9="بدون حالة","P",'الداشبورد'!$B$9)))</f>
        <v/>
      </c>
      <c r="V1064">
        <f>--($D1064=IF('الداشبورد'!$B$10="الكل",$D1064,'الداشبورد'!$B$10))</f>
        <v/>
      </c>
      <c r="W1064">
        <f>--($G1064=IF('الداشبورد'!$B$11="الكل",$G1064,'الداشبورد'!$B$11))</f>
        <v/>
      </c>
      <c r="X1064">
        <f>Q1064*R1064*S1064*T1064*U1064*V1064*W1064*--($C1064&lt;&gt;"")</f>
        <v/>
      </c>
    </row>
    <row r="1065">
      <c r="Q1065">
        <f>--($A1065=IF('الداشبورد'!$B$5="الكل",$A1065,'الداشبورد'!$B$5))</f>
        <v/>
      </c>
      <c r="R1065">
        <f>--($E1065=IF('الداشبورد'!$B$6="الكل",$E1065,'الداشبورد'!$B$6))</f>
        <v/>
      </c>
      <c r="S1065">
        <f>--($K1065=IF('الداشبورد'!$B$7="الكل",$K1065,IF('الداشبورد'!$B$7="تصدير","Y","N")))</f>
        <v/>
      </c>
      <c r="T1065">
        <f>--($J1065=IF('الداشبورد'!$B$8="الكل",$J1065,IF('الداشبورد'!$B$8="AL","A","C")))</f>
        <v/>
      </c>
      <c r="U1065">
        <f>--($I1065=IF('الداشبورد'!$B$9="الكل",$I1065,IF('الداشبورد'!$B$9="بدون حالة","P",'الداشبورد'!$B$9)))</f>
        <v/>
      </c>
      <c r="V1065">
        <f>--($D1065=IF('الداشبورد'!$B$10="الكل",$D1065,'الداشبورد'!$B$10))</f>
        <v/>
      </c>
      <c r="W1065">
        <f>--($G1065=IF('الداشبورد'!$B$11="الكل",$G1065,'الداشبورد'!$B$11))</f>
        <v/>
      </c>
      <c r="X1065">
        <f>Q1065*R1065*S1065*T1065*U1065*V1065*W1065*--($C1065&lt;&gt;"")</f>
        <v/>
      </c>
    </row>
    <row r="1066">
      <c r="Q1066">
        <f>--($A1066=IF('الداشبورد'!$B$5="الكل",$A1066,'الداشبورد'!$B$5))</f>
        <v/>
      </c>
      <c r="R1066">
        <f>--($E1066=IF('الداشبورد'!$B$6="الكل",$E1066,'الداشبورد'!$B$6))</f>
        <v/>
      </c>
      <c r="S1066">
        <f>--($K1066=IF('الداشبورد'!$B$7="الكل",$K1066,IF('الداشبورد'!$B$7="تصدير","Y","N")))</f>
        <v/>
      </c>
      <c r="T1066">
        <f>--($J1066=IF('الداشبورد'!$B$8="الكل",$J1066,IF('الداشبورد'!$B$8="AL","A","C")))</f>
        <v/>
      </c>
      <c r="U1066">
        <f>--($I1066=IF('الداشبورد'!$B$9="الكل",$I1066,IF('الداشبورد'!$B$9="بدون حالة","P",'الداشبورد'!$B$9)))</f>
        <v/>
      </c>
      <c r="V1066">
        <f>--($D1066=IF('الداشبورد'!$B$10="الكل",$D1066,'الداشبورد'!$B$10))</f>
        <v/>
      </c>
      <c r="W1066">
        <f>--($G1066=IF('الداشبورد'!$B$11="الكل",$G1066,'الداشبورد'!$B$11))</f>
        <v/>
      </c>
      <c r="X1066">
        <f>Q1066*R1066*S1066*T1066*U1066*V1066*W1066*--($C1066&lt;&gt;"")</f>
        <v/>
      </c>
    </row>
    <row r="1067">
      <c r="Q1067">
        <f>--($A1067=IF('الداشبورد'!$B$5="الكل",$A1067,'الداشبورد'!$B$5))</f>
        <v/>
      </c>
      <c r="R1067">
        <f>--($E1067=IF('الداشبورد'!$B$6="الكل",$E1067,'الداشبورد'!$B$6))</f>
        <v/>
      </c>
      <c r="S1067">
        <f>--($K1067=IF('الداشبورد'!$B$7="الكل",$K1067,IF('الداشبورد'!$B$7="تصدير","Y","N")))</f>
        <v/>
      </c>
      <c r="T1067">
        <f>--($J1067=IF('الداشبورد'!$B$8="الكل",$J1067,IF('الداشبورد'!$B$8="AL","A","C")))</f>
        <v/>
      </c>
      <c r="U1067">
        <f>--($I1067=IF('الداشبورد'!$B$9="الكل",$I1067,IF('الداشبورد'!$B$9="بدون حالة","P",'الداشبورد'!$B$9)))</f>
        <v/>
      </c>
      <c r="V1067">
        <f>--($D1067=IF('الداشبورد'!$B$10="الكل",$D1067,'الداشبورد'!$B$10))</f>
        <v/>
      </c>
      <c r="W1067">
        <f>--($G1067=IF('الداشبورد'!$B$11="الكل",$G1067,'الداشبورد'!$B$11))</f>
        <v/>
      </c>
      <c r="X1067">
        <f>Q1067*R1067*S1067*T1067*U1067*V1067*W1067*--($C1067&lt;&gt;"")</f>
        <v/>
      </c>
    </row>
    <row r="1068">
      <c r="Q1068">
        <f>--($A1068=IF('الداشبورد'!$B$5="الكل",$A1068,'الداشبورد'!$B$5))</f>
        <v/>
      </c>
      <c r="R1068">
        <f>--($E1068=IF('الداشبورد'!$B$6="الكل",$E1068,'الداشبورد'!$B$6))</f>
        <v/>
      </c>
      <c r="S1068">
        <f>--($K1068=IF('الداشبورد'!$B$7="الكل",$K1068,IF('الداشبورد'!$B$7="تصدير","Y","N")))</f>
        <v/>
      </c>
      <c r="T1068">
        <f>--($J1068=IF('الداشبورد'!$B$8="الكل",$J1068,IF('الداشبورد'!$B$8="AL","A","C")))</f>
        <v/>
      </c>
      <c r="U1068">
        <f>--($I1068=IF('الداشبورد'!$B$9="الكل",$I1068,IF('الداشبورد'!$B$9="بدون حالة","P",'الداشبورد'!$B$9)))</f>
        <v/>
      </c>
      <c r="V1068">
        <f>--($D1068=IF('الداشبورد'!$B$10="الكل",$D1068,'الداشبورد'!$B$10))</f>
        <v/>
      </c>
      <c r="W1068">
        <f>--($G1068=IF('الداشبورد'!$B$11="الكل",$G1068,'الداشبورد'!$B$11))</f>
        <v/>
      </c>
      <c r="X1068">
        <f>Q1068*R1068*S1068*T1068*U1068*V1068*W1068*--($C1068&lt;&gt;"")</f>
        <v/>
      </c>
    </row>
    <row r="1069">
      <c r="Q1069">
        <f>--($A1069=IF('الداشبورد'!$B$5="الكل",$A1069,'الداشبورد'!$B$5))</f>
        <v/>
      </c>
      <c r="R1069">
        <f>--($E1069=IF('الداشبورد'!$B$6="الكل",$E1069,'الداشبورد'!$B$6))</f>
        <v/>
      </c>
      <c r="S1069">
        <f>--($K1069=IF('الداشبورد'!$B$7="الكل",$K1069,IF('الداشبورد'!$B$7="تصدير","Y","N")))</f>
        <v/>
      </c>
      <c r="T1069">
        <f>--($J1069=IF('الداشبورد'!$B$8="الكل",$J1069,IF('الداشبورد'!$B$8="AL","A","C")))</f>
        <v/>
      </c>
      <c r="U1069">
        <f>--($I1069=IF('الداشبورد'!$B$9="الكل",$I1069,IF('الداشبورد'!$B$9="بدون حالة","P",'الداشبورد'!$B$9)))</f>
        <v/>
      </c>
      <c r="V1069">
        <f>--($D1069=IF('الداشبورد'!$B$10="الكل",$D1069,'الداشبورد'!$B$10))</f>
        <v/>
      </c>
      <c r="W1069">
        <f>--($G1069=IF('الداشبورد'!$B$11="الكل",$G1069,'الداشبورد'!$B$11))</f>
        <v/>
      </c>
      <c r="X1069">
        <f>Q1069*R1069*S1069*T1069*U1069*V1069*W1069*--($C1069&lt;&gt;"")</f>
        <v/>
      </c>
    </row>
    <row r="1070">
      <c r="Q1070">
        <f>--($A1070=IF('الداشبورد'!$B$5="الكل",$A1070,'الداشبورد'!$B$5))</f>
        <v/>
      </c>
      <c r="R1070">
        <f>--($E1070=IF('الداشبورد'!$B$6="الكل",$E1070,'الداشبورد'!$B$6))</f>
        <v/>
      </c>
      <c r="S1070">
        <f>--($K1070=IF('الداشبورد'!$B$7="الكل",$K1070,IF('الداشبورد'!$B$7="تصدير","Y","N")))</f>
        <v/>
      </c>
      <c r="T1070">
        <f>--($J1070=IF('الداشبورد'!$B$8="الكل",$J1070,IF('الداشبورد'!$B$8="AL","A","C")))</f>
        <v/>
      </c>
      <c r="U1070">
        <f>--($I1070=IF('الداشبورد'!$B$9="الكل",$I1070,IF('الداشبورد'!$B$9="بدون حالة","P",'الداشبورد'!$B$9)))</f>
        <v/>
      </c>
      <c r="V1070">
        <f>--($D1070=IF('الداشبورد'!$B$10="الكل",$D1070,'الداشبورد'!$B$10))</f>
        <v/>
      </c>
      <c r="W1070">
        <f>--($G1070=IF('الداشبورد'!$B$11="الكل",$G1070,'الداشبورد'!$B$11))</f>
        <v/>
      </c>
      <c r="X1070">
        <f>Q1070*R1070*S1070*T1070*U1070*V1070*W1070*--($C1070&lt;&gt;"")</f>
        <v/>
      </c>
    </row>
    <row r="1071">
      <c r="Q1071">
        <f>--($A1071=IF('الداشبورد'!$B$5="الكل",$A1071,'الداشبورد'!$B$5))</f>
        <v/>
      </c>
      <c r="R1071">
        <f>--($E1071=IF('الداشبورد'!$B$6="الكل",$E1071,'الداشبورد'!$B$6))</f>
        <v/>
      </c>
      <c r="S1071">
        <f>--($K1071=IF('الداشبورد'!$B$7="الكل",$K1071,IF('الداشبورد'!$B$7="تصدير","Y","N")))</f>
        <v/>
      </c>
      <c r="T1071">
        <f>--($J1071=IF('الداشبورد'!$B$8="الكل",$J1071,IF('الداشبورد'!$B$8="AL","A","C")))</f>
        <v/>
      </c>
      <c r="U1071">
        <f>--($I1071=IF('الداشبورد'!$B$9="الكل",$I1071,IF('الداشبورد'!$B$9="بدون حالة","P",'الداشبورد'!$B$9)))</f>
        <v/>
      </c>
      <c r="V1071">
        <f>--($D1071=IF('الداشبورد'!$B$10="الكل",$D1071,'الداشبورد'!$B$10))</f>
        <v/>
      </c>
      <c r="W1071">
        <f>--($G1071=IF('الداشبورد'!$B$11="الكل",$G1071,'الداشبورد'!$B$11))</f>
        <v/>
      </c>
      <c r="X1071">
        <f>Q1071*R1071*S1071*T1071*U1071*V1071*W1071*--($C1071&lt;&gt;"")</f>
        <v/>
      </c>
    </row>
    <row r="1072">
      <c r="Q1072">
        <f>--($A1072=IF('الداشبورد'!$B$5="الكل",$A1072,'الداشبورد'!$B$5))</f>
        <v/>
      </c>
      <c r="R1072">
        <f>--($E1072=IF('الداشبورد'!$B$6="الكل",$E1072,'الداشبورد'!$B$6))</f>
        <v/>
      </c>
      <c r="S1072">
        <f>--($K1072=IF('الداشبورد'!$B$7="الكل",$K1072,IF('الداشبورد'!$B$7="تصدير","Y","N")))</f>
        <v/>
      </c>
      <c r="T1072">
        <f>--($J1072=IF('الداشبورد'!$B$8="الكل",$J1072,IF('الداشبورد'!$B$8="AL","A","C")))</f>
        <v/>
      </c>
      <c r="U1072">
        <f>--($I1072=IF('الداشبورد'!$B$9="الكل",$I1072,IF('الداشبورد'!$B$9="بدون حالة","P",'الداشبورد'!$B$9)))</f>
        <v/>
      </c>
      <c r="V1072">
        <f>--($D1072=IF('الداشبورد'!$B$10="الكل",$D1072,'الداشبورد'!$B$10))</f>
        <v/>
      </c>
      <c r="W1072">
        <f>--($G1072=IF('الداشبورد'!$B$11="الكل",$G1072,'الداشبورد'!$B$11))</f>
        <v/>
      </c>
      <c r="X1072">
        <f>Q1072*R1072*S1072*T1072*U1072*V1072*W1072*--($C1072&lt;&gt;"")</f>
        <v/>
      </c>
    </row>
    <row r="1073">
      <c r="Q1073">
        <f>--($A1073=IF('الداشبورد'!$B$5="الكل",$A1073,'الداشبورد'!$B$5))</f>
        <v/>
      </c>
      <c r="R1073">
        <f>--($E1073=IF('الداشبورد'!$B$6="الكل",$E1073,'الداشبورد'!$B$6))</f>
        <v/>
      </c>
      <c r="S1073">
        <f>--($K1073=IF('الداشبورد'!$B$7="الكل",$K1073,IF('الداشبورد'!$B$7="تصدير","Y","N")))</f>
        <v/>
      </c>
      <c r="T1073">
        <f>--($J1073=IF('الداشبورد'!$B$8="الكل",$J1073,IF('الداشبورد'!$B$8="AL","A","C")))</f>
        <v/>
      </c>
      <c r="U1073">
        <f>--($I1073=IF('الداشبورد'!$B$9="الكل",$I1073,IF('الداشبورد'!$B$9="بدون حالة","P",'الداشبورد'!$B$9)))</f>
        <v/>
      </c>
      <c r="V1073">
        <f>--($D1073=IF('الداشبورد'!$B$10="الكل",$D1073,'الداشبورد'!$B$10))</f>
        <v/>
      </c>
      <c r="W1073">
        <f>--($G1073=IF('الداشبورد'!$B$11="الكل",$G1073,'الداشبورد'!$B$11))</f>
        <v/>
      </c>
      <c r="X1073">
        <f>Q1073*R1073*S1073*T1073*U1073*V1073*W1073*--($C1073&lt;&gt;"")</f>
        <v/>
      </c>
    </row>
    <row r="1074">
      <c r="Q1074">
        <f>--($A1074=IF('الداشبورد'!$B$5="الكل",$A1074,'الداشبورد'!$B$5))</f>
        <v/>
      </c>
      <c r="R1074">
        <f>--($E1074=IF('الداشبورد'!$B$6="الكل",$E1074,'الداشبورد'!$B$6))</f>
        <v/>
      </c>
      <c r="S1074">
        <f>--($K1074=IF('الداشبورد'!$B$7="الكل",$K1074,IF('الداشبورد'!$B$7="تصدير","Y","N")))</f>
        <v/>
      </c>
      <c r="T1074">
        <f>--($J1074=IF('الداشبورد'!$B$8="الكل",$J1074,IF('الداشبورد'!$B$8="AL","A","C")))</f>
        <v/>
      </c>
      <c r="U1074">
        <f>--($I1074=IF('الداشبورد'!$B$9="الكل",$I1074,IF('الداشبورد'!$B$9="بدون حالة","P",'الداشبورد'!$B$9)))</f>
        <v/>
      </c>
      <c r="V1074">
        <f>--($D1074=IF('الداشبورد'!$B$10="الكل",$D1074,'الداشبورد'!$B$10))</f>
        <v/>
      </c>
      <c r="W1074">
        <f>--($G1074=IF('الداشبورد'!$B$11="الكل",$G1074,'الداشبورد'!$B$11))</f>
        <v/>
      </c>
      <c r="X1074">
        <f>Q1074*R1074*S1074*T1074*U1074*V1074*W1074*--($C1074&lt;&gt;"")</f>
        <v/>
      </c>
    </row>
    <row r="1075">
      <c r="Q1075">
        <f>--($A1075=IF('الداشبورد'!$B$5="الكل",$A1075,'الداشبورد'!$B$5))</f>
        <v/>
      </c>
      <c r="R1075">
        <f>--($E1075=IF('الداشبورد'!$B$6="الكل",$E1075,'الداشبورد'!$B$6))</f>
        <v/>
      </c>
      <c r="S1075">
        <f>--($K1075=IF('الداشبورد'!$B$7="الكل",$K1075,IF('الداشبورد'!$B$7="تصدير","Y","N")))</f>
        <v/>
      </c>
      <c r="T1075">
        <f>--($J1075=IF('الداشبورد'!$B$8="الكل",$J1075,IF('الداشبورد'!$B$8="AL","A","C")))</f>
        <v/>
      </c>
      <c r="U1075">
        <f>--($I1075=IF('الداشبورد'!$B$9="الكل",$I1075,IF('الداشبورد'!$B$9="بدون حالة","P",'الداشبورد'!$B$9)))</f>
        <v/>
      </c>
      <c r="V1075">
        <f>--($D1075=IF('الداشبورد'!$B$10="الكل",$D1075,'الداشبورد'!$B$10))</f>
        <v/>
      </c>
      <c r="W1075">
        <f>--($G1075=IF('الداشبورد'!$B$11="الكل",$G1075,'الداشبورد'!$B$11))</f>
        <v/>
      </c>
      <c r="X1075">
        <f>Q1075*R1075*S1075*T1075*U1075*V1075*W1075*--($C1075&lt;&gt;"")</f>
        <v/>
      </c>
    </row>
    <row r="1076">
      <c r="Q1076">
        <f>--($A1076=IF('الداشبورد'!$B$5="الكل",$A1076,'الداشبورد'!$B$5))</f>
        <v/>
      </c>
      <c r="R1076">
        <f>--($E1076=IF('الداشبورد'!$B$6="الكل",$E1076,'الداشبورد'!$B$6))</f>
        <v/>
      </c>
      <c r="S1076">
        <f>--($K1076=IF('الداشبورد'!$B$7="الكل",$K1076,IF('الداشبورد'!$B$7="تصدير","Y","N")))</f>
        <v/>
      </c>
      <c r="T1076">
        <f>--($J1076=IF('الداشبورد'!$B$8="الكل",$J1076,IF('الداشبورد'!$B$8="AL","A","C")))</f>
        <v/>
      </c>
      <c r="U1076">
        <f>--($I1076=IF('الداشبورد'!$B$9="الكل",$I1076,IF('الداشبورد'!$B$9="بدون حالة","P",'الداشبورد'!$B$9)))</f>
        <v/>
      </c>
      <c r="V1076">
        <f>--($D1076=IF('الداشبورد'!$B$10="الكل",$D1076,'الداشبورد'!$B$10))</f>
        <v/>
      </c>
      <c r="W1076">
        <f>--($G1076=IF('الداشبورد'!$B$11="الكل",$G1076,'الداشبورد'!$B$11))</f>
        <v/>
      </c>
      <c r="X1076">
        <f>Q1076*R1076*S1076*T1076*U1076*V1076*W1076*--($C1076&lt;&gt;"")</f>
        <v/>
      </c>
    </row>
    <row r="1077">
      <c r="Q1077">
        <f>--($A1077=IF('الداشبورد'!$B$5="الكل",$A1077,'الداشبورد'!$B$5))</f>
        <v/>
      </c>
      <c r="R1077">
        <f>--($E1077=IF('الداشبورد'!$B$6="الكل",$E1077,'الداشبورد'!$B$6))</f>
        <v/>
      </c>
      <c r="S1077">
        <f>--($K1077=IF('الداشبورد'!$B$7="الكل",$K1077,IF('الداشبورد'!$B$7="تصدير","Y","N")))</f>
        <v/>
      </c>
      <c r="T1077">
        <f>--($J1077=IF('الداشبورد'!$B$8="الكل",$J1077,IF('الداشبورد'!$B$8="AL","A","C")))</f>
        <v/>
      </c>
      <c r="U1077">
        <f>--($I1077=IF('الداشبورد'!$B$9="الكل",$I1077,IF('الداشبورد'!$B$9="بدون حالة","P",'الداشبورد'!$B$9)))</f>
        <v/>
      </c>
      <c r="V1077">
        <f>--($D1077=IF('الداشبورد'!$B$10="الكل",$D1077,'الداشبورد'!$B$10))</f>
        <v/>
      </c>
      <c r="W1077">
        <f>--($G1077=IF('الداشبورد'!$B$11="الكل",$G1077,'الداشبورد'!$B$11))</f>
        <v/>
      </c>
      <c r="X1077">
        <f>Q1077*R1077*S1077*T1077*U1077*V1077*W1077*--($C1077&lt;&gt;"")</f>
        <v/>
      </c>
    </row>
    <row r="1078">
      <c r="Q1078">
        <f>--($A1078=IF('الداشبورد'!$B$5="الكل",$A1078,'الداشبورد'!$B$5))</f>
        <v/>
      </c>
      <c r="R1078">
        <f>--($E1078=IF('الداشبورد'!$B$6="الكل",$E1078,'الداشبورد'!$B$6))</f>
        <v/>
      </c>
      <c r="S1078">
        <f>--($K1078=IF('الداشبورد'!$B$7="الكل",$K1078,IF('الداشبورد'!$B$7="تصدير","Y","N")))</f>
        <v/>
      </c>
      <c r="T1078">
        <f>--($J1078=IF('الداشبورد'!$B$8="الكل",$J1078,IF('الداشبورد'!$B$8="AL","A","C")))</f>
        <v/>
      </c>
      <c r="U1078">
        <f>--($I1078=IF('الداشبورد'!$B$9="الكل",$I1078,IF('الداشبورد'!$B$9="بدون حالة","P",'الداشبورد'!$B$9)))</f>
        <v/>
      </c>
      <c r="V1078">
        <f>--($D1078=IF('الداشبورد'!$B$10="الكل",$D1078,'الداشبورد'!$B$10))</f>
        <v/>
      </c>
      <c r="W1078">
        <f>--($G1078=IF('الداشبورد'!$B$11="الكل",$G1078,'الداشبورد'!$B$11))</f>
        <v/>
      </c>
      <c r="X1078">
        <f>Q1078*R1078*S1078*T1078*U1078*V1078*W1078*--($C1078&lt;&gt;"")</f>
        <v/>
      </c>
    </row>
    <row r="1079">
      <c r="Q1079">
        <f>--($A1079=IF('الداشبورد'!$B$5="الكل",$A1079,'الداشبورد'!$B$5))</f>
        <v/>
      </c>
      <c r="R1079">
        <f>--($E1079=IF('الداشبورد'!$B$6="الكل",$E1079,'الداشبورد'!$B$6))</f>
        <v/>
      </c>
      <c r="S1079">
        <f>--($K1079=IF('الداشبورد'!$B$7="الكل",$K1079,IF('الداشبورد'!$B$7="تصدير","Y","N")))</f>
        <v/>
      </c>
      <c r="T1079">
        <f>--($J1079=IF('الداشبورد'!$B$8="الكل",$J1079,IF('الداشبورد'!$B$8="AL","A","C")))</f>
        <v/>
      </c>
      <c r="U1079">
        <f>--($I1079=IF('الداشبورد'!$B$9="الكل",$I1079,IF('الداشبورد'!$B$9="بدون حالة","P",'الداشبورد'!$B$9)))</f>
        <v/>
      </c>
      <c r="V1079">
        <f>--($D1079=IF('الداشبورد'!$B$10="الكل",$D1079,'الداشبورد'!$B$10))</f>
        <v/>
      </c>
      <c r="W1079">
        <f>--($G1079=IF('الداشبورد'!$B$11="الكل",$G1079,'الداشبورد'!$B$11))</f>
        <v/>
      </c>
      <c r="X1079">
        <f>Q1079*R1079*S1079*T1079*U1079*V1079*W1079*--($C1079&lt;&gt;"")</f>
        <v/>
      </c>
    </row>
    <row r="1080">
      <c r="Q1080">
        <f>--($A1080=IF('الداشبورد'!$B$5="الكل",$A1080,'الداشبورد'!$B$5))</f>
        <v/>
      </c>
      <c r="R1080">
        <f>--($E1080=IF('الداشبورد'!$B$6="الكل",$E1080,'الداشبورد'!$B$6))</f>
        <v/>
      </c>
      <c r="S1080">
        <f>--($K1080=IF('الداشبورد'!$B$7="الكل",$K1080,IF('الداشبورد'!$B$7="تصدير","Y","N")))</f>
        <v/>
      </c>
      <c r="T1080">
        <f>--($J1080=IF('الداشبورد'!$B$8="الكل",$J1080,IF('الداشبورد'!$B$8="AL","A","C")))</f>
        <v/>
      </c>
      <c r="U1080">
        <f>--($I1080=IF('الداشبورد'!$B$9="الكل",$I1080,IF('الداشبورد'!$B$9="بدون حالة","P",'الداشبورد'!$B$9)))</f>
        <v/>
      </c>
      <c r="V1080">
        <f>--($D1080=IF('الداشبورد'!$B$10="الكل",$D1080,'الداشبورد'!$B$10))</f>
        <v/>
      </c>
      <c r="W1080">
        <f>--($G1080=IF('الداشبورد'!$B$11="الكل",$G1080,'الداشبورد'!$B$11))</f>
        <v/>
      </c>
      <c r="X1080">
        <f>Q1080*R1080*S1080*T1080*U1080*V1080*W1080*--($C1080&lt;&gt;"")</f>
        <v/>
      </c>
    </row>
    <row r="1081">
      <c r="Q1081">
        <f>--($A1081=IF('الداشبورد'!$B$5="الكل",$A1081,'الداشبورد'!$B$5))</f>
        <v/>
      </c>
      <c r="R1081">
        <f>--($E1081=IF('الداشبورد'!$B$6="الكل",$E1081,'الداشبورد'!$B$6))</f>
        <v/>
      </c>
      <c r="S1081">
        <f>--($K1081=IF('الداشبورد'!$B$7="الكل",$K1081,IF('الداشبورد'!$B$7="تصدير","Y","N")))</f>
        <v/>
      </c>
      <c r="T1081">
        <f>--($J1081=IF('الداشبورد'!$B$8="الكل",$J1081,IF('الداشبورد'!$B$8="AL","A","C")))</f>
        <v/>
      </c>
      <c r="U1081">
        <f>--($I1081=IF('الداشبورد'!$B$9="الكل",$I1081,IF('الداشبورد'!$B$9="بدون حالة","P",'الداشبورد'!$B$9)))</f>
        <v/>
      </c>
      <c r="V1081">
        <f>--($D1081=IF('الداشبورد'!$B$10="الكل",$D1081,'الداشبورد'!$B$10))</f>
        <v/>
      </c>
      <c r="W1081">
        <f>--($G1081=IF('الداشبورد'!$B$11="الكل",$G1081,'الداشبورد'!$B$11))</f>
        <v/>
      </c>
      <c r="X1081">
        <f>Q1081*R1081*S1081*T1081*U1081*V1081*W1081*--($C1081&lt;&gt;"")</f>
        <v/>
      </c>
    </row>
    <row r="1082">
      <c r="Q1082">
        <f>--($A1082=IF('الداشبورد'!$B$5="الكل",$A1082,'الداشبورد'!$B$5))</f>
        <v/>
      </c>
      <c r="R1082">
        <f>--($E1082=IF('الداشبورد'!$B$6="الكل",$E1082,'الداشبورد'!$B$6))</f>
        <v/>
      </c>
      <c r="S1082">
        <f>--($K1082=IF('الداشبورد'!$B$7="الكل",$K1082,IF('الداشبورد'!$B$7="تصدير","Y","N")))</f>
        <v/>
      </c>
      <c r="T1082">
        <f>--($J1082=IF('الداشبورد'!$B$8="الكل",$J1082,IF('الداشبورد'!$B$8="AL","A","C")))</f>
        <v/>
      </c>
      <c r="U1082">
        <f>--($I1082=IF('الداشبورد'!$B$9="الكل",$I1082,IF('الداشبورد'!$B$9="بدون حالة","P",'الداشبورد'!$B$9)))</f>
        <v/>
      </c>
      <c r="V1082">
        <f>--($D1082=IF('الداشبورد'!$B$10="الكل",$D1082,'الداشبورد'!$B$10))</f>
        <v/>
      </c>
      <c r="W1082">
        <f>--($G1082=IF('الداشبورد'!$B$11="الكل",$G1082,'الداشبورد'!$B$11))</f>
        <v/>
      </c>
      <c r="X1082">
        <f>Q1082*R1082*S1082*T1082*U1082*V1082*W1082*--($C1082&lt;&gt;"")</f>
        <v/>
      </c>
    </row>
    <row r="1083">
      <c r="Q1083">
        <f>--($A1083=IF('الداشبورد'!$B$5="الكل",$A1083,'الداشبورد'!$B$5))</f>
        <v/>
      </c>
      <c r="R1083">
        <f>--($E1083=IF('الداشبورد'!$B$6="الكل",$E1083,'الداشبورد'!$B$6))</f>
        <v/>
      </c>
      <c r="S1083">
        <f>--($K1083=IF('الداشبورد'!$B$7="الكل",$K1083,IF('الداشبورد'!$B$7="تصدير","Y","N")))</f>
        <v/>
      </c>
      <c r="T1083">
        <f>--($J1083=IF('الداشبورد'!$B$8="الكل",$J1083,IF('الداشبورد'!$B$8="AL","A","C")))</f>
        <v/>
      </c>
      <c r="U1083">
        <f>--($I1083=IF('الداشبورد'!$B$9="الكل",$I1083,IF('الداشبورد'!$B$9="بدون حالة","P",'الداشبورد'!$B$9)))</f>
        <v/>
      </c>
      <c r="V1083">
        <f>--($D1083=IF('الداشبورد'!$B$10="الكل",$D1083,'الداشبورد'!$B$10))</f>
        <v/>
      </c>
      <c r="W1083">
        <f>--($G1083=IF('الداشبورد'!$B$11="الكل",$G1083,'الداشبورد'!$B$11))</f>
        <v/>
      </c>
      <c r="X1083">
        <f>Q1083*R1083*S1083*T1083*U1083*V1083*W1083*--($C1083&lt;&gt;"")</f>
        <v/>
      </c>
    </row>
    <row r="1084">
      <c r="Q1084">
        <f>--($A1084=IF('الداشبورد'!$B$5="الكل",$A1084,'الداشبورد'!$B$5))</f>
        <v/>
      </c>
      <c r="R1084">
        <f>--($E1084=IF('الداشبورد'!$B$6="الكل",$E1084,'الداشبورد'!$B$6))</f>
        <v/>
      </c>
      <c r="S1084">
        <f>--($K1084=IF('الداشبورد'!$B$7="الكل",$K1084,IF('الداشبورد'!$B$7="تصدير","Y","N")))</f>
        <v/>
      </c>
      <c r="T1084">
        <f>--($J1084=IF('الداشبورد'!$B$8="الكل",$J1084,IF('الداشبورد'!$B$8="AL","A","C")))</f>
        <v/>
      </c>
      <c r="U1084">
        <f>--($I1084=IF('الداشبورد'!$B$9="الكل",$I1084,IF('الداشبورد'!$B$9="بدون حالة","P",'الداشبورد'!$B$9)))</f>
        <v/>
      </c>
      <c r="V1084">
        <f>--($D1084=IF('الداشبورد'!$B$10="الكل",$D1084,'الداشبورد'!$B$10))</f>
        <v/>
      </c>
      <c r="W1084">
        <f>--($G1084=IF('الداشبورد'!$B$11="الكل",$G1084,'الداشبورد'!$B$11))</f>
        <v/>
      </c>
      <c r="X1084">
        <f>Q1084*R1084*S1084*T1084*U1084*V1084*W1084*--($C1084&lt;&gt;"")</f>
        <v/>
      </c>
    </row>
    <row r="1085">
      <c r="Q1085">
        <f>--($A1085=IF('الداشبورد'!$B$5="الكل",$A1085,'الداشبورد'!$B$5))</f>
        <v/>
      </c>
      <c r="R1085">
        <f>--($E1085=IF('الداشبورد'!$B$6="الكل",$E1085,'الداشبورد'!$B$6))</f>
        <v/>
      </c>
      <c r="S1085">
        <f>--($K1085=IF('الداشبورد'!$B$7="الكل",$K1085,IF('الداشبورد'!$B$7="تصدير","Y","N")))</f>
        <v/>
      </c>
      <c r="T1085">
        <f>--($J1085=IF('الداشبورد'!$B$8="الكل",$J1085,IF('الداشبورد'!$B$8="AL","A","C")))</f>
        <v/>
      </c>
      <c r="U1085">
        <f>--($I1085=IF('الداشبورد'!$B$9="الكل",$I1085,IF('الداشبورد'!$B$9="بدون حالة","P",'الداشبورد'!$B$9)))</f>
        <v/>
      </c>
      <c r="V1085">
        <f>--($D1085=IF('الداشبورد'!$B$10="الكل",$D1085,'الداشبورد'!$B$10))</f>
        <v/>
      </c>
      <c r="W1085">
        <f>--($G1085=IF('الداشبورد'!$B$11="الكل",$G1085,'الداشبورد'!$B$11))</f>
        <v/>
      </c>
      <c r="X1085">
        <f>Q1085*R1085*S1085*T1085*U1085*V1085*W1085*--($C1085&lt;&gt;"")</f>
        <v/>
      </c>
    </row>
    <row r="1086">
      <c r="Q1086">
        <f>--($A1086=IF('الداشبورد'!$B$5="الكل",$A1086,'الداشبورد'!$B$5))</f>
        <v/>
      </c>
      <c r="R1086">
        <f>--($E1086=IF('الداشبورد'!$B$6="الكل",$E1086,'الداشبورد'!$B$6))</f>
        <v/>
      </c>
      <c r="S1086">
        <f>--($K1086=IF('الداشبورد'!$B$7="الكل",$K1086,IF('الداشبورد'!$B$7="تصدير","Y","N")))</f>
        <v/>
      </c>
      <c r="T1086">
        <f>--($J1086=IF('الداشبورد'!$B$8="الكل",$J1086,IF('الداشبورد'!$B$8="AL","A","C")))</f>
        <v/>
      </c>
      <c r="U1086">
        <f>--($I1086=IF('الداشبورد'!$B$9="الكل",$I1086,IF('الداشبورد'!$B$9="بدون حالة","P",'الداشبورد'!$B$9)))</f>
        <v/>
      </c>
      <c r="V1086">
        <f>--($D1086=IF('الداشبورد'!$B$10="الكل",$D1086,'الداشبورد'!$B$10))</f>
        <v/>
      </c>
      <c r="W1086">
        <f>--($G1086=IF('الداشبورد'!$B$11="الكل",$G1086,'الداشبورد'!$B$11))</f>
        <v/>
      </c>
      <c r="X1086">
        <f>Q1086*R1086*S1086*T1086*U1086*V1086*W1086*--($C1086&lt;&gt;"")</f>
        <v/>
      </c>
    </row>
    <row r="1087">
      <c r="Q1087">
        <f>--($A1087=IF('الداشبورد'!$B$5="الكل",$A1087,'الداشبورد'!$B$5))</f>
        <v/>
      </c>
      <c r="R1087">
        <f>--($E1087=IF('الداشبورد'!$B$6="الكل",$E1087,'الداشبورد'!$B$6))</f>
        <v/>
      </c>
      <c r="S1087">
        <f>--($K1087=IF('الداشبورد'!$B$7="الكل",$K1087,IF('الداشبورد'!$B$7="تصدير","Y","N")))</f>
        <v/>
      </c>
      <c r="T1087">
        <f>--($J1087=IF('الداشبورد'!$B$8="الكل",$J1087,IF('الداشبورد'!$B$8="AL","A","C")))</f>
        <v/>
      </c>
      <c r="U1087">
        <f>--($I1087=IF('الداشبورد'!$B$9="الكل",$I1087,IF('الداشبورد'!$B$9="بدون حالة","P",'الداشبورد'!$B$9)))</f>
        <v/>
      </c>
      <c r="V1087">
        <f>--($D1087=IF('الداشبورد'!$B$10="الكل",$D1087,'الداشبورد'!$B$10))</f>
        <v/>
      </c>
      <c r="W1087">
        <f>--($G1087=IF('الداشبورد'!$B$11="الكل",$G1087,'الداشبورد'!$B$11))</f>
        <v/>
      </c>
      <c r="X1087">
        <f>Q1087*R1087*S1087*T1087*U1087*V1087*W1087*--($C1087&lt;&gt;"")</f>
        <v/>
      </c>
    </row>
    <row r="1088">
      <c r="Q1088">
        <f>--($A1088=IF('الداشبورد'!$B$5="الكل",$A1088,'الداشبورد'!$B$5))</f>
        <v/>
      </c>
      <c r="R1088">
        <f>--($E1088=IF('الداشبورد'!$B$6="الكل",$E1088,'الداشبورد'!$B$6))</f>
        <v/>
      </c>
      <c r="S1088">
        <f>--($K1088=IF('الداشبورد'!$B$7="الكل",$K1088,IF('الداشبورد'!$B$7="تصدير","Y","N")))</f>
        <v/>
      </c>
      <c r="T1088">
        <f>--($J1088=IF('الداشبورد'!$B$8="الكل",$J1088,IF('الداشبورد'!$B$8="AL","A","C")))</f>
        <v/>
      </c>
      <c r="U1088">
        <f>--($I1088=IF('الداشبورد'!$B$9="الكل",$I1088,IF('الداشبورد'!$B$9="بدون حالة","P",'الداشبورد'!$B$9)))</f>
        <v/>
      </c>
      <c r="V1088">
        <f>--($D1088=IF('الداشبورد'!$B$10="الكل",$D1088,'الداشبورد'!$B$10))</f>
        <v/>
      </c>
      <c r="W1088">
        <f>--($G1088=IF('الداشبورد'!$B$11="الكل",$G1088,'الداشبورد'!$B$11))</f>
        <v/>
      </c>
      <c r="X1088">
        <f>Q1088*R1088*S1088*T1088*U1088*V1088*W1088*--($C1088&lt;&gt;"")</f>
        <v/>
      </c>
    </row>
    <row r="1089">
      <c r="Q1089">
        <f>--($A1089=IF('الداشبورد'!$B$5="الكل",$A1089,'الداشبورد'!$B$5))</f>
        <v/>
      </c>
      <c r="R1089">
        <f>--($E1089=IF('الداشبورد'!$B$6="الكل",$E1089,'الداشبورد'!$B$6))</f>
        <v/>
      </c>
      <c r="S1089">
        <f>--($K1089=IF('الداشبورد'!$B$7="الكل",$K1089,IF('الداشبورد'!$B$7="تصدير","Y","N")))</f>
        <v/>
      </c>
      <c r="T1089">
        <f>--($J1089=IF('الداشبورد'!$B$8="الكل",$J1089,IF('الداشبورد'!$B$8="AL","A","C")))</f>
        <v/>
      </c>
      <c r="U1089">
        <f>--($I1089=IF('الداشبورد'!$B$9="الكل",$I1089,IF('الداشبورد'!$B$9="بدون حالة","P",'الداشبورد'!$B$9)))</f>
        <v/>
      </c>
      <c r="V1089">
        <f>--($D1089=IF('الداشبورد'!$B$10="الكل",$D1089,'الداشبورد'!$B$10))</f>
        <v/>
      </c>
      <c r="W1089">
        <f>--($G1089=IF('الداشبورد'!$B$11="الكل",$G1089,'الداشبورد'!$B$11))</f>
        <v/>
      </c>
      <c r="X1089">
        <f>Q1089*R1089*S1089*T1089*U1089*V1089*W1089*--($C1089&lt;&gt;"")</f>
        <v/>
      </c>
    </row>
    <row r="1090">
      <c r="Q1090">
        <f>--($A1090=IF('الداشبورد'!$B$5="الكل",$A1090,'الداشبورد'!$B$5))</f>
        <v/>
      </c>
      <c r="R1090">
        <f>--($E1090=IF('الداشبورد'!$B$6="الكل",$E1090,'الداشبورد'!$B$6))</f>
        <v/>
      </c>
      <c r="S1090">
        <f>--($K1090=IF('الداشبورد'!$B$7="الكل",$K1090,IF('الداشبورد'!$B$7="تصدير","Y","N")))</f>
        <v/>
      </c>
      <c r="T1090">
        <f>--($J1090=IF('الداشبورد'!$B$8="الكل",$J1090,IF('الداشبورد'!$B$8="AL","A","C")))</f>
        <v/>
      </c>
      <c r="U1090">
        <f>--($I1090=IF('الداشبورد'!$B$9="الكل",$I1090,IF('الداشبورد'!$B$9="بدون حالة","P",'الداشبورد'!$B$9)))</f>
        <v/>
      </c>
      <c r="V1090">
        <f>--($D1090=IF('الداشبورد'!$B$10="الكل",$D1090,'الداشبورد'!$B$10))</f>
        <v/>
      </c>
      <c r="W1090">
        <f>--($G1090=IF('الداشبورد'!$B$11="الكل",$G1090,'الداشبورد'!$B$11))</f>
        <v/>
      </c>
      <c r="X1090">
        <f>Q1090*R1090*S1090*T1090*U1090*V1090*W1090*--($C1090&lt;&gt;"")</f>
        <v/>
      </c>
    </row>
    <row r="1091">
      <c r="Q1091">
        <f>--($A1091=IF('الداشبورد'!$B$5="الكل",$A1091,'الداشبورد'!$B$5))</f>
        <v/>
      </c>
      <c r="R1091">
        <f>--($E1091=IF('الداشبورد'!$B$6="الكل",$E1091,'الداشبورد'!$B$6))</f>
        <v/>
      </c>
      <c r="S1091">
        <f>--($K1091=IF('الداشبورد'!$B$7="الكل",$K1091,IF('الداشبورد'!$B$7="تصدير","Y","N")))</f>
        <v/>
      </c>
      <c r="T1091">
        <f>--($J1091=IF('الداشبورد'!$B$8="الكل",$J1091,IF('الداشبورد'!$B$8="AL","A","C")))</f>
        <v/>
      </c>
      <c r="U1091">
        <f>--($I1091=IF('الداشبورد'!$B$9="الكل",$I1091,IF('الداشبورد'!$B$9="بدون حالة","P",'الداشبورد'!$B$9)))</f>
        <v/>
      </c>
      <c r="V1091">
        <f>--($D1091=IF('الداشبورد'!$B$10="الكل",$D1091,'الداشبورد'!$B$10))</f>
        <v/>
      </c>
      <c r="W1091">
        <f>--($G1091=IF('الداشبورد'!$B$11="الكل",$G1091,'الداشبورد'!$B$11))</f>
        <v/>
      </c>
      <c r="X1091">
        <f>Q1091*R1091*S1091*T1091*U1091*V1091*W1091*--($C1091&lt;&gt;"")</f>
        <v/>
      </c>
    </row>
    <row r="1092">
      <c r="Q1092">
        <f>--($A1092=IF('الداشبورد'!$B$5="الكل",$A1092,'الداشبورد'!$B$5))</f>
        <v/>
      </c>
      <c r="R1092">
        <f>--($E1092=IF('الداشبورد'!$B$6="الكل",$E1092,'الداشبورد'!$B$6))</f>
        <v/>
      </c>
      <c r="S1092">
        <f>--($K1092=IF('الداشبورد'!$B$7="الكل",$K1092,IF('الداشبورد'!$B$7="تصدير","Y","N")))</f>
        <v/>
      </c>
      <c r="T1092">
        <f>--($J1092=IF('الداشبورد'!$B$8="الكل",$J1092,IF('الداشبورد'!$B$8="AL","A","C")))</f>
        <v/>
      </c>
      <c r="U1092">
        <f>--($I1092=IF('الداشبورد'!$B$9="الكل",$I1092,IF('الداشبورد'!$B$9="بدون حالة","P",'الداشبورد'!$B$9)))</f>
        <v/>
      </c>
      <c r="V1092">
        <f>--($D1092=IF('الداشبورد'!$B$10="الكل",$D1092,'الداشبورد'!$B$10))</f>
        <v/>
      </c>
      <c r="W1092">
        <f>--($G1092=IF('الداشبورد'!$B$11="الكل",$G1092,'الداشبورد'!$B$11))</f>
        <v/>
      </c>
      <c r="X1092">
        <f>Q1092*R1092*S1092*T1092*U1092*V1092*W1092*--($C1092&lt;&gt;"")</f>
        <v/>
      </c>
    </row>
    <row r="1093">
      <c r="Q1093">
        <f>--($A1093=IF('الداشبورد'!$B$5="الكل",$A1093,'الداشبورد'!$B$5))</f>
        <v/>
      </c>
      <c r="R1093">
        <f>--($E1093=IF('الداشبورد'!$B$6="الكل",$E1093,'الداشبورد'!$B$6))</f>
        <v/>
      </c>
      <c r="S1093">
        <f>--($K1093=IF('الداشبورد'!$B$7="الكل",$K1093,IF('الداشبورد'!$B$7="تصدير","Y","N")))</f>
        <v/>
      </c>
      <c r="T1093">
        <f>--($J1093=IF('الداشبورد'!$B$8="الكل",$J1093,IF('الداشبورد'!$B$8="AL","A","C")))</f>
        <v/>
      </c>
      <c r="U1093">
        <f>--($I1093=IF('الداشبورد'!$B$9="الكل",$I1093,IF('الداشبورد'!$B$9="بدون حالة","P",'الداشبورد'!$B$9)))</f>
        <v/>
      </c>
      <c r="V1093">
        <f>--($D1093=IF('الداشبورد'!$B$10="الكل",$D1093,'الداشبورد'!$B$10))</f>
        <v/>
      </c>
      <c r="W1093">
        <f>--($G1093=IF('الداشبورد'!$B$11="الكل",$G1093,'الداشبورد'!$B$11))</f>
        <v/>
      </c>
      <c r="X1093">
        <f>Q1093*R1093*S1093*T1093*U1093*V1093*W1093*--($C1093&lt;&gt;"")</f>
        <v/>
      </c>
    </row>
    <row r="1094">
      <c r="Q1094">
        <f>--($A1094=IF('الداشبورد'!$B$5="الكل",$A1094,'الداشبورد'!$B$5))</f>
        <v/>
      </c>
      <c r="R1094">
        <f>--($E1094=IF('الداشبورد'!$B$6="الكل",$E1094,'الداشبورد'!$B$6))</f>
        <v/>
      </c>
      <c r="S1094">
        <f>--($K1094=IF('الداشبورد'!$B$7="الكل",$K1094,IF('الداشبورد'!$B$7="تصدير","Y","N")))</f>
        <v/>
      </c>
      <c r="T1094">
        <f>--($J1094=IF('الداشبورد'!$B$8="الكل",$J1094,IF('الداشبورد'!$B$8="AL","A","C")))</f>
        <v/>
      </c>
      <c r="U1094">
        <f>--($I1094=IF('الداشبورد'!$B$9="الكل",$I1094,IF('الداشبورد'!$B$9="بدون حالة","P",'الداشبورد'!$B$9)))</f>
        <v/>
      </c>
      <c r="V1094">
        <f>--($D1094=IF('الداشبورد'!$B$10="الكل",$D1094,'الداشبورد'!$B$10))</f>
        <v/>
      </c>
      <c r="W1094">
        <f>--($G1094=IF('الداشبورد'!$B$11="الكل",$G1094,'الداشبورد'!$B$11))</f>
        <v/>
      </c>
      <c r="X1094">
        <f>Q1094*R1094*S1094*T1094*U1094*V1094*W1094*--($C1094&lt;&gt;"")</f>
        <v/>
      </c>
    </row>
    <row r="1095">
      <c r="Q1095">
        <f>--($A1095=IF('الداشبورد'!$B$5="الكل",$A1095,'الداشبورد'!$B$5))</f>
        <v/>
      </c>
      <c r="R1095">
        <f>--($E1095=IF('الداشبورد'!$B$6="الكل",$E1095,'الداشبورد'!$B$6))</f>
        <v/>
      </c>
      <c r="S1095">
        <f>--($K1095=IF('الداشبورد'!$B$7="الكل",$K1095,IF('الداشبورد'!$B$7="تصدير","Y","N")))</f>
        <v/>
      </c>
      <c r="T1095">
        <f>--($J1095=IF('الداشبورد'!$B$8="الكل",$J1095,IF('الداشبورد'!$B$8="AL","A","C")))</f>
        <v/>
      </c>
      <c r="U1095">
        <f>--($I1095=IF('الداشبورد'!$B$9="الكل",$I1095,IF('الداشبورد'!$B$9="بدون حالة","P",'الداشبورد'!$B$9)))</f>
        <v/>
      </c>
      <c r="V1095">
        <f>--($D1095=IF('الداشبورد'!$B$10="الكل",$D1095,'الداشبورد'!$B$10))</f>
        <v/>
      </c>
      <c r="W1095">
        <f>--($G1095=IF('الداشبورد'!$B$11="الكل",$G1095,'الداشبورد'!$B$11))</f>
        <v/>
      </c>
      <c r="X1095">
        <f>Q1095*R1095*S1095*T1095*U1095*V1095*W1095*--($C1095&lt;&gt;"")</f>
        <v/>
      </c>
    </row>
    <row r="1096">
      <c r="Q1096">
        <f>--($A1096=IF('الداشبورد'!$B$5="الكل",$A1096,'الداشبورد'!$B$5))</f>
        <v/>
      </c>
      <c r="R1096">
        <f>--($E1096=IF('الداشبورد'!$B$6="الكل",$E1096,'الداشبورد'!$B$6))</f>
        <v/>
      </c>
      <c r="S1096">
        <f>--($K1096=IF('الداشبورد'!$B$7="الكل",$K1096,IF('الداشبورد'!$B$7="تصدير","Y","N")))</f>
        <v/>
      </c>
      <c r="T1096">
        <f>--($J1096=IF('الداشبورد'!$B$8="الكل",$J1096,IF('الداشبورد'!$B$8="AL","A","C")))</f>
        <v/>
      </c>
      <c r="U1096">
        <f>--($I1096=IF('الداشبورد'!$B$9="الكل",$I1096,IF('الداشبورد'!$B$9="بدون حالة","P",'الداشبورد'!$B$9)))</f>
        <v/>
      </c>
      <c r="V1096">
        <f>--($D1096=IF('الداشبورد'!$B$10="الكل",$D1096,'الداشبورد'!$B$10))</f>
        <v/>
      </c>
      <c r="W1096">
        <f>--($G1096=IF('الداشبورد'!$B$11="الكل",$G1096,'الداشبورد'!$B$11))</f>
        <v/>
      </c>
      <c r="X1096">
        <f>Q1096*R1096*S1096*T1096*U1096*V1096*W1096*--($C1096&lt;&gt;"")</f>
        <v/>
      </c>
    </row>
    <row r="1097">
      <c r="Q1097">
        <f>--($A1097=IF('الداشبورد'!$B$5="الكل",$A1097,'الداشبورد'!$B$5))</f>
        <v/>
      </c>
      <c r="R1097">
        <f>--($E1097=IF('الداشبورد'!$B$6="الكل",$E1097,'الداشبورد'!$B$6))</f>
        <v/>
      </c>
      <c r="S1097">
        <f>--($K1097=IF('الداشبورد'!$B$7="الكل",$K1097,IF('الداشبورد'!$B$7="تصدير","Y","N")))</f>
        <v/>
      </c>
      <c r="T1097">
        <f>--($J1097=IF('الداشبورد'!$B$8="الكل",$J1097,IF('الداشبورد'!$B$8="AL","A","C")))</f>
        <v/>
      </c>
      <c r="U1097">
        <f>--($I1097=IF('الداشبورد'!$B$9="الكل",$I1097,IF('الداشبورد'!$B$9="بدون حالة","P",'الداشبورد'!$B$9)))</f>
        <v/>
      </c>
      <c r="V1097">
        <f>--($D1097=IF('الداشبورد'!$B$10="الكل",$D1097,'الداشبورد'!$B$10))</f>
        <v/>
      </c>
      <c r="W1097">
        <f>--($G1097=IF('الداشبورد'!$B$11="الكل",$G1097,'الداشبورد'!$B$11))</f>
        <v/>
      </c>
      <c r="X1097">
        <f>Q1097*R1097*S1097*T1097*U1097*V1097*W1097*--($C1097&lt;&gt;"")</f>
        <v/>
      </c>
    </row>
    <row r="1098">
      <c r="Q1098">
        <f>--($A1098=IF('الداشبورد'!$B$5="الكل",$A1098,'الداشبورد'!$B$5))</f>
        <v/>
      </c>
      <c r="R1098">
        <f>--($E1098=IF('الداشبورد'!$B$6="الكل",$E1098,'الداشبورد'!$B$6))</f>
        <v/>
      </c>
      <c r="S1098">
        <f>--($K1098=IF('الداشبورد'!$B$7="الكل",$K1098,IF('الداشبورد'!$B$7="تصدير","Y","N")))</f>
        <v/>
      </c>
      <c r="T1098">
        <f>--($J1098=IF('الداشبورد'!$B$8="الكل",$J1098,IF('الداشبورد'!$B$8="AL","A","C")))</f>
        <v/>
      </c>
      <c r="U1098">
        <f>--($I1098=IF('الداشبورد'!$B$9="الكل",$I1098,IF('الداشبورد'!$B$9="بدون حالة","P",'الداشبورد'!$B$9)))</f>
        <v/>
      </c>
      <c r="V1098">
        <f>--($D1098=IF('الداشبورد'!$B$10="الكل",$D1098,'الداشبورد'!$B$10))</f>
        <v/>
      </c>
      <c r="W1098">
        <f>--($G1098=IF('الداشبورد'!$B$11="الكل",$G1098,'الداشبورد'!$B$11))</f>
        <v/>
      </c>
      <c r="X1098">
        <f>Q1098*R1098*S1098*T1098*U1098*V1098*W1098*--($C1098&lt;&gt;"")</f>
        <v/>
      </c>
    </row>
    <row r="1099">
      <c r="Q1099">
        <f>--($A1099=IF('الداشبورد'!$B$5="الكل",$A1099,'الداشبورد'!$B$5))</f>
        <v/>
      </c>
      <c r="R1099">
        <f>--($E1099=IF('الداشبورد'!$B$6="الكل",$E1099,'الداشبورد'!$B$6))</f>
        <v/>
      </c>
      <c r="S1099">
        <f>--($K1099=IF('الداشبورد'!$B$7="الكل",$K1099,IF('الداشبورد'!$B$7="تصدير","Y","N")))</f>
        <v/>
      </c>
      <c r="T1099">
        <f>--($J1099=IF('الداشبورد'!$B$8="الكل",$J1099,IF('الداشبورد'!$B$8="AL","A","C")))</f>
        <v/>
      </c>
      <c r="U1099">
        <f>--($I1099=IF('الداشبورد'!$B$9="الكل",$I1099,IF('الداشبورد'!$B$9="بدون حالة","P",'الداشبورد'!$B$9)))</f>
        <v/>
      </c>
      <c r="V1099">
        <f>--($D1099=IF('الداشبورد'!$B$10="الكل",$D1099,'الداشبورد'!$B$10))</f>
        <v/>
      </c>
      <c r="W1099">
        <f>--($G1099=IF('الداشبورد'!$B$11="الكل",$G1099,'الداشبورد'!$B$11))</f>
        <v/>
      </c>
      <c r="X1099">
        <f>Q1099*R1099*S1099*T1099*U1099*V1099*W1099*--($C1099&lt;&gt;"")</f>
        <v/>
      </c>
    </row>
    <row r="1100">
      <c r="Q1100">
        <f>--($A1100=IF('الداشبورد'!$B$5="الكل",$A1100,'الداشبورد'!$B$5))</f>
        <v/>
      </c>
      <c r="R1100">
        <f>--($E1100=IF('الداشبورد'!$B$6="الكل",$E1100,'الداشبورد'!$B$6))</f>
        <v/>
      </c>
      <c r="S1100">
        <f>--($K1100=IF('الداشبورد'!$B$7="الكل",$K1100,IF('الداشبورد'!$B$7="تصدير","Y","N")))</f>
        <v/>
      </c>
      <c r="T1100">
        <f>--($J1100=IF('الداشبورد'!$B$8="الكل",$J1100,IF('الداشبورد'!$B$8="AL","A","C")))</f>
        <v/>
      </c>
      <c r="U1100">
        <f>--($I1100=IF('الداشبورد'!$B$9="الكل",$I1100,IF('الداشبورد'!$B$9="بدون حالة","P",'الداشبورد'!$B$9)))</f>
        <v/>
      </c>
      <c r="V1100">
        <f>--($D1100=IF('الداشبورد'!$B$10="الكل",$D1100,'الداشبورد'!$B$10))</f>
        <v/>
      </c>
      <c r="W1100">
        <f>--($G1100=IF('الداشبورد'!$B$11="الكل",$G1100,'الداشبورد'!$B$11))</f>
        <v/>
      </c>
      <c r="X1100">
        <f>Q1100*R1100*S1100*T1100*U1100*V1100*W1100*--($C1100&lt;&gt;"")</f>
        <v/>
      </c>
    </row>
    <row r="1101">
      <c r="Q1101">
        <f>--($A1101=IF('الداشبورد'!$B$5="الكل",$A1101,'الداشبورد'!$B$5))</f>
        <v/>
      </c>
      <c r="R1101">
        <f>--($E1101=IF('الداشبورد'!$B$6="الكل",$E1101,'الداشبورد'!$B$6))</f>
        <v/>
      </c>
      <c r="S1101">
        <f>--($K1101=IF('الداشبورد'!$B$7="الكل",$K1101,IF('الداشبورد'!$B$7="تصدير","Y","N")))</f>
        <v/>
      </c>
      <c r="T1101">
        <f>--($J1101=IF('الداشبورد'!$B$8="الكل",$J1101,IF('الداشبورد'!$B$8="AL","A","C")))</f>
        <v/>
      </c>
      <c r="U1101">
        <f>--($I1101=IF('الداشبورد'!$B$9="الكل",$I1101,IF('الداشبورد'!$B$9="بدون حالة","P",'الداشبورد'!$B$9)))</f>
        <v/>
      </c>
      <c r="V1101">
        <f>--($D1101=IF('الداشبورد'!$B$10="الكل",$D1101,'الداشبورد'!$B$10))</f>
        <v/>
      </c>
      <c r="W1101">
        <f>--($G1101=IF('الداشبورد'!$B$11="الكل",$G1101,'الداشبورد'!$B$11))</f>
        <v/>
      </c>
      <c r="X1101">
        <f>Q1101*R1101*S1101*T1101*U1101*V1101*W1101*--($C1101&lt;&gt;"")</f>
        <v/>
      </c>
    </row>
    <row r="1102">
      <c r="Q1102">
        <f>--($A1102=IF('الداشبورد'!$B$5="الكل",$A1102,'الداشبورد'!$B$5))</f>
        <v/>
      </c>
      <c r="R1102">
        <f>--($E1102=IF('الداشبورد'!$B$6="الكل",$E1102,'الداشبورد'!$B$6))</f>
        <v/>
      </c>
      <c r="S1102">
        <f>--($K1102=IF('الداشبورد'!$B$7="الكل",$K1102,IF('الداشبورد'!$B$7="تصدير","Y","N")))</f>
        <v/>
      </c>
      <c r="T1102">
        <f>--($J1102=IF('الداشبورد'!$B$8="الكل",$J1102,IF('الداشبورد'!$B$8="AL","A","C")))</f>
        <v/>
      </c>
      <c r="U1102">
        <f>--($I1102=IF('الداشبورد'!$B$9="الكل",$I1102,IF('الداشبورد'!$B$9="بدون حالة","P",'الداشبورد'!$B$9)))</f>
        <v/>
      </c>
      <c r="V1102">
        <f>--($D1102=IF('الداشبورد'!$B$10="الكل",$D1102,'الداشبورد'!$B$10))</f>
        <v/>
      </c>
      <c r="W1102">
        <f>--($G1102=IF('الداشبورد'!$B$11="الكل",$G1102,'الداشبورد'!$B$11))</f>
        <v/>
      </c>
      <c r="X1102">
        <f>Q1102*R1102*S1102*T1102*U1102*V1102*W1102*--($C1102&lt;&gt;"")</f>
        <v/>
      </c>
    </row>
    <row r="1103">
      <c r="Q1103">
        <f>--($A1103=IF('الداشبورد'!$B$5="الكل",$A1103,'الداشبورد'!$B$5))</f>
        <v/>
      </c>
      <c r="R1103">
        <f>--($E1103=IF('الداشبورد'!$B$6="الكل",$E1103,'الداشبورد'!$B$6))</f>
        <v/>
      </c>
      <c r="S1103">
        <f>--($K1103=IF('الداشبورد'!$B$7="الكل",$K1103,IF('الداشبورد'!$B$7="تصدير","Y","N")))</f>
        <v/>
      </c>
      <c r="T1103">
        <f>--($J1103=IF('الداشبورد'!$B$8="الكل",$J1103,IF('الداشبورد'!$B$8="AL","A","C")))</f>
        <v/>
      </c>
      <c r="U1103">
        <f>--($I1103=IF('الداشبورد'!$B$9="الكل",$I1103,IF('الداشبورد'!$B$9="بدون حالة","P",'الداشبورد'!$B$9)))</f>
        <v/>
      </c>
      <c r="V1103">
        <f>--($D1103=IF('الداشبورد'!$B$10="الكل",$D1103,'الداشبورد'!$B$10))</f>
        <v/>
      </c>
      <c r="W1103">
        <f>--($G1103=IF('الداشبورد'!$B$11="الكل",$G1103,'الداشبورد'!$B$11))</f>
        <v/>
      </c>
      <c r="X1103">
        <f>Q1103*R1103*S1103*T1103*U1103*V1103*W1103*--($C1103&lt;&gt;"")</f>
        <v/>
      </c>
    </row>
    <row r="1104">
      <c r="Q1104">
        <f>--($A1104=IF('الداشبورد'!$B$5="الكل",$A1104,'الداشبورد'!$B$5))</f>
        <v/>
      </c>
      <c r="R1104">
        <f>--($E1104=IF('الداشبورد'!$B$6="الكل",$E1104,'الداشبورد'!$B$6))</f>
        <v/>
      </c>
      <c r="S1104">
        <f>--($K1104=IF('الداشبورد'!$B$7="الكل",$K1104,IF('الداشبورد'!$B$7="تصدير","Y","N")))</f>
        <v/>
      </c>
      <c r="T1104">
        <f>--($J1104=IF('الداشبورد'!$B$8="الكل",$J1104,IF('الداشبورد'!$B$8="AL","A","C")))</f>
        <v/>
      </c>
      <c r="U1104">
        <f>--($I1104=IF('الداشبورد'!$B$9="الكل",$I1104,IF('الداشبورد'!$B$9="بدون حالة","P",'الداشبورد'!$B$9)))</f>
        <v/>
      </c>
      <c r="V1104">
        <f>--($D1104=IF('الداشبورد'!$B$10="الكل",$D1104,'الداشبورد'!$B$10))</f>
        <v/>
      </c>
      <c r="W1104">
        <f>--($G1104=IF('الداشبورد'!$B$11="الكل",$G1104,'الداشبورد'!$B$11))</f>
        <v/>
      </c>
      <c r="X1104">
        <f>Q1104*R1104*S1104*T1104*U1104*V1104*W1104*--($C1104&lt;&gt;"")</f>
        <v/>
      </c>
    </row>
    <row r="1105">
      <c r="Q1105">
        <f>--($A1105=IF('الداشبورد'!$B$5="الكل",$A1105,'الداشبورد'!$B$5))</f>
        <v/>
      </c>
      <c r="R1105">
        <f>--($E1105=IF('الداشبورد'!$B$6="الكل",$E1105,'الداشبورد'!$B$6))</f>
        <v/>
      </c>
      <c r="S1105">
        <f>--($K1105=IF('الداشبورد'!$B$7="الكل",$K1105,IF('الداشبورد'!$B$7="تصدير","Y","N")))</f>
        <v/>
      </c>
      <c r="T1105">
        <f>--($J1105=IF('الداشبورد'!$B$8="الكل",$J1105,IF('الداشبورد'!$B$8="AL","A","C")))</f>
        <v/>
      </c>
      <c r="U1105">
        <f>--($I1105=IF('الداشبورد'!$B$9="الكل",$I1105,IF('الداشبورد'!$B$9="بدون حالة","P",'الداشبورد'!$B$9)))</f>
        <v/>
      </c>
      <c r="V1105">
        <f>--($D1105=IF('الداشبورد'!$B$10="الكل",$D1105,'الداشبورد'!$B$10))</f>
        <v/>
      </c>
      <c r="W1105">
        <f>--($G1105=IF('الداشبورد'!$B$11="الكل",$G1105,'الداشبورد'!$B$11))</f>
        <v/>
      </c>
      <c r="X1105">
        <f>Q1105*R1105*S1105*T1105*U1105*V1105*W1105*--($C1105&lt;&gt;"")</f>
        <v/>
      </c>
    </row>
    <row r="1106">
      <c r="Q1106">
        <f>--($A1106=IF('الداشبورد'!$B$5="الكل",$A1106,'الداشبورد'!$B$5))</f>
        <v/>
      </c>
      <c r="R1106">
        <f>--($E1106=IF('الداشبورد'!$B$6="الكل",$E1106,'الداشبورد'!$B$6))</f>
        <v/>
      </c>
      <c r="S1106">
        <f>--($K1106=IF('الداشبورد'!$B$7="الكل",$K1106,IF('الداشبورد'!$B$7="تصدير","Y","N")))</f>
        <v/>
      </c>
      <c r="T1106">
        <f>--($J1106=IF('الداشبورد'!$B$8="الكل",$J1106,IF('الداشبورد'!$B$8="AL","A","C")))</f>
        <v/>
      </c>
      <c r="U1106">
        <f>--($I1106=IF('الداشبورد'!$B$9="الكل",$I1106,IF('الداشبورد'!$B$9="بدون حالة","P",'الداشبورد'!$B$9)))</f>
        <v/>
      </c>
      <c r="V1106">
        <f>--($D1106=IF('الداشبورد'!$B$10="الكل",$D1106,'الداشبورد'!$B$10))</f>
        <v/>
      </c>
      <c r="W1106">
        <f>--($G1106=IF('الداشبورد'!$B$11="الكل",$G1106,'الداشبورد'!$B$11))</f>
        <v/>
      </c>
      <c r="X1106">
        <f>Q1106*R1106*S1106*T1106*U1106*V1106*W1106*--($C1106&lt;&gt;"")</f>
        <v/>
      </c>
    </row>
    <row r="1107">
      <c r="Q1107">
        <f>--($A1107=IF('الداشبورد'!$B$5="الكل",$A1107,'الداشبورد'!$B$5))</f>
        <v/>
      </c>
      <c r="R1107">
        <f>--($E1107=IF('الداشبورد'!$B$6="الكل",$E1107,'الداشبورد'!$B$6))</f>
        <v/>
      </c>
      <c r="S1107">
        <f>--($K1107=IF('الداشبورد'!$B$7="الكل",$K1107,IF('الداشبورد'!$B$7="تصدير","Y","N")))</f>
        <v/>
      </c>
      <c r="T1107">
        <f>--($J1107=IF('الداشبورد'!$B$8="الكل",$J1107,IF('الداشبورد'!$B$8="AL","A","C")))</f>
        <v/>
      </c>
      <c r="U1107">
        <f>--($I1107=IF('الداشبورد'!$B$9="الكل",$I1107,IF('الداشبورد'!$B$9="بدون حالة","P",'الداشبورد'!$B$9)))</f>
        <v/>
      </c>
      <c r="V1107">
        <f>--($D1107=IF('الداشبورد'!$B$10="الكل",$D1107,'الداشبورد'!$B$10))</f>
        <v/>
      </c>
      <c r="W1107">
        <f>--($G1107=IF('الداشبورد'!$B$11="الكل",$G1107,'الداشبورد'!$B$11))</f>
        <v/>
      </c>
      <c r="X1107">
        <f>Q1107*R1107*S1107*T1107*U1107*V1107*W1107*--($C1107&lt;&gt;"")</f>
        <v/>
      </c>
    </row>
    <row r="1108">
      <c r="Q1108">
        <f>--($A1108=IF('الداشبورد'!$B$5="الكل",$A1108,'الداشبورد'!$B$5))</f>
        <v/>
      </c>
      <c r="R1108">
        <f>--($E1108=IF('الداشبورد'!$B$6="الكل",$E1108,'الداشبورد'!$B$6))</f>
        <v/>
      </c>
      <c r="S1108">
        <f>--($K1108=IF('الداشبورد'!$B$7="الكل",$K1108,IF('الداشبورد'!$B$7="تصدير","Y","N")))</f>
        <v/>
      </c>
      <c r="T1108">
        <f>--($J1108=IF('الداشبورد'!$B$8="الكل",$J1108,IF('الداشبورد'!$B$8="AL","A","C")))</f>
        <v/>
      </c>
      <c r="U1108">
        <f>--($I1108=IF('الداشبورد'!$B$9="الكل",$I1108,IF('الداشبورد'!$B$9="بدون حالة","P",'الداشبورد'!$B$9)))</f>
        <v/>
      </c>
      <c r="V1108">
        <f>--($D1108=IF('الداشبورد'!$B$10="الكل",$D1108,'الداشبورد'!$B$10))</f>
        <v/>
      </c>
      <c r="W1108">
        <f>--($G1108=IF('الداشبورد'!$B$11="الكل",$G1108,'الداشبورد'!$B$11))</f>
        <v/>
      </c>
      <c r="X1108">
        <f>Q1108*R1108*S1108*T1108*U1108*V1108*W1108*--($C1108&lt;&gt;"")</f>
        <v/>
      </c>
    </row>
    <row r="1109">
      <c r="Q1109">
        <f>--($A1109=IF('الداشبورد'!$B$5="الكل",$A1109,'الداشبورد'!$B$5))</f>
        <v/>
      </c>
      <c r="R1109">
        <f>--($E1109=IF('الداشبورد'!$B$6="الكل",$E1109,'الداشبورد'!$B$6))</f>
        <v/>
      </c>
      <c r="S1109">
        <f>--($K1109=IF('الداشبورد'!$B$7="الكل",$K1109,IF('الداشبورد'!$B$7="تصدير","Y","N")))</f>
        <v/>
      </c>
      <c r="T1109">
        <f>--($J1109=IF('الداشبورد'!$B$8="الكل",$J1109,IF('الداشبورد'!$B$8="AL","A","C")))</f>
        <v/>
      </c>
      <c r="U1109">
        <f>--($I1109=IF('الداشبورد'!$B$9="الكل",$I1109,IF('الداشبورد'!$B$9="بدون حالة","P",'الداشبورد'!$B$9)))</f>
        <v/>
      </c>
      <c r="V1109">
        <f>--($D1109=IF('الداشبورد'!$B$10="الكل",$D1109,'الداشبورد'!$B$10))</f>
        <v/>
      </c>
      <c r="W1109">
        <f>--($G1109=IF('الداشبورد'!$B$11="الكل",$G1109,'الداشبورد'!$B$11))</f>
        <v/>
      </c>
      <c r="X1109">
        <f>Q1109*R1109*S1109*T1109*U1109*V1109*W1109*--($C1109&lt;&gt;"")</f>
        <v/>
      </c>
    </row>
    <row r="1110">
      <c r="Q1110">
        <f>--($A1110=IF('الداشبورد'!$B$5="الكل",$A1110,'الداشبورد'!$B$5))</f>
        <v/>
      </c>
      <c r="R1110">
        <f>--($E1110=IF('الداشبورد'!$B$6="الكل",$E1110,'الداشبورد'!$B$6))</f>
        <v/>
      </c>
      <c r="S1110">
        <f>--($K1110=IF('الداشبورد'!$B$7="الكل",$K1110,IF('الداشبورد'!$B$7="تصدير","Y","N")))</f>
        <v/>
      </c>
      <c r="T1110">
        <f>--($J1110=IF('الداشبورد'!$B$8="الكل",$J1110,IF('الداشبورد'!$B$8="AL","A","C")))</f>
        <v/>
      </c>
      <c r="U1110">
        <f>--($I1110=IF('الداشبورد'!$B$9="الكل",$I1110,IF('الداشبورد'!$B$9="بدون حالة","P",'الداشبورد'!$B$9)))</f>
        <v/>
      </c>
      <c r="V1110">
        <f>--($D1110=IF('الداشبورد'!$B$10="الكل",$D1110,'الداشبورد'!$B$10))</f>
        <v/>
      </c>
      <c r="W1110">
        <f>--($G1110=IF('الداشبورد'!$B$11="الكل",$G1110,'الداشبورد'!$B$11))</f>
        <v/>
      </c>
      <c r="X1110">
        <f>Q1110*R1110*S1110*T1110*U1110*V1110*W1110*--($C1110&lt;&gt;"")</f>
        <v/>
      </c>
    </row>
    <row r="1111">
      <c r="Q1111">
        <f>--($A1111=IF('الداشبورد'!$B$5="الكل",$A1111,'الداشبورد'!$B$5))</f>
        <v/>
      </c>
      <c r="R1111">
        <f>--($E1111=IF('الداشبورد'!$B$6="الكل",$E1111,'الداشبورد'!$B$6))</f>
        <v/>
      </c>
      <c r="S1111">
        <f>--($K1111=IF('الداشبورد'!$B$7="الكل",$K1111,IF('الداشبورد'!$B$7="تصدير","Y","N")))</f>
        <v/>
      </c>
      <c r="T1111">
        <f>--($J1111=IF('الداشبورد'!$B$8="الكل",$J1111,IF('الداشبورد'!$B$8="AL","A","C")))</f>
        <v/>
      </c>
      <c r="U1111">
        <f>--($I1111=IF('الداشبورد'!$B$9="الكل",$I1111,IF('الداشبورد'!$B$9="بدون حالة","P",'الداشبورد'!$B$9)))</f>
        <v/>
      </c>
      <c r="V1111">
        <f>--($D1111=IF('الداشبورد'!$B$10="الكل",$D1111,'الداشبورد'!$B$10))</f>
        <v/>
      </c>
      <c r="W1111">
        <f>--($G1111=IF('الداشبورد'!$B$11="الكل",$G1111,'الداشبورد'!$B$11))</f>
        <v/>
      </c>
      <c r="X1111">
        <f>Q1111*R1111*S1111*T1111*U1111*V1111*W1111*--($C1111&lt;&gt;"")</f>
        <v/>
      </c>
    </row>
    <row r="1112">
      <c r="Q1112">
        <f>--($A1112=IF('الداشبورد'!$B$5="الكل",$A1112,'الداشبورد'!$B$5))</f>
        <v/>
      </c>
      <c r="R1112">
        <f>--($E1112=IF('الداشبورد'!$B$6="الكل",$E1112,'الداشبورد'!$B$6))</f>
        <v/>
      </c>
      <c r="S1112">
        <f>--($K1112=IF('الداشبورد'!$B$7="الكل",$K1112,IF('الداشبورد'!$B$7="تصدير","Y","N")))</f>
        <v/>
      </c>
      <c r="T1112">
        <f>--($J1112=IF('الداشبورد'!$B$8="الكل",$J1112,IF('الداشبورد'!$B$8="AL","A","C")))</f>
        <v/>
      </c>
      <c r="U1112">
        <f>--($I1112=IF('الداشبورد'!$B$9="الكل",$I1112,IF('الداشبورد'!$B$9="بدون حالة","P",'الداشبورد'!$B$9)))</f>
        <v/>
      </c>
      <c r="V1112">
        <f>--($D1112=IF('الداشبورد'!$B$10="الكل",$D1112,'الداشبورد'!$B$10))</f>
        <v/>
      </c>
      <c r="W1112">
        <f>--($G1112=IF('الداشبورد'!$B$11="الكل",$G1112,'الداشبورد'!$B$11))</f>
        <v/>
      </c>
      <c r="X1112">
        <f>Q1112*R1112*S1112*T1112*U1112*V1112*W1112*--($C1112&lt;&gt;"")</f>
        <v/>
      </c>
    </row>
    <row r="1113">
      <c r="Q1113">
        <f>--($A1113=IF('الداشبورد'!$B$5="الكل",$A1113,'الداشبورد'!$B$5))</f>
        <v/>
      </c>
      <c r="R1113">
        <f>--($E1113=IF('الداشبورد'!$B$6="الكل",$E1113,'الداشبورد'!$B$6))</f>
        <v/>
      </c>
      <c r="S1113">
        <f>--($K1113=IF('الداشبورد'!$B$7="الكل",$K1113,IF('الداشبورد'!$B$7="تصدير","Y","N")))</f>
        <v/>
      </c>
      <c r="T1113">
        <f>--($J1113=IF('الداشبورد'!$B$8="الكل",$J1113,IF('الداشبورد'!$B$8="AL","A","C")))</f>
        <v/>
      </c>
      <c r="U1113">
        <f>--($I1113=IF('الداشبورد'!$B$9="الكل",$I1113,IF('الداشبورد'!$B$9="بدون حالة","P",'الداشبورد'!$B$9)))</f>
        <v/>
      </c>
      <c r="V1113">
        <f>--($D1113=IF('الداشبورد'!$B$10="الكل",$D1113,'الداشبورد'!$B$10))</f>
        <v/>
      </c>
      <c r="W1113">
        <f>--($G1113=IF('الداشبورد'!$B$11="الكل",$G1113,'الداشبورد'!$B$11))</f>
        <v/>
      </c>
      <c r="X1113">
        <f>Q1113*R1113*S1113*T1113*U1113*V1113*W1113*--($C1113&lt;&gt;"")</f>
        <v/>
      </c>
    </row>
    <row r="1114">
      <c r="Q1114">
        <f>--($A1114=IF('الداشبورد'!$B$5="الكل",$A1114,'الداشبورد'!$B$5))</f>
        <v/>
      </c>
      <c r="R1114">
        <f>--($E1114=IF('الداشبورد'!$B$6="الكل",$E1114,'الداشبورد'!$B$6))</f>
        <v/>
      </c>
      <c r="S1114">
        <f>--($K1114=IF('الداشبورد'!$B$7="الكل",$K1114,IF('الداشبورد'!$B$7="تصدير","Y","N")))</f>
        <v/>
      </c>
      <c r="T1114">
        <f>--($J1114=IF('الداشبورد'!$B$8="الكل",$J1114,IF('الداشبورد'!$B$8="AL","A","C")))</f>
        <v/>
      </c>
      <c r="U1114">
        <f>--($I1114=IF('الداشبورد'!$B$9="الكل",$I1114,IF('الداشبورد'!$B$9="بدون حالة","P",'الداشبورد'!$B$9)))</f>
        <v/>
      </c>
      <c r="V1114">
        <f>--($D1114=IF('الداشبورد'!$B$10="الكل",$D1114,'الداشبورد'!$B$10))</f>
        <v/>
      </c>
      <c r="W1114">
        <f>--($G1114=IF('الداشبورد'!$B$11="الكل",$G1114,'الداشبورد'!$B$11))</f>
        <v/>
      </c>
      <c r="X1114">
        <f>Q1114*R1114*S1114*T1114*U1114*V1114*W1114*--($C1114&lt;&gt;"")</f>
        <v/>
      </c>
    </row>
    <row r="1115">
      <c r="Q1115">
        <f>--($A1115=IF('الداشبورد'!$B$5="الكل",$A1115,'الداشبورد'!$B$5))</f>
        <v/>
      </c>
      <c r="R1115">
        <f>--($E1115=IF('الداشبورد'!$B$6="الكل",$E1115,'الداشبورد'!$B$6))</f>
        <v/>
      </c>
      <c r="S1115">
        <f>--($K1115=IF('الداشبورد'!$B$7="الكل",$K1115,IF('الداشبورد'!$B$7="تصدير","Y","N")))</f>
        <v/>
      </c>
      <c r="T1115">
        <f>--($J1115=IF('الداشبورد'!$B$8="الكل",$J1115,IF('الداشبورد'!$B$8="AL","A","C")))</f>
        <v/>
      </c>
      <c r="U1115">
        <f>--($I1115=IF('الداشبورد'!$B$9="الكل",$I1115,IF('الداشبورد'!$B$9="بدون حالة","P",'الداشبورد'!$B$9)))</f>
        <v/>
      </c>
      <c r="V1115">
        <f>--($D1115=IF('الداشبورد'!$B$10="الكل",$D1115,'الداشبورد'!$B$10))</f>
        <v/>
      </c>
      <c r="W1115">
        <f>--($G1115=IF('الداشبورد'!$B$11="الكل",$G1115,'الداشبورد'!$B$11))</f>
        <v/>
      </c>
      <c r="X1115">
        <f>Q1115*R1115*S1115*T1115*U1115*V1115*W1115*--($C1115&lt;&gt;"")</f>
        <v/>
      </c>
    </row>
    <row r="1116">
      <c r="Q1116">
        <f>--($A1116=IF('الداشبورد'!$B$5="الكل",$A1116,'الداشبورد'!$B$5))</f>
        <v/>
      </c>
      <c r="R1116">
        <f>--($E1116=IF('الداشبورد'!$B$6="الكل",$E1116,'الداشبورد'!$B$6))</f>
        <v/>
      </c>
      <c r="S1116">
        <f>--($K1116=IF('الداشبورد'!$B$7="الكل",$K1116,IF('الداشبورد'!$B$7="تصدير","Y","N")))</f>
        <v/>
      </c>
      <c r="T1116">
        <f>--($J1116=IF('الداشبورد'!$B$8="الكل",$J1116,IF('الداشبورد'!$B$8="AL","A","C")))</f>
        <v/>
      </c>
      <c r="U1116">
        <f>--($I1116=IF('الداشبورد'!$B$9="الكل",$I1116,IF('الداشبورد'!$B$9="بدون حالة","P",'الداشبورد'!$B$9)))</f>
        <v/>
      </c>
      <c r="V1116">
        <f>--($D1116=IF('الداشبورد'!$B$10="الكل",$D1116,'الداشبورد'!$B$10))</f>
        <v/>
      </c>
      <c r="W1116">
        <f>--($G1116=IF('الداشبورد'!$B$11="الكل",$G1116,'الداشبورد'!$B$11))</f>
        <v/>
      </c>
      <c r="X1116">
        <f>Q1116*R1116*S1116*T1116*U1116*V1116*W1116*--($C1116&lt;&gt;"")</f>
        <v/>
      </c>
    </row>
    <row r="1117">
      <c r="Q1117">
        <f>--($A1117=IF('الداشبورد'!$B$5="الكل",$A1117,'الداشبورد'!$B$5))</f>
        <v/>
      </c>
      <c r="R1117">
        <f>--($E1117=IF('الداشبورد'!$B$6="الكل",$E1117,'الداشبورد'!$B$6))</f>
        <v/>
      </c>
      <c r="S1117">
        <f>--($K1117=IF('الداشبورد'!$B$7="الكل",$K1117,IF('الداشبورد'!$B$7="تصدير","Y","N")))</f>
        <v/>
      </c>
      <c r="T1117">
        <f>--($J1117=IF('الداشبورد'!$B$8="الكل",$J1117,IF('الداشبورد'!$B$8="AL","A","C")))</f>
        <v/>
      </c>
      <c r="U1117">
        <f>--($I1117=IF('الداشبورد'!$B$9="الكل",$I1117,IF('الداشبورد'!$B$9="بدون حالة","P",'الداشبورد'!$B$9)))</f>
        <v/>
      </c>
      <c r="V1117">
        <f>--($D1117=IF('الداشبورد'!$B$10="الكل",$D1117,'الداشبورد'!$B$10))</f>
        <v/>
      </c>
      <c r="W1117">
        <f>--($G1117=IF('الداشبورد'!$B$11="الكل",$G1117,'الداشبورد'!$B$11))</f>
        <v/>
      </c>
      <c r="X1117">
        <f>Q1117*R1117*S1117*T1117*U1117*V1117*W1117*--($C1117&lt;&gt;"")</f>
        <v/>
      </c>
    </row>
    <row r="1118">
      <c r="Q1118">
        <f>--($A1118=IF('الداشبورد'!$B$5="الكل",$A1118,'الداشبورد'!$B$5))</f>
        <v/>
      </c>
      <c r="R1118">
        <f>--($E1118=IF('الداشبورد'!$B$6="الكل",$E1118,'الداشبورد'!$B$6))</f>
        <v/>
      </c>
      <c r="S1118">
        <f>--($K1118=IF('الداشبورد'!$B$7="الكل",$K1118,IF('الداشبورد'!$B$7="تصدير","Y","N")))</f>
        <v/>
      </c>
      <c r="T1118">
        <f>--($J1118=IF('الداشبورد'!$B$8="الكل",$J1118,IF('الداشبورد'!$B$8="AL","A","C")))</f>
        <v/>
      </c>
      <c r="U1118">
        <f>--($I1118=IF('الداشبورد'!$B$9="الكل",$I1118,IF('الداشبورد'!$B$9="بدون حالة","P",'الداشبورد'!$B$9)))</f>
        <v/>
      </c>
      <c r="V1118">
        <f>--($D1118=IF('الداشبورد'!$B$10="الكل",$D1118,'الداشبورد'!$B$10))</f>
        <v/>
      </c>
      <c r="W1118">
        <f>--($G1118=IF('الداشبورد'!$B$11="الكل",$G1118,'الداشبورد'!$B$11))</f>
        <v/>
      </c>
      <c r="X1118">
        <f>Q1118*R1118*S1118*T1118*U1118*V1118*W1118*--($C1118&lt;&gt;"")</f>
        <v/>
      </c>
    </row>
    <row r="1119">
      <c r="Q1119">
        <f>--($A1119=IF('الداشبورد'!$B$5="الكل",$A1119,'الداشبورد'!$B$5))</f>
        <v/>
      </c>
      <c r="R1119">
        <f>--($E1119=IF('الداشبورد'!$B$6="الكل",$E1119,'الداشبورد'!$B$6))</f>
        <v/>
      </c>
      <c r="S1119">
        <f>--($K1119=IF('الداشبورد'!$B$7="الكل",$K1119,IF('الداشبورد'!$B$7="تصدير","Y","N")))</f>
        <v/>
      </c>
      <c r="T1119">
        <f>--($J1119=IF('الداشبورد'!$B$8="الكل",$J1119,IF('الداشبورد'!$B$8="AL","A","C")))</f>
        <v/>
      </c>
      <c r="U1119">
        <f>--($I1119=IF('الداشبورد'!$B$9="الكل",$I1119,IF('الداشبورد'!$B$9="بدون حالة","P",'الداشبورد'!$B$9)))</f>
        <v/>
      </c>
      <c r="V1119">
        <f>--($D1119=IF('الداشبورد'!$B$10="الكل",$D1119,'الداشبورد'!$B$10))</f>
        <v/>
      </c>
      <c r="W1119">
        <f>--($G1119=IF('الداشبورد'!$B$11="الكل",$G1119,'الداشبورد'!$B$11))</f>
        <v/>
      </c>
      <c r="X1119">
        <f>Q1119*R1119*S1119*T1119*U1119*V1119*W1119*--($C1119&lt;&gt;"")</f>
        <v/>
      </c>
    </row>
    <row r="1120">
      <c r="Q1120">
        <f>--($A1120=IF('الداشبورد'!$B$5="الكل",$A1120,'الداشبورد'!$B$5))</f>
        <v/>
      </c>
      <c r="R1120">
        <f>--($E1120=IF('الداشبورد'!$B$6="الكل",$E1120,'الداشبورد'!$B$6))</f>
        <v/>
      </c>
      <c r="S1120">
        <f>--($K1120=IF('الداشبورد'!$B$7="الكل",$K1120,IF('الداشبورد'!$B$7="تصدير","Y","N")))</f>
        <v/>
      </c>
      <c r="T1120">
        <f>--($J1120=IF('الداشبورد'!$B$8="الكل",$J1120,IF('الداشبورد'!$B$8="AL","A","C")))</f>
        <v/>
      </c>
      <c r="U1120">
        <f>--($I1120=IF('الداشبورد'!$B$9="الكل",$I1120,IF('الداشبورد'!$B$9="بدون حالة","P",'الداشبورد'!$B$9)))</f>
        <v/>
      </c>
      <c r="V1120">
        <f>--($D1120=IF('الداشبورد'!$B$10="الكل",$D1120,'الداشبورد'!$B$10))</f>
        <v/>
      </c>
      <c r="W1120">
        <f>--($G1120=IF('الداشبورد'!$B$11="الكل",$G1120,'الداشبورد'!$B$11))</f>
        <v/>
      </c>
      <c r="X1120">
        <f>Q1120*R1120*S1120*T1120*U1120*V1120*W1120*--($C1120&lt;&gt;"")</f>
        <v/>
      </c>
    </row>
    <row r="1121">
      <c r="Q1121">
        <f>--($A1121=IF('الداشبورد'!$B$5="الكل",$A1121,'الداشبورد'!$B$5))</f>
        <v/>
      </c>
      <c r="R1121">
        <f>--($E1121=IF('الداشبورد'!$B$6="الكل",$E1121,'الداشبورد'!$B$6))</f>
        <v/>
      </c>
      <c r="S1121">
        <f>--($K1121=IF('الداشبورد'!$B$7="الكل",$K1121,IF('الداشبورد'!$B$7="تصدير","Y","N")))</f>
        <v/>
      </c>
      <c r="T1121">
        <f>--($J1121=IF('الداشبورد'!$B$8="الكل",$J1121,IF('الداشبورد'!$B$8="AL","A","C")))</f>
        <v/>
      </c>
      <c r="U1121">
        <f>--($I1121=IF('الداشبورد'!$B$9="الكل",$I1121,IF('الداشبورد'!$B$9="بدون حالة","P",'الداشبورد'!$B$9)))</f>
        <v/>
      </c>
      <c r="V1121">
        <f>--($D1121=IF('الداشبورد'!$B$10="الكل",$D1121,'الداشبورد'!$B$10))</f>
        <v/>
      </c>
      <c r="W1121">
        <f>--($G1121=IF('الداشبورد'!$B$11="الكل",$G1121,'الداشبورد'!$B$11))</f>
        <v/>
      </c>
      <c r="X1121">
        <f>Q1121*R1121*S1121*T1121*U1121*V1121*W1121*--($C1121&lt;&gt;"")</f>
        <v/>
      </c>
    </row>
    <row r="1122">
      <c r="Q1122">
        <f>--($A1122=IF('الداشبورد'!$B$5="الكل",$A1122,'الداشبورد'!$B$5))</f>
        <v/>
      </c>
      <c r="R1122">
        <f>--($E1122=IF('الداشبورد'!$B$6="الكل",$E1122,'الداشبورد'!$B$6))</f>
        <v/>
      </c>
      <c r="S1122">
        <f>--($K1122=IF('الداشبورد'!$B$7="الكل",$K1122,IF('الداشبورد'!$B$7="تصدير","Y","N")))</f>
        <v/>
      </c>
      <c r="T1122">
        <f>--($J1122=IF('الداشبورد'!$B$8="الكل",$J1122,IF('الداشبورد'!$B$8="AL","A","C")))</f>
        <v/>
      </c>
      <c r="U1122">
        <f>--($I1122=IF('الداشبورد'!$B$9="الكل",$I1122,IF('الداشبورد'!$B$9="بدون حالة","P",'الداشبورد'!$B$9)))</f>
        <v/>
      </c>
      <c r="V1122">
        <f>--($D1122=IF('الداشبورد'!$B$10="الكل",$D1122,'الداشبورد'!$B$10))</f>
        <v/>
      </c>
      <c r="W1122">
        <f>--($G1122=IF('الداشبورد'!$B$11="الكل",$G1122,'الداشبورد'!$B$11))</f>
        <v/>
      </c>
      <c r="X1122">
        <f>Q1122*R1122*S1122*T1122*U1122*V1122*W1122*--($C1122&lt;&gt;"")</f>
        <v/>
      </c>
    </row>
    <row r="1123">
      <c r="Q1123">
        <f>--($A1123=IF('الداشبورد'!$B$5="الكل",$A1123,'الداشبورد'!$B$5))</f>
        <v/>
      </c>
      <c r="R1123">
        <f>--($E1123=IF('الداشبورد'!$B$6="الكل",$E1123,'الداشبورد'!$B$6))</f>
        <v/>
      </c>
      <c r="S1123">
        <f>--($K1123=IF('الداشبورد'!$B$7="الكل",$K1123,IF('الداشبورد'!$B$7="تصدير","Y","N")))</f>
        <v/>
      </c>
      <c r="T1123">
        <f>--($J1123=IF('الداشبورد'!$B$8="الكل",$J1123,IF('الداشبورد'!$B$8="AL","A","C")))</f>
        <v/>
      </c>
      <c r="U1123">
        <f>--($I1123=IF('الداشبورد'!$B$9="الكل",$I1123,IF('الداشبورد'!$B$9="بدون حالة","P",'الداشبورد'!$B$9)))</f>
        <v/>
      </c>
      <c r="V1123">
        <f>--($D1123=IF('الداشبورد'!$B$10="الكل",$D1123,'الداشبورد'!$B$10))</f>
        <v/>
      </c>
      <c r="W1123">
        <f>--($G1123=IF('الداشبورد'!$B$11="الكل",$G1123,'الداشبورد'!$B$11))</f>
        <v/>
      </c>
      <c r="X1123">
        <f>Q1123*R1123*S1123*T1123*U1123*V1123*W1123*--($C1123&lt;&gt;"")</f>
        <v/>
      </c>
    </row>
    <row r="1124">
      <c r="Q1124">
        <f>--($A1124=IF('الداشبورد'!$B$5="الكل",$A1124,'الداشبورد'!$B$5))</f>
        <v/>
      </c>
      <c r="R1124">
        <f>--($E1124=IF('الداشبورد'!$B$6="الكل",$E1124,'الداشبورد'!$B$6))</f>
        <v/>
      </c>
      <c r="S1124">
        <f>--($K1124=IF('الداشبورد'!$B$7="الكل",$K1124,IF('الداشبورد'!$B$7="تصدير","Y","N")))</f>
        <v/>
      </c>
      <c r="T1124">
        <f>--($J1124=IF('الداشبورد'!$B$8="الكل",$J1124,IF('الداشبورد'!$B$8="AL","A","C")))</f>
        <v/>
      </c>
      <c r="U1124">
        <f>--($I1124=IF('الداشبورد'!$B$9="الكل",$I1124,IF('الداشبورد'!$B$9="بدون حالة","P",'الداشبورد'!$B$9)))</f>
        <v/>
      </c>
      <c r="V1124">
        <f>--($D1124=IF('الداشبورد'!$B$10="الكل",$D1124,'الداشبورد'!$B$10))</f>
        <v/>
      </c>
      <c r="W1124">
        <f>--($G1124=IF('الداشبورد'!$B$11="الكل",$G1124,'الداشبورد'!$B$11))</f>
        <v/>
      </c>
      <c r="X1124">
        <f>Q1124*R1124*S1124*T1124*U1124*V1124*W1124*--($C1124&lt;&gt;"")</f>
        <v/>
      </c>
    </row>
    <row r="1125">
      <c r="Q1125">
        <f>--($A1125=IF('الداشبورد'!$B$5="الكل",$A1125,'الداشبورد'!$B$5))</f>
        <v/>
      </c>
      <c r="R1125">
        <f>--($E1125=IF('الداشبورد'!$B$6="الكل",$E1125,'الداشبورد'!$B$6))</f>
        <v/>
      </c>
      <c r="S1125">
        <f>--($K1125=IF('الداشبورد'!$B$7="الكل",$K1125,IF('الداشبورد'!$B$7="تصدير","Y","N")))</f>
        <v/>
      </c>
      <c r="T1125">
        <f>--($J1125=IF('الداشبورد'!$B$8="الكل",$J1125,IF('الداشبورد'!$B$8="AL","A","C")))</f>
        <v/>
      </c>
      <c r="U1125">
        <f>--($I1125=IF('الداشبورد'!$B$9="الكل",$I1125,IF('الداشبورد'!$B$9="بدون حالة","P",'الداشبورد'!$B$9)))</f>
        <v/>
      </c>
      <c r="V1125">
        <f>--($D1125=IF('الداشبورد'!$B$10="الكل",$D1125,'الداشبورد'!$B$10))</f>
        <v/>
      </c>
      <c r="W1125">
        <f>--($G1125=IF('الداشبورد'!$B$11="الكل",$G1125,'الداشبورد'!$B$11))</f>
        <v/>
      </c>
      <c r="X1125">
        <f>Q1125*R1125*S1125*T1125*U1125*V1125*W1125*--($C1125&lt;&gt;"")</f>
        <v/>
      </c>
    </row>
    <row r="1126">
      <c r="Q1126">
        <f>--($A1126=IF('الداشبورد'!$B$5="الكل",$A1126,'الداشبورد'!$B$5))</f>
        <v/>
      </c>
      <c r="R1126">
        <f>--($E1126=IF('الداشبورد'!$B$6="الكل",$E1126,'الداشبورد'!$B$6))</f>
        <v/>
      </c>
      <c r="S1126">
        <f>--($K1126=IF('الداشبورد'!$B$7="الكل",$K1126,IF('الداشبورد'!$B$7="تصدير","Y","N")))</f>
        <v/>
      </c>
      <c r="T1126">
        <f>--($J1126=IF('الداشبورد'!$B$8="الكل",$J1126,IF('الداشبورد'!$B$8="AL","A","C")))</f>
        <v/>
      </c>
      <c r="U1126">
        <f>--($I1126=IF('الداشبورد'!$B$9="الكل",$I1126,IF('الداشبورد'!$B$9="بدون حالة","P",'الداشبورد'!$B$9)))</f>
        <v/>
      </c>
      <c r="V1126">
        <f>--($D1126=IF('الداشبورد'!$B$10="الكل",$D1126,'الداشبورد'!$B$10))</f>
        <v/>
      </c>
      <c r="W1126">
        <f>--($G1126=IF('الداشبورد'!$B$11="الكل",$G1126,'الداشبورد'!$B$11))</f>
        <v/>
      </c>
      <c r="X1126">
        <f>Q1126*R1126*S1126*T1126*U1126*V1126*W1126*--($C1126&lt;&gt;"")</f>
        <v/>
      </c>
    </row>
    <row r="1127">
      <c r="Q1127">
        <f>--($A1127=IF('الداشبورد'!$B$5="الكل",$A1127,'الداشبورد'!$B$5))</f>
        <v/>
      </c>
      <c r="R1127">
        <f>--($E1127=IF('الداشبورد'!$B$6="الكل",$E1127,'الداشبورد'!$B$6))</f>
        <v/>
      </c>
      <c r="S1127">
        <f>--($K1127=IF('الداشبورد'!$B$7="الكل",$K1127,IF('الداشبورد'!$B$7="تصدير","Y","N")))</f>
        <v/>
      </c>
      <c r="T1127">
        <f>--($J1127=IF('الداشبورد'!$B$8="الكل",$J1127,IF('الداشبورد'!$B$8="AL","A","C")))</f>
        <v/>
      </c>
      <c r="U1127">
        <f>--($I1127=IF('الداشبورد'!$B$9="الكل",$I1127,IF('الداشبورد'!$B$9="بدون حالة","P",'الداشبورد'!$B$9)))</f>
        <v/>
      </c>
      <c r="V1127">
        <f>--($D1127=IF('الداشبورد'!$B$10="الكل",$D1127,'الداشبورد'!$B$10))</f>
        <v/>
      </c>
      <c r="W1127">
        <f>--($G1127=IF('الداشبورد'!$B$11="الكل",$G1127,'الداشبورد'!$B$11))</f>
        <v/>
      </c>
      <c r="X1127">
        <f>Q1127*R1127*S1127*T1127*U1127*V1127*W1127*--($C1127&lt;&gt;"")</f>
        <v/>
      </c>
    </row>
    <row r="1128">
      <c r="Q1128">
        <f>--($A1128=IF('الداشبورد'!$B$5="الكل",$A1128,'الداشبورد'!$B$5))</f>
        <v/>
      </c>
      <c r="R1128">
        <f>--($E1128=IF('الداشبورد'!$B$6="الكل",$E1128,'الداشبورد'!$B$6))</f>
        <v/>
      </c>
      <c r="S1128">
        <f>--($K1128=IF('الداشبورد'!$B$7="الكل",$K1128,IF('الداشبورد'!$B$7="تصدير","Y","N")))</f>
        <v/>
      </c>
      <c r="T1128">
        <f>--($J1128=IF('الداشبورد'!$B$8="الكل",$J1128,IF('الداشبورد'!$B$8="AL","A","C")))</f>
        <v/>
      </c>
      <c r="U1128">
        <f>--($I1128=IF('الداشبورد'!$B$9="الكل",$I1128,IF('الداشبورد'!$B$9="بدون حالة","P",'الداشبورد'!$B$9)))</f>
        <v/>
      </c>
      <c r="V1128">
        <f>--($D1128=IF('الداشبورد'!$B$10="الكل",$D1128,'الداشبورد'!$B$10))</f>
        <v/>
      </c>
      <c r="W1128">
        <f>--($G1128=IF('الداشبورد'!$B$11="الكل",$G1128,'الداشبورد'!$B$11))</f>
        <v/>
      </c>
      <c r="X1128">
        <f>Q1128*R1128*S1128*T1128*U1128*V1128*W1128*--($C1128&lt;&gt;"")</f>
        <v/>
      </c>
    </row>
    <row r="1129">
      <c r="Q1129">
        <f>--($A1129=IF('الداشبورد'!$B$5="الكل",$A1129,'الداشبورد'!$B$5))</f>
        <v/>
      </c>
      <c r="R1129">
        <f>--($E1129=IF('الداشبورد'!$B$6="الكل",$E1129,'الداشبورد'!$B$6))</f>
        <v/>
      </c>
      <c r="S1129">
        <f>--($K1129=IF('الداشبورد'!$B$7="الكل",$K1129,IF('الداشبورد'!$B$7="تصدير","Y","N")))</f>
        <v/>
      </c>
      <c r="T1129">
        <f>--($J1129=IF('الداشبورد'!$B$8="الكل",$J1129,IF('الداشبورد'!$B$8="AL","A","C")))</f>
        <v/>
      </c>
      <c r="U1129">
        <f>--($I1129=IF('الداشبورد'!$B$9="الكل",$I1129,IF('الداشبورد'!$B$9="بدون حالة","P",'الداشبورد'!$B$9)))</f>
        <v/>
      </c>
      <c r="V1129">
        <f>--($D1129=IF('الداشبورد'!$B$10="الكل",$D1129,'الداشبورد'!$B$10))</f>
        <v/>
      </c>
      <c r="W1129">
        <f>--($G1129=IF('الداشبورد'!$B$11="الكل",$G1129,'الداشبورد'!$B$11))</f>
        <v/>
      </c>
      <c r="X1129">
        <f>Q1129*R1129*S1129*T1129*U1129*V1129*W1129*--($C1129&lt;&gt;"")</f>
        <v/>
      </c>
    </row>
    <row r="1130">
      <c r="Q1130">
        <f>--($A1130=IF('الداشبورد'!$B$5="الكل",$A1130,'الداشبورد'!$B$5))</f>
        <v/>
      </c>
      <c r="R1130">
        <f>--($E1130=IF('الداشبورد'!$B$6="الكل",$E1130,'الداشبورد'!$B$6))</f>
        <v/>
      </c>
      <c r="S1130">
        <f>--($K1130=IF('الداشبورد'!$B$7="الكل",$K1130,IF('الداشبورد'!$B$7="تصدير","Y","N")))</f>
        <v/>
      </c>
      <c r="T1130">
        <f>--($J1130=IF('الداشبورد'!$B$8="الكل",$J1130,IF('الداشبورد'!$B$8="AL","A","C")))</f>
        <v/>
      </c>
      <c r="U1130">
        <f>--($I1130=IF('الداشبورد'!$B$9="الكل",$I1130,IF('الداشبورد'!$B$9="بدون حالة","P",'الداشبورد'!$B$9)))</f>
        <v/>
      </c>
      <c r="V1130">
        <f>--($D1130=IF('الداشبورد'!$B$10="الكل",$D1130,'الداشبورد'!$B$10))</f>
        <v/>
      </c>
      <c r="W1130">
        <f>--($G1130=IF('الداشبورد'!$B$11="الكل",$G1130,'الداشبورد'!$B$11))</f>
        <v/>
      </c>
      <c r="X1130">
        <f>Q1130*R1130*S1130*T1130*U1130*V1130*W1130*--($C1130&lt;&gt;"")</f>
        <v/>
      </c>
    </row>
    <row r="1131">
      <c r="Q1131">
        <f>--($A1131=IF('الداشبورد'!$B$5="الكل",$A1131,'الداشبورد'!$B$5))</f>
        <v/>
      </c>
      <c r="R1131">
        <f>--($E1131=IF('الداشبورد'!$B$6="الكل",$E1131,'الداشبورد'!$B$6))</f>
        <v/>
      </c>
      <c r="S1131">
        <f>--($K1131=IF('الداشبورد'!$B$7="الكل",$K1131,IF('الداشبورد'!$B$7="تصدير","Y","N")))</f>
        <v/>
      </c>
      <c r="T1131">
        <f>--($J1131=IF('الداشبورد'!$B$8="الكل",$J1131,IF('الداشبورد'!$B$8="AL","A","C")))</f>
        <v/>
      </c>
      <c r="U1131">
        <f>--($I1131=IF('الداشبورد'!$B$9="الكل",$I1131,IF('الداشبورد'!$B$9="بدون حالة","P",'الداشبورد'!$B$9)))</f>
        <v/>
      </c>
      <c r="V1131">
        <f>--($D1131=IF('الداشبورد'!$B$10="الكل",$D1131,'الداشبورد'!$B$10))</f>
        <v/>
      </c>
      <c r="W1131">
        <f>--($G1131=IF('الداشبورد'!$B$11="الكل",$G1131,'الداشبورد'!$B$11))</f>
        <v/>
      </c>
      <c r="X1131">
        <f>Q1131*R1131*S1131*T1131*U1131*V1131*W1131*--($C1131&lt;&gt;"")</f>
        <v/>
      </c>
    </row>
    <row r="1132">
      <c r="Q1132">
        <f>--($A1132=IF('الداشبورد'!$B$5="الكل",$A1132,'الداشبورد'!$B$5))</f>
        <v/>
      </c>
      <c r="R1132">
        <f>--($E1132=IF('الداشبورد'!$B$6="الكل",$E1132,'الداشبورد'!$B$6))</f>
        <v/>
      </c>
      <c r="S1132">
        <f>--($K1132=IF('الداشبورد'!$B$7="الكل",$K1132,IF('الداشبورد'!$B$7="تصدير","Y","N")))</f>
        <v/>
      </c>
      <c r="T1132">
        <f>--($J1132=IF('الداشبورد'!$B$8="الكل",$J1132,IF('الداشبورد'!$B$8="AL","A","C")))</f>
        <v/>
      </c>
      <c r="U1132">
        <f>--($I1132=IF('الداشبورد'!$B$9="الكل",$I1132,IF('الداشبورد'!$B$9="بدون حالة","P",'الداشبورد'!$B$9)))</f>
        <v/>
      </c>
      <c r="V1132">
        <f>--($D1132=IF('الداشبورد'!$B$10="الكل",$D1132,'الداشبورد'!$B$10))</f>
        <v/>
      </c>
      <c r="W1132">
        <f>--($G1132=IF('الداشبورد'!$B$11="الكل",$G1132,'الداشبورد'!$B$11))</f>
        <v/>
      </c>
      <c r="X1132">
        <f>Q1132*R1132*S1132*T1132*U1132*V1132*W1132*--($C1132&lt;&gt;"")</f>
        <v/>
      </c>
    </row>
    <row r="1133">
      <c r="Q1133">
        <f>--($A1133=IF('الداشبورد'!$B$5="الكل",$A1133,'الداشبورد'!$B$5))</f>
        <v/>
      </c>
      <c r="R1133">
        <f>--($E1133=IF('الداشبورد'!$B$6="الكل",$E1133,'الداشبورد'!$B$6))</f>
        <v/>
      </c>
      <c r="S1133">
        <f>--($K1133=IF('الداشبورد'!$B$7="الكل",$K1133,IF('الداشبورد'!$B$7="تصدير","Y","N")))</f>
        <v/>
      </c>
      <c r="T1133">
        <f>--($J1133=IF('الداشبورد'!$B$8="الكل",$J1133,IF('الداشبورد'!$B$8="AL","A","C")))</f>
        <v/>
      </c>
      <c r="U1133">
        <f>--($I1133=IF('الداشبورد'!$B$9="الكل",$I1133,IF('الداشبورد'!$B$9="بدون حالة","P",'الداشبورد'!$B$9)))</f>
        <v/>
      </c>
      <c r="V1133">
        <f>--($D1133=IF('الداشبورد'!$B$10="الكل",$D1133,'الداشبورد'!$B$10))</f>
        <v/>
      </c>
      <c r="W1133">
        <f>--($G1133=IF('الداشبورد'!$B$11="الكل",$G1133,'الداشبورد'!$B$11))</f>
        <v/>
      </c>
      <c r="X1133">
        <f>Q1133*R1133*S1133*T1133*U1133*V1133*W1133*--($C1133&lt;&gt;"")</f>
        <v/>
      </c>
    </row>
    <row r="1134">
      <c r="Q1134">
        <f>--($A1134=IF('الداشبورد'!$B$5="الكل",$A1134,'الداشبورد'!$B$5))</f>
        <v/>
      </c>
      <c r="R1134">
        <f>--($E1134=IF('الداشبورد'!$B$6="الكل",$E1134,'الداشبورد'!$B$6))</f>
        <v/>
      </c>
      <c r="S1134">
        <f>--($K1134=IF('الداشبورد'!$B$7="الكل",$K1134,IF('الداشبورد'!$B$7="تصدير","Y","N")))</f>
        <v/>
      </c>
      <c r="T1134">
        <f>--($J1134=IF('الداشبورد'!$B$8="الكل",$J1134,IF('الداشبورد'!$B$8="AL","A","C")))</f>
        <v/>
      </c>
      <c r="U1134">
        <f>--($I1134=IF('الداشبورد'!$B$9="الكل",$I1134,IF('الداشبورد'!$B$9="بدون حالة","P",'الداشبورد'!$B$9)))</f>
        <v/>
      </c>
      <c r="V1134">
        <f>--($D1134=IF('الداشبورد'!$B$10="الكل",$D1134,'الداشبورد'!$B$10))</f>
        <v/>
      </c>
      <c r="W1134">
        <f>--($G1134=IF('الداشبورد'!$B$11="الكل",$G1134,'الداشبورد'!$B$11))</f>
        <v/>
      </c>
      <c r="X1134">
        <f>Q1134*R1134*S1134*T1134*U1134*V1134*W1134*--($C1134&lt;&gt;"")</f>
        <v/>
      </c>
    </row>
    <row r="1135">
      <c r="Q1135">
        <f>--($A1135=IF('الداشبورد'!$B$5="الكل",$A1135,'الداشبورد'!$B$5))</f>
        <v/>
      </c>
      <c r="R1135">
        <f>--($E1135=IF('الداشبورد'!$B$6="الكل",$E1135,'الداشبورد'!$B$6))</f>
        <v/>
      </c>
      <c r="S1135">
        <f>--($K1135=IF('الداشبورد'!$B$7="الكل",$K1135,IF('الداشبورد'!$B$7="تصدير","Y","N")))</f>
        <v/>
      </c>
      <c r="T1135">
        <f>--($J1135=IF('الداشبورد'!$B$8="الكل",$J1135,IF('الداشبورد'!$B$8="AL","A","C")))</f>
        <v/>
      </c>
      <c r="U1135">
        <f>--($I1135=IF('الداشبورد'!$B$9="الكل",$I1135,IF('الداشبورد'!$B$9="بدون حالة","P",'الداشبورد'!$B$9)))</f>
        <v/>
      </c>
      <c r="V1135">
        <f>--($D1135=IF('الداشبورد'!$B$10="الكل",$D1135,'الداشبورد'!$B$10))</f>
        <v/>
      </c>
      <c r="W1135">
        <f>--($G1135=IF('الداشبورد'!$B$11="الكل",$G1135,'الداشبورد'!$B$11))</f>
        <v/>
      </c>
      <c r="X1135">
        <f>Q1135*R1135*S1135*T1135*U1135*V1135*W1135*--($C1135&lt;&gt;"")</f>
        <v/>
      </c>
    </row>
    <row r="1136">
      <c r="Q1136">
        <f>--($A1136=IF('الداشبورد'!$B$5="الكل",$A1136,'الداشبورد'!$B$5))</f>
        <v/>
      </c>
      <c r="R1136">
        <f>--($E1136=IF('الداشبورد'!$B$6="الكل",$E1136,'الداشبورد'!$B$6))</f>
        <v/>
      </c>
      <c r="S1136">
        <f>--($K1136=IF('الداشبورد'!$B$7="الكل",$K1136,IF('الداشبورد'!$B$7="تصدير","Y","N")))</f>
        <v/>
      </c>
      <c r="T1136">
        <f>--($J1136=IF('الداشبورد'!$B$8="الكل",$J1136,IF('الداشبورد'!$B$8="AL","A","C")))</f>
        <v/>
      </c>
      <c r="U1136">
        <f>--($I1136=IF('الداشبورد'!$B$9="الكل",$I1136,IF('الداشبورد'!$B$9="بدون حالة","P",'الداشبورد'!$B$9)))</f>
        <v/>
      </c>
      <c r="V1136">
        <f>--($D1136=IF('الداشبورد'!$B$10="الكل",$D1136,'الداشبورد'!$B$10))</f>
        <v/>
      </c>
      <c r="W1136">
        <f>--($G1136=IF('الداشبورد'!$B$11="الكل",$G1136,'الداشبورد'!$B$11))</f>
        <v/>
      </c>
      <c r="X1136">
        <f>Q1136*R1136*S1136*T1136*U1136*V1136*W1136*--($C1136&lt;&gt;"")</f>
        <v/>
      </c>
    </row>
    <row r="1137">
      <c r="Q1137">
        <f>--($A1137=IF('الداشبورد'!$B$5="الكل",$A1137,'الداشبورد'!$B$5))</f>
        <v/>
      </c>
      <c r="R1137">
        <f>--($E1137=IF('الداشبورد'!$B$6="الكل",$E1137,'الداشبورد'!$B$6))</f>
        <v/>
      </c>
      <c r="S1137">
        <f>--($K1137=IF('الداشبورد'!$B$7="الكل",$K1137,IF('الداشبورد'!$B$7="تصدير","Y","N")))</f>
        <v/>
      </c>
      <c r="T1137">
        <f>--($J1137=IF('الداشبورد'!$B$8="الكل",$J1137,IF('الداشبورد'!$B$8="AL","A","C")))</f>
        <v/>
      </c>
      <c r="U1137">
        <f>--($I1137=IF('الداشبورد'!$B$9="الكل",$I1137,IF('الداشبورد'!$B$9="بدون حالة","P",'الداشبورد'!$B$9)))</f>
        <v/>
      </c>
      <c r="V1137">
        <f>--($D1137=IF('الداشبورد'!$B$10="الكل",$D1137,'الداشبورد'!$B$10))</f>
        <v/>
      </c>
      <c r="W1137">
        <f>--($G1137=IF('الداشبورد'!$B$11="الكل",$G1137,'الداشبورد'!$B$11))</f>
        <v/>
      </c>
      <c r="X1137">
        <f>Q1137*R1137*S1137*T1137*U1137*V1137*W1137*--($C1137&lt;&gt;"")</f>
        <v/>
      </c>
    </row>
    <row r="1138">
      <c r="Q1138">
        <f>--($A1138=IF('الداشبورد'!$B$5="الكل",$A1138,'الداشبورد'!$B$5))</f>
        <v/>
      </c>
      <c r="R1138">
        <f>--($E1138=IF('الداشبورد'!$B$6="الكل",$E1138,'الداشبورد'!$B$6))</f>
        <v/>
      </c>
      <c r="S1138">
        <f>--($K1138=IF('الداشبورد'!$B$7="الكل",$K1138,IF('الداشبورد'!$B$7="تصدير","Y","N")))</f>
        <v/>
      </c>
      <c r="T1138">
        <f>--($J1138=IF('الداشبورد'!$B$8="الكل",$J1138,IF('الداشبورد'!$B$8="AL","A","C")))</f>
        <v/>
      </c>
      <c r="U1138">
        <f>--($I1138=IF('الداشبورد'!$B$9="الكل",$I1138,IF('الداشبورد'!$B$9="بدون حالة","P",'الداشبورد'!$B$9)))</f>
        <v/>
      </c>
      <c r="V1138">
        <f>--($D1138=IF('الداشبورد'!$B$10="الكل",$D1138,'الداشبورد'!$B$10))</f>
        <v/>
      </c>
      <c r="W1138">
        <f>--($G1138=IF('الداشبورد'!$B$11="الكل",$G1138,'الداشبورد'!$B$11))</f>
        <v/>
      </c>
      <c r="X1138">
        <f>Q1138*R1138*S1138*T1138*U1138*V1138*W1138*--($C1138&lt;&gt;"")</f>
        <v/>
      </c>
    </row>
    <row r="1139">
      <c r="Q1139">
        <f>--($A1139=IF('الداشبورد'!$B$5="الكل",$A1139,'الداشبورد'!$B$5))</f>
        <v/>
      </c>
      <c r="R1139">
        <f>--($E1139=IF('الداشبورد'!$B$6="الكل",$E1139,'الداشبورد'!$B$6))</f>
        <v/>
      </c>
      <c r="S1139">
        <f>--($K1139=IF('الداشبورد'!$B$7="الكل",$K1139,IF('الداشبورد'!$B$7="تصدير","Y","N")))</f>
        <v/>
      </c>
      <c r="T1139">
        <f>--($J1139=IF('الداشبورد'!$B$8="الكل",$J1139,IF('الداشبورد'!$B$8="AL","A","C")))</f>
        <v/>
      </c>
      <c r="U1139">
        <f>--($I1139=IF('الداشبورد'!$B$9="الكل",$I1139,IF('الداشبورد'!$B$9="بدون حالة","P",'الداشبورد'!$B$9)))</f>
        <v/>
      </c>
      <c r="V1139">
        <f>--($D1139=IF('الداشبورد'!$B$10="الكل",$D1139,'الداشبورد'!$B$10))</f>
        <v/>
      </c>
      <c r="W1139">
        <f>--($G1139=IF('الداشبورد'!$B$11="الكل",$G1139,'الداشبورد'!$B$11))</f>
        <v/>
      </c>
      <c r="X1139">
        <f>Q1139*R1139*S1139*T1139*U1139*V1139*W1139*--($C1139&lt;&gt;"")</f>
        <v/>
      </c>
    </row>
    <row r="1140">
      <c r="Q1140">
        <f>--($A1140=IF('الداشبورد'!$B$5="الكل",$A1140,'الداشبورد'!$B$5))</f>
        <v/>
      </c>
      <c r="R1140">
        <f>--($E1140=IF('الداشبورد'!$B$6="الكل",$E1140,'الداشبورد'!$B$6))</f>
        <v/>
      </c>
      <c r="S1140">
        <f>--($K1140=IF('الداشبورد'!$B$7="الكل",$K1140,IF('الداشبورد'!$B$7="تصدير","Y","N")))</f>
        <v/>
      </c>
      <c r="T1140">
        <f>--($J1140=IF('الداشبورد'!$B$8="الكل",$J1140,IF('الداشبورد'!$B$8="AL","A","C")))</f>
        <v/>
      </c>
      <c r="U1140">
        <f>--($I1140=IF('الداشبورد'!$B$9="الكل",$I1140,IF('الداشبورد'!$B$9="بدون حالة","P",'الداشبورد'!$B$9)))</f>
        <v/>
      </c>
      <c r="V1140">
        <f>--($D1140=IF('الداشبورد'!$B$10="الكل",$D1140,'الداشبورد'!$B$10))</f>
        <v/>
      </c>
      <c r="W1140">
        <f>--($G1140=IF('الداشبورد'!$B$11="الكل",$G1140,'الداشبورد'!$B$11))</f>
        <v/>
      </c>
      <c r="X1140">
        <f>Q1140*R1140*S1140*T1140*U1140*V1140*W1140*--($C1140&lt;&gt;"")</f>
        <v/>
      </c>
    </row>
    <row r="1141">
      <c r="Q1141">
        <f>--($A1141=IF('الداشبورد'!$B$5="الكل",$A1141,'الداشبورد'!$B$5))</f>
        <v/>
      </c>
      <c r="R1141">
        <f>--($E1141=IF('الداشبورد'!$B$6="الكل",$E1141,'الداشبورد'!$B$6))</f>
        <v/>
      </c>
      <c r="S1141">
        <f>--($K1141=IF('الداشبورد'!$B$7="الكل",$K1141,IF('الداشبورد'!$B$7="تصدير","Y","N")))</f>
        <v/>
      </c>
      <c r="T1141">
        <f>--($J1141=IF('الداشبورد'!$B$8="الكل",$J1141,IF('الداشبورد'!$B$8="AL","A","C")))</f>
        <v/>
      </c>
      <c r="U1141">
        <f>--($I1141=IF('الداشبورد'!$B$9="الكل",$I1141,IF('الداشبورد'!$B$9="بدون حالة","P",'الداشبورد'!$B$9)))</f>
        <v/>
      </c>
      <c r="V1141">
        <f>--($D1141=IF('الداشبورد'!$B$10="الكل",$D1141,'الداشبورد'!$B$10))</f>
        <v/>
      </c>
      <c r="W1141">
        <f>--($G1141=IF('الداشبورد'!$B$11="الكل",$G1141,'الداشبورد'!$B$11))</f>
        <v/>
      </c>
      <c r="X1141">
        <f>Q1141*R1141*S1141*T1141*U1141*V1141*W1141*--($C1141&lt;&gt;"")</f>
        <v/>
      </c>
    </row>
    <row r="1142">
      <c r="Q1142">
        <f>--($A1142=IF('الداشبورد'!$B$5="الكل",$A1142,'الداشبورد'!$B$5))</f>
        <v/>
      </c>
      <c r="R1142">
        <f>--($E1142=IF('الداشبورد'!$B$6="الكل",$E1142,'الداشبورد'!$B$6))</f>
        <v/>
      </c>
      <c r="S1142">
        <f>--($K1142=IF('الداشبورد'!$B$7="الكل",$K1142,IF('الداشبورد'!$B$7="تصدير","Y","N")))</f>
        <v/>
      </c>
      <c r="T1142">
        <f>--($J1142=IF('الداشبورد'!$B$8="الكل",$J1142,IF('الداشبورد'!$B$8="AL","A","C")))</f>
        <v/>
      </c>
      <c r="U1142">
        <f>--($I1142=IF('الداشبورد'!$B$9="الكل",$I1142,IF('الداشبورد'!$B$9="بدون حالة","P",'الداشبورد'!$B$9)))</f>
        <v/>
      </c>
      <c r="V1142">
        <f>--($D1142=IF('الداشبورد'!$B$10="الكل",$D1142,'الداشبورد'!$B$10))</f>
        <v/>
      </c>
      <c r="W1142">
        <f>--($G1142=IF('الداشبورد'!$B$11="الكل",$G1142,'الداشبورد'!$B$11))</f>
        <v/>
      </c>
      <c r="X1142">
        <f>Q1142*R1142*S1142*T1142*U1142*V1142*W1142*--($C1142&lt;&gt;"")</f>
        <v/>
      </c>
    </row>
    <row r="1143">
      <c r="Q1143">
        <f>--($A1143=IF('الداشبورد'!$B$5="الكل",$A1143,'الداشبورد'!$B$5))</f>
        <v/>
      </c>
      <c r="R1143">
        <f>--($E1143=IF('الداشبورد'!$B$6="الكل",$E1143,'الداشبورد'!$B$6))</f>
        <v/>
      </c>
      <c r="S1143">
        <f>--($K1143=IF('الداشبورد'!$B$7="الكل",$K1143,IF('الداشبورد'!$B$7="تصدير","Y","N")))</f>
        <v/>
      </c>
      <c r="T1143">
        <f>--($J1143=IF('الداشبورد'!$B$8="الكل",$J1143,IF('الداشبورد'!$B$8="AL","A","C")))</f>
        <v/>
      </c>
      <c r="U1143">
        <f>--($I1143=IF('الداشبورد'!$B$9="الكل",$I1143,IF('الداشبورد'!$B$9="بدون حالة","P",'الداشبورد'!$B$9)))</f>
        <v/>
      </c>
      <c r="V1143">
        <f>--($D1143=IF('الداشبورد'!$B$10="الكل",$D1143,'الداشبورد'!$B$10))</f>
        <v/>
      </c>
      <c r="W1143">
        <f>--($G1143=IF('الداشبورد'!$B$11="الكل",$G1143,'الداشبورد'!$B$11))</f>
        <v/>
      </c>
      <c r="X1143">
        <f>Q1143*R1143*S1143*T1143*U1143*V1143*W1143*--($C1143&lt;&gt;"")</f>
        <v/>
      </c>
    </row>
    <row r="1144">
      <c r="Q1144">
        <f>--($A1144=IF('الداشبورد'!$B$5="الكل",$A1144,'الداشبورد'!$B$5))</f>
        <v/>
      </c>
      <c r="R1144">
        <f>--($E1144=IF('الداشبورد'!$B$6="الكل",$E1144,'الداشبورد'!$B$6))</f>
        <v/>
      </c>
      <c r="S1144">
        <f>--($K1144=IF('الداشبورد'!$B$7="الكل",$K1144,IF('الداشبورد'!$B$7="تصدير","Y","N")))</f>
        <v/>
      </c>
      <c r="T1144">
        <f>--($J1144=IF('الداشبورد'!$B$8="الكل",$J1144,IF('الداشبورد'!$B$8="AL","A","C")))</f>
        <v/>
      </c>
      <c r="U1144">
        <f>--($I1144=IF('الداشبورد'!$B$9="الكل",$I1144,IF('الداشبورد'!$B$9="بدون حالة","P",'الداشبورد'!$B$9)))</f>
        <v/>
      </c>
      <c r="V1144">
        <f>--($D1144=IF('الداشبورد'!$B$10="الكل",$D1144,'الداشبورد'!$B$10))</f>
        <v/>
      </c>
      <c r="W1144">
        <f>--($G1144=IF('الداشبورد'!$B$11="الكل",$G1144,'الداشبورد'!$B$11))</f>
        <v/>
      </c>
      <c r="X1144">
        <f>Q1144*R1144*S1144*T1144*U1144*V1144*W1144*--($C1144&lt;&gt;"")</f>
        <v/>
      </c>
    </row>
    <row r="1145">
      <c r="Q1145">
        <f>--($A1145=IF('الداشبورد'!$B$5="الكل",$A1145,'الداشبورد'!$B$5))</f>
        <v/>
      </c>
      <c r="R1145">
        <f>--($E1145=IF('الداشبورد'!$B$6="الكل",$E1145,'الداشبورد'!$B$6))</f>
        <v/>
      </c>
      <c r="S1145">
        <f>--($K1145=IF('الداشبورد'!$B$7="الكل",$K1145,IF('الداشبورد'!$B$7="تصدير","Y","N")))</f>
        <v/>
      </c>
      <c r="T1145">
        <f>--($J1145=IF('الداشبورد'!$B$8="الكل",$J1145,IF('الداشبورد'!$B$8="AL","A","C")))</f>
        <v/>
      </c>
      <c r="U1145">
        <f>--($I1145=IF('الداشبورد'!$B$9="الكل",$I1145,IF('الداشبورد'!$B$9="بدون حالة","P",'الداشبورد'!$B$9)))</f>
        <v/>
      </c>
      <c r="V1145">
        <f>--($D1145=IF('الداشبورد'!$B$10="الكل",$D1145,'الداشبورد'!$B$10))</f>
        <v/>
      </c>
      <c r="W1145">
        <f>--($G1145=IF('الداشبورد'!$B$11="الكل",$G1145,'الداشبورد'!$B$11))</f>
        <v/>
      </c>
      <c r="X1145">
        <f>Q1145*R1145*S1145*T1145*U1145*V1145*W1145*--($C1145&lt;&gt;"")</f>
        <v/>
      </c>
    </row>
    <row r="1146">
      <c r="Q1146">
        <f>--($A1146=IF('الداشبورد'!$B$5="الكل",$A1146,'الداشبورد'!$B$5))</f>
        <v/>
      </c>
      <c r="R1146">
        <f>--($E1146=IF('الداشبورد'!$B$6="الكل",$E1146,'الداشبورد'!$B$6))</f>
        <v/>
      </c>
      <c r="S1146">
        <f>--($K1146=IF('الداشبورد'!$B$7="الكل",$K1146,IF('الداشبورد'!$B$7="تصدير","Y","N")))</f>
        <v/>
      </c>
      <c r="T1146">
        <f>--($J1146=IF('الداشبورد'!$B$8="الكل",$J1146,IF('الداشبورد'!$B$8="AL","A","C")))</f>
        <v/>
      </c>
      <c r="U1146">
        <f>--($I1146=IF('الداشبورد'!$B$9="الكل",$I1146,IF('الداشبورد'!$B$9="بدون حالة","P",'الداشبورد'!$B$9)))</f>
        <v/>
      </c>
      <c r="V1146">
        <f>--($D1146=IF('الداشبورد'!$B$10="الكل",$D1146,'الداشبورد'!$B$10))</f>
        <v/>
      </c>
      <c r="W1146">
        <f>--($G1146=IF('الداشبورد'!$B$11="الكل",$G1146,'الداشبورد'!$B$11))</f>
        <v/>
      </c>
      <c r="X1146">
        <f>Q1146*R1146*S1146*T1146*U1146*V1146*W1146*--($C1146&lt;&gt;"")</f>
        <v/>
      </c>
    </row>
    <row r="1147">
      <c r="Q1147">
        <f>--($A1147=IF('الداشبورد'!$B$5="الكل",$A1147,'الداشبورد'!$B$5))</f>
        <v/>
      </c>
      <c r="R1147">
        <f>--($E1147=IF('الداشبورد'!$B$6="الكل",$E1147,'الداشبورد'!$B$6))</f>
        <v/>
      </c>
      <c r="S1147">
        <f>--($K1147=IF('الداشبورد'!$B$7="الكل",$K1147,IF('الداشبورد'!$B$7="تصدير","Y","N")))</f>
        <v/>
      </c>
      <c r="T1147">
        <f>--($J1147=IF('الداشبورد'!$B$8="الكل",$J1147,IF('الداشبورد'!$B$8="AL","A","C")))</f>
        <v/>
      </c>
      <c r="U1147">
        <f>--($I1147=IF('الداشبورد'!$B$9="الكل",$I1147,IF('الداشبورد'!$B$9="بدون حالة","P",'الداشبورد'!$B$9)))</f>
        <v/>
      </c>
      <c r="V1147">
        <f>--($D1147=IF('الداشبورد'!$B$10="الكل",$D1147,'الداشبورد'!$B$10))</f>
        <v/>
      </c>
      <c r="W1147">
        <f>--($G1147=IF('الداشبورد'!$B$11="الكل",$G1147,'الداشبورد'!$B$11))</f>
        <v/>
      </c>
      <c r="X1147">
        <f>Q1147*R1147*S1147*T1147*U1147*V1147*W1147*--($C1147&lt;&gt;"")</f>
        <v/>
      </c>
    </row>
    <row r="1148">
      <c r="Q1148">
        <f>--($A1148=IF('الداشبورد'!$B$5="الكل",$A1148,'الداشبورد'!$B$5))</f>
        <v/>
      </c>
      <c r="R1148">
        <f>--($E1148=IF('الداشبورد'!$B$6="الكل",$E1148,'الداشبورد'!$B$6))</f>
        <v/>
      </c>
      <c r="S1148">
        <f>--($K1148=IF('الداشبورد'!$B$7="الكل",$K1148,IF('الداشبورد'!$B$7="تصدير","Y","N")))</f>
        <v/>
      </c>
      <c r="T1148">
        <f>--($J1148=IF('الداشبورد'!$B$8="الكل",$J1148,IF('الداشبورد'!$B$8="AL","A","C")))</f>
        <v/>
      </c>
      <c r="U1148">
        <f>--($I1148=IF('الداشبورد'!$B$9="الكل",$I1148,IF('الداشبورد'!$B$9="بدون حالة","P",'الداشبورد'!$B$9)))</f>
        <v/>
      </c>
      <c r="V1148">
        <f>--($D1148=IF('الداشبورد'!$B$10="الكل",$D1148,'الداشبورد'!$B$10))</f>
        <v/>
      </c>
      <c r="W1148">
        <f>--($G1148=IF('الداشبورد'!$B$11="الكل",$G1148,'الداشبورد'!$B$11))</f>
        <v/>
      </c>
      <c r="X1148">
        <f>Q1148*R1148*S1148*T1148*U1148*V1148*W1148*--($C1148&lt;&gt;"")</f>
        <v/>
      </c>
    </row>
    <row r="1149">
      <c r="Q1149">
        <f>--($A1149=IF('الداشبورد'!$B$5="الكل",$A1149,'الداشبورد'!$B$5))</f>
        <v/>
      </c>
      <c r="R1149">
        <f>--($E1149=IF('الداشبورد'!$B$6="الكل",$E1149,'الداشبورد'!$B$6))</f>
        <v/>
      </c>
      <c r="S1149">
        <f>--($K1149=IF('الداشبورد'!$B$7="الكل",$K1149,IF('الداشبورد'!$B$7="تصدير","Y","N")))</f>
        <v/>
      </c>
      <c r="T1149">
        <f>--($J1149=IF('الداشبورد'!$B$8="الكل",$J1149,IF('الداشبورد'!$B$8="AL","A","C")))</f>
        <v/>
      </c>
      <c r="U1149">
        <f>--($I1149=IF('الداشبورد'!$B$9="الكل",$I1149,IF('الداشبورد'!$B$9="بدون حالة","P",'الداشبورد'!$B$9)))</f>
        <v/>
      </c>
      <c r="V1149">
        <f>--($D1149=IF('الداشبورد'!$B$10="الكل",$D1149,'الداشبورد'!$B$10))</f>
        <v/>
      </c>
      <c r="W1149">
        <f>--($G1149=IF('الداشبورد'!$B$11="الكل",$G1149,'الداشبورد'!$B$11))</f>
        <v/>
      </c>
      <c r="X1149">
        <f>Q1149*R1149*S1149*T1149*U1149*V1149*W1149*--($C1149&lt;&gt;"")</f>
        <v/>
      </c>
    </row>
    <row r="1150">
      <c r="Q1150">
        <f>--($A1150=IF('الداشبورد'!$B$5="الكل",$A1150,'الداشبورد'!$B$5))</f>
        <v/>
      </c>
      <c r="R1150">
        <f>--($E1150=IF('الداشبورد'!$B$6="الكل",$E1150,'الداشبورد'!$B$6))</f>
        <v/>
      </c>
      <c r="S1150">
        <f>--($K1150=IF('الداشبورد'!$B$7="الكل",$K1150,IF('الداشبورد'!$B$7="تصدير","Y","N")))</f>
        <v/>
      </c>
      <c r="T1150">
        <f>--($J1150=IF('الداشبورد'!$B$8="الكل",$J1150,IF('الداشبورد'!$B$8="AL","A","C")))</f>
        <v/>
      </c>
      <c r="U1150">
        <f>--($I1150=IF('الداشبورد'!$B$9="الكل",$I1150,IF('الداشبورد'!$B$9="بدون حالة","P",'الداشبورد'!$B$9)))</f>
        <v/>
      </c>
      <c r="V1150">
        <f>--($D1150=IF('الداشبورد'!$B$10="الكل",$D1150,'الداشبورد'!$B$10))</f>
        <v/>
      </c>
      <c r="W1150">
        <f>--($G1150=IF('الداشبورد'!$B$11="الكل",$G1150,'الداشبورد'!$B$11))</f>
        <v/>
      </c>
      <c r="X1150">
        <f>Q1150*R1150*S1150*T1150*U1150*V1150*W1150*--($C1150&lt;&gt;"")</f>
        <v/>
      </c>
    </row>
    <row r="1151">
      <c r="Q1151">
        <f>--($A1151=IF('الداشبورد'!$B$5="الكل",$A1151,'الداشبورد'!$B$5))</f>
        <v/>
      </c>
      <c r="R1151">
        <f>--($E1151=IF('الداشبورد'!$B$6="الكل",$E1151,'الداشبورد'!$B$6))</f>
        <v/>
      </c>
      <c r="S1151">
        <f>--($K1151=IF('الداشبورد'!$B$7="الكل",$K1151,IF('الداشبورد'!$B$7="تصدير","Y","N")))</f>
        <v/>
      </c>
      <c r="T1151">
        <f>--($J1151=IF('الداشبورد'!$B$8="الكل",$J1151,IF('الداشبورد'!$B$8="AL","A","C")))</f>
        <v/>
      </c>
      <c r="U1151">
        <f>--($I1151=IF('الداشبورد'!$B$9="الكل",$I1151,IF('الداشبورد'!$B$9="بدون حالة","P",'الداشبورد'!$B$9)))</f>
        <v/>
      </c>
      <c r="V1151">
        <f>--($D1151=IF('الداشبورد'!$B$10="الكل",$D1151,'الداشبورد'!$B$10))</f>
        <v/>
      </c>
      <c r="W1151">
        <f>--($G1151=IF('الداشبورد'!$B$11="الكل",$G1151,'الداشبورد'!$B$11))</f>
        <v/>
      </c>
      <c r="X1151">
        <f>Q1151*R1151*S1151*T1151*U1151*V1151*W1151*--($C1151&lt;&gt;"")</f>
        <v/>
      </c>
    </row>
    <row r="1152">
      <c r="Q1152">
        <f>--($A1152=IF('الداشبورد'!$B$5="الكل",$A1152,'الداشبورد'!$B$5))</f>
        <v/>
      </c>
      <c r="R1152">
        <f>--($E1152=IF('الداشبورد'!$B$6="الكل",$E1152,'الداشبورد'!$B$6))</f>
        <v/>
      </c>
      <c r="S1152">
        <f>--($K1152=IF('الداشبورد'!$B$7="الكل",$K1152,IF('الداشبورد'!$B$7="تصدير","Y","N")))</f>
        <v/>
      </c>
      <c r="T1152">
        <f>--($J1152=IF('الداشبورد'!$B$8="الكل",$J1152,IF('الداشبورد'!$B$8="AL","A","C")))</f>
        <v/>
      </c>
      <c r="U1152">
        <f>--($I1152=IF('الداشبورد'!$B$9="الكل",$I1152,IF('الداشبورد'!$B$9="بدون حالة","P",'الداشبورد'!$B$9)))</f>
        <v/>
      </c>
      <c r="V1152">
        <f>--($D1152=IF('الداشبورد'!$B$10="الكل",$D1152,'الداشبورد'!$B$10))</f>
        <v/>
      </c>
      <c r="W1152">
        <f>--($G1152=IF('الداشبورد'!$B$11="الكل",$G1152,'الداشبورد'!$B$11))</f>
        <v/>
      </c>
      <c r="X1152">
        <f>Q1152*R1152*S1152*T1152*U1152*V1152*W1152*--($C1152&lt;&gt;"")</f>
        <v/>
      </c>
    </row>
    <row r="1153">
      <c r="Q1153">
        <f>--($A1153=IF('الداشبورد'!$B$5="الكل",$A1153,'الداشبورد'!$B$5))</f>
        <v/>
      </c>
      <c r="R1153">
        <f>--($E1153=IF('الداشبورد'!$B$6="الكل",$E1153,'الداشبورد'!$B$6))</f>
        <v/>
      </c>
      <c r="S1153">
        <f>--($K1153=IF('الداشبورد'!$B$7="الكل",$K1153,IF('الداشبورد'!$B$7="تصدير","Y","N")))</f>
        <v/>
      </c>
      <c r="T1153">
        <f>--($J1153=IF('الداشبورد'!$B$8="الكل",$J1153,IF('الداشبورد'!$B$8="AL","A","C")))</f>
        <v/>
      </c>
      <c r="U1153">
        <f>--($I1153=IF('الداشبورد'!$B$9="الكل",$I1153,IF('الداشبورد'!$B$9="بدون حالة","P",'الداشبورد'!$B$9)))</f>
        <v/>
      </c>
      <c r="V1153">
        <f>--($D1153=IF('الداشبورد'!$B$10="الكل",$D1153,'الداشبورد'!$B$10))</f>
        <v/>
      </c>
      <c r="W1153">
        <f>--($G1153=IF('الداشبورد'!$B$11="الكل",$G1153,'الداشبورد'!$B$11))</f>
        <v/>
      </c>
      <c r="X1153">
        <f>Q1153*R1153*S1153*T1153*U1153*V1153*W1153*--($C1153&lt;&gt;"")</f>
        <v/>
      </c>
    </row>
    <row r="1154">
      <c r="Q1154">
        <f>--($A1154=IF('الداشبورد'!$B$5="الكل",$A1154,'الداشبورد'!$B$5))</f>
        <v/>
      </c>
      <c r="R1154">
        <f>--($E1154=IF('الداشبورد'!$B$6="الكل",$E1154,'الداشبورد'!$B$6))</f>
        <v/>
      </c>
      <c r="S1154">
        <f>--($K1154=IF('الداشبورد'!$B$7="الكل",$K1154,IF('الداشبورد'!$B$7="تصدير","Y","N")))</f>
        <v/>
      </c>
      <c r="T1154">
        <f>--($J1154=IF('الداشبورد'!$B$8="الكل",$J1154,IF('الداشبورد'!$B$8="AL","A","C")))</f>
        <v/>
      </c>
      <c r="U1154">
        <f>--($I1154=IF('الداشبورد'!$B$9="الكل",$I1154,IF('الداشبورد'!$B$9="بدون حالة","P",'الداشبورد'!$B$9)))</f>
        <v/>
      </c>
      <c r="V1154">
        <f>--($D1154=IF('الداشبورد'!$B$10="الكل",$D1154,'الداشبورد'!$B$10))</f>
        <v/>
      </c>
      <c r="W1154">
        <f>--($G1154=IF('الداشبورد'!$B$11="الكل",$G1154,'الداشبورد'!$B$11))</f>
        <v/>
      </c>
      <c r="X1154">
        <f>Q1154*R1154*S1154*T1154*U1154*V1154*W1154*--($C1154&lt;&gt;"")</f>
        <v/>
      </c>
    </row>
    <row r="1155">
      <c r="Q1155">
        <f>--($A1155=IF('الداشبورد'!$B$5="الكل",$A1155,'الداشبورد'!$B$5))</f>
        <v/>
      </c>
      <c r="R1155">
        <f>--($E1155=IF('الداشبورد'!$B$6="الكل",$E1155,'الداشبورد'!$B$6))</f>
        <v/>
      </c>
      <c r="S1155">
        <f>--($K1155=IF('الداشبورد'!$B$7="الكل",$K1155,IF('الداشبورد'!$B$7="تصدير","Y","N")))</f>
        <v/>
      </c>
      <c r="T1155">
        <f>--($J1155=IF('الداشبورد'!$B$8="الكل",$J1155,IF('الداشبورد'!$B$8="AL","A","C")))</f>
        <v/>
      </c>
      <c r="U1155">
        <f>--($I1155=IF('الداشبورد'!$B$9="الكل",$I1155,IF('الداشبورد'!$B$9="بدون حالة","P",'الداشبورد'!$B$9)))</f>
        <v/>
      </c>
      <c r="V1155">
        <f>--($D1155=IF('الداشبورد'!$B$10="الكل",$D1155,'الداشبورد'!$B$10))</f>
        <v/>
      </c>
      <c r="W1155">
        <f>--($G1155=IF('الداشبورد'!$B$11="الكل",$G1155,'الداشبورد'!$B$11))</f>
        <v/>
      </c>
      <c r="X1155">
        <f>Q1155*R1155*S1155*T1155*U1155*V1155*W1155*--($C1155&lt;&gt;"")</f>
        <v/>
      </c>
    </row>
    <row r="1156">
      <c r="Q1156">
        <f>--($A1156=IF('الداشبورد'!$B$5="الكل",$A1156,'الداشبورد'!$B$5))</f>
        <v/>
      </c>
      <c r="R1156">
        <f>--($E1156=IF('الداشبورد'!$B$6="الكل",$E1156,'الداشبورد'!$B$6))</f>
        <v/>
      </c>
      <c r="S1156">
        <f>--($K1156=IF('الداشبورد'!$B$7="الكل",$K1156,IF('الداشبورد'!$B$7="تصدير","Y","N")))</f>
        <v/>
      </c>
      <c r="T1156">
        <f>--($J1156=IF('الداشبورد'!$B$8="الكل",$J1156,IF('الداشبورد'!$B$8="AL","A","C")))</f>
        <v/>
      </c>
      <c r="U1156">
        <f>--($I1156=IF('الداشبورد'!$B$9="الكل",$I1156,IF('الداشبورد'!$B$9="بدون حالة","P",'الداشبورد'!$B$9)))</f>
        <v/>
      </c>
      <c r="V1156">
        <f>--($D1156=IF('الداشبورد'!$B$10="الكل",$D1156,'الداشبورد'!$B$10))</f>
        <v/>
      </c>
      <c r="W1156">
        <f>--($G1156=IF('الداشبورد'!$B$11="الكل",$G1156,'الداشبورد'!$B$11))</f>
        <v/>
      </c>
      <c r="X1156">
        <f>Q1156*R1156*S1156*T1156*U1156*V1156*W1156*--($C1156&lt;&gt;"")</f>
        <v/>
      </c>
    </row>
    <row r="1157">
      <c r="Q1157">
        <f>--($A1157=IF('الداشبورد'!$B$5="الكل",$A1157,'الداشبورد'!$B$5))</f>
        <v/>
      </c>
      <c r="R1157">
        <f>--($E1157=IF('الداشبورد'!$B$6="الكل",$E1157,'الداشبورد'!$B$6))</f>
        <v/>
      </c>
      <c r="S1157">
        <f>--($K1157=IF('الداشبورد'!$B$7="الكل",$K1157,IF('الداشبورد'!$B$7="تصدير","Y","N")))</f>
        <v/>
      </c>
      <c r="T1157">
        <f>--($J1157=IF('الداشبورد'!$B$8="الكل",$J1157,IF('الداشبورد'!$B$8="AL","A","C")))</f>
        <v/>
      </c>
      <c r="U1157">
        <f>--($I1157=IF('الداشبورد'!$B$9="الكل",$I1157,IF('الداشبورد'!$B$9="بدون حالة","P",'الداشبورد'!$B$9)))</f>
        <v/>
      </c>
      <c r="V1157">
        <f>--($D1157=IF('الداشبورد'!$B$10="الكل",$D1157,'الداشبورد'!$B$10))</f>
        <v/>
      </c>
      <c r="W1157">
        <f>--($G1157=IF('الداشبورد'!$B$11="الكل",$G1157,'الداشبورد'!$B$11))</f>
        <v/>
      </c>
      <c r="X1157">
        <f>Q1157*R1157*S1157*T1157*U1157*V1157*W1157*--($C1157&lt;&gt;"")</f>
        <v/>
      </c>
    </row>
    <row r="1158">
      <c r="Q1158">
        <f>--($A1158=IF('الداشبورد'!$B$5="الكل",$A1158,'الداشبورد'!$B$5))</f>
        <v/>
      </c>
      <c r="R1158">
        <f>--($E1158=IF('الداشبورد'!$B$6="الكل",$E1158,'الداشبورد'!$B$6))</f>
        <v/>
      </c>
      <c r="S1158">
        <f>--($K1158=IF('الداشبورد'!$B$7="الكل",$K1158,IF('الداشبورد'!$B$7="تصدير","Y","N")))</f>
        <v/>
      </c>
      <c r="T1158">
        <f>--($J1158=IF('الداشبورد'!$B$8="الكل",$J1158,IF('الداشبورد'!$B$8="AL","A","C")))</f>
        <v/>
      </c>
      <c r="U1158">
        <f>--($I1158=IF('الداشبورد'!$B$9="الكل",$I1158,IF('الداشبورد'!$B$9="بدون حالة","P",'الداشبورد'!$B$9)))</f>
        <v/>
      </c>
      <c r="V1158">
        <f>--($D1158=IF('الداشبورد'!$B$10="الكل",$D1158,'الداشبورد'!$B$10))</f>
        <v/>
      </c>
      <c r="W1158">
        <f>--($G1158=IF('الداشبورد'!$B$11="الكل",$G1158,'الداشبورد'!$B$11))</f>
        <v/>
      </c>
      <c r="X1158">
        <f>Q1158*R1158*S1158*T1158*U1158*V1158*W1158*--($C1158&lt;&gt;"")</f>
        <v/>
      </c>
    </row>
    <row r="1159">
      <c r="Q1159">
        <f>--($A1159=IF('الداشبورد'!$B$5="الكل",$A1159,'الداشبورد'!$B$5))</f>
        <v/>
      </c>
      <c r="R1159">
        <f>--($E1159=IF('الداشبورد'!$B$6="الكل",$E1159,'الداشبورد'!$B$6))</f>
        <v/>
      </c>
      <c r="S1159">
        <f>--($K1159=IF('الداشبورد'!$B$7="الكل",$K1159,IF('الداشبورد'!$B$7="تصدير","Y","N")))</f>
        <v/>
      </c>
      <c r="T1159">
        <f>--($J1159=IF('الداشبورد'!$B$8="الكل",$J1159,IF('الداشبورد'!$B$8="AL","A","C")))</f>
        <v/>
      </c>
      <c r="U1159">
        <f>--($I1159=IF('الداشبورد'!$B$9="الكل",$I1159,IF('الداشبورد'!$B$9="بدون حالة","P",'الداشبورد'!$B$9)))</f>
        <v/>
      </c>
      <c r="V1159">
        <f>--($D1159=IF('الداشبورد'!$B$10="الكل",$D1159,'الداشبورد'!$B$10))</f>
        <v/>
      </c>
      <c r="W1159">
        <f>--($G1159=IF('الداشبورد'!$B$11="الكل",$G1159,'الداشبورد'!$B$11))</f>
        <v/>
      </c>
      <c r="X1159">
        <f>Q1159*R1159*S1159*T1159*U1159*V1159*W1159*--($C1159&lt;&gt;"")</f>
        <v/>
      </c>
    </row>
    <row r="1160">
      <c r="Q1160">
        <f>--($A1160=IF('الداشبورد'!$B$5="الكل",$A1160,'الداشبورد'!$B$5))</f>
        <v/>
      </c>
      <c r="R1160">
        <f>--($E1160=IF('الداشبورد'!$B$6="الكل",$E1160,'الداشبورد'!$B$6))</f>
        <v/>
      </c>
      <c r="S1160">
        <f>--($K1160=IF('الداشبورد'!$B$7="الكل",$K1160,IF('الداشبورد'!$B$7="تصدير","Y","N")))</f>
        <v/>
      </c>
      <c r="T1160">
        <f>--($J1160=IF('الداشبورد'!$B$8="الكل",$J1160,IF('الداشبورد'!$B$8="AL","A","C")))</f>
        <v/>
      </c>
      <c r="U1160">
        <f>--($I1160=IF('الداشبورد'!$B$9="الكل",$I1160,IF('الداشبورد'!$B$9="بدون حالة","P",'الداشبورد'!$B$9)))</f>
        <v/>
      </c>
      <c r="V1160">
        <f>--($D1160=IF('الداشبورد'!$B$10="الكل",$D1160,'الداشبورد'!$B$10))</f>
        <v/>
      </c>
      <c r="W1160">
        <f>--($G1160=IF('الداشبورد'!$B$11="الكل",$G1160,'الداشبورد'!$B$11))</f>
        <v/>
      </c>
      <c r="X1160">
        <f>Q1160*R1160*S1160*T1160*U1160*V1160*W1160*--($C1160&lt;&gt;"")</f>
        <v/>
      </c>
    </row>
    <row r="1161">
      <c r="Q1161">
        <f>--($A1161=IF('الداشبورد'!$B$5="الكل",$A1161,'الداشبورد'!$B$5))</f>
        <v/>
      </c>
      <c r="R1161">
        <f>--($E1161=IF('الداشبورد'!$B$6="الكل",$E1161,'الداشبورد'!$B$6))</f>
        <v/>
      </c>
      <c r="S1161">
        <f>--($K1161=IF('الداشبورد'!$B$7="الكل",$K1161,IF('الداشبورد'!$B$7="تصدير","Y","N")))</f>
        <v/>
      </c>
      <c r="T1161">
        <f>--($J1161=IF('الداشبورد'!$B$8="الكل",$J1161,IF('الداشبورد'!$B$8="AL","A","C")))</f>
        <v/>
      </c>
      <c r="U1161">
        <f>--($I1161=IF('الداشبورد'!$B$9="الكل",$I1161,IF('الداشبورد'!$B$9="بدون حالة","P",'الداشبورد'!$B$9)))</f>
        <v/>
      </c>
      <c r="V1161">
        <f>--($D1161=IF('الداشبورد'!$B$10="الكل",$D1161,'الداشبورد'!$B$10))</f>
        <v/>
      </c>
      <c r="W1161">
        <f>--($G1161=IF('الداشبورد'!$B$11="الكل",$G1161,'الداشبورد'!$B$11))</f>
        <v/>
      </c>
      <c r="X1161">
        <f>Q1161*R1161*S1161*T1161*U1161*V1161*W1161*--($C1161&lt;&gt;"")</f>
        <v/>
      </c>
    </row>
    <row r="1162">
      <c r="Q1162">
        <f>--($A1162=IF('الداشبورد'!$B$5="الكل",$A1162,'الداشبورد'!$B$5))</f>
        <v/>
      </c>
      <c r="R1162">
        <f>--($E1162=IF('الداشبورد'!$B$6="الكل",$E1162,'الداشبورد'!$B$6))</f>
        <v/>
      </c>
      <c r="S1162">
        <f>--($K1162=IF('الداشبورد'!$B$7="الكل",$K1162,IF('الداشبورد'!$B$7="تصدير","Y","N")))</f>
        <v/>
      </c>
      <c r="T1162">
        <f>--($J1162=IF('الداشبورد'!$B$8="الكل",$J1162,IF('الداشبورد'!$B$8="AL","A","C")))</f>
        <v/>
      </c>
      <c r="U1162">
        <f>--($I1162=IF('الداشبورد'!$B$9="الكل",$I1162,IF('الداشبورد'!$B$9="بدون حالة","P",'الداشبورد'!$B$9)))</f>
        <v/>
      </c>
      <c r="V1162">
        <f>--($D1162=IF('الداشبورد'!$B$10="الكل",$D1162,'الداشبورد'!$B$10))</f>
        <v/>
      </c>
      <c r="W1162">
        <f>--($G1162=IF('الداشبورد'!$B$11="الكل",$G1162,'الداشبورد'!$B$11))</f>
        <v/>
      </c>
      <c r="X1162">
        <f>Q1162*R1162*S1162*T1162*U1162*V1162*W1162*--($C1162&lt;&gt;"")</f>
        <v/>
      </c>
    </row>
    <row r="1163">
      <c r="Q1163">
        <f>--($A1163=IF('الداشبورد'!$B$5="الكل",$A1163,'الداشبورد'!$B$5))</f>
        <v/>
      </c>
      <c r="R1163">
        <f>--($E1163=IF('الداشبورد'!$B$6="الكل",$E1163,'الداشبورد'!$B$6))</f>
        <v/>
      </c>
      <c r="S1163">
        <f>--($K1163=IF('الداشبورد'!$B$7="الكل",$K1163,IF('الداشبورد'!$B$7="تصدير","Y","N")))</f>
        <v/>
      </c>
      <c r="T1163">
        <f>--($J1163=IF('الداشبورد'!$B$8="الكل",$J1163,IF('الداشبورد'!$B$8="AL","A","C")))</f>
        <v/>
      </c>
      <c r="U1163">
        <f>--($I1163=IF('الداشبورد'!$B$9="الكل",$I1163,IF('الداشبورد'!$B$9="بدون حالة","P",'الداشبورد'!$B$9)))</f>
        <v/>
      </c>
      <c r="V1163">
        <f>--($D1163=IF('الداشبورد'!$B$10="الكل",$D1163,'الداشبورد'!$B$10))</f>
        <v/>
      </c>
      <c r="W1163">
        <f>--($G1163=IF('الداشبورد'!$B$11="الكل",$G1163,'الداشبورد'!$B$11))</f>
        <v/>
      </c>
      <c r="X1163">
        <f>Q1163*R1163*S1163*T1163*U1163*V1163*W1163*--($C1163&lt;&gt;"")</f>
        <v/>
      </c>
    </row>
    <row r="1164">
      <c r="Q1164">
        <f>--($A1164=IF('الداشبورد'!$B$5="الكل",$A1164,'الداشبورد'!$B$5))</f>
        <v/>
      </c>
      <c r="R1164">
        <f>--($E1164=IF('الداشبورد'!$B$6="الكل",$E1164,'الداشبورد'!$B$6))</f>
        <v/>
      </c>
      <c r="S1164">
        <f>--($K1164=IF('الداشبورد'!$B$7="الكل",$K1164,IF('الداشبورد'!$B$7="تصدير","Y","N")))</f>
        <v/>
      </c>
      <c r="T1164">
        <f>--($J1164=IF('الداشبورد'!$B$8="الكل",$J1164,IF('الداشبورد'!$B$8="AL","A","C")))</f>
        <v/>
      </c>
      <c r="U1164">
        <f>--($I1164=IF('الداشبورد'!$B$9="الكل",$I1164,IF('الداشبورد'!$B$9="بدون حالة","P",'الداشبورد'!$B$9)))</f>
        <v/>
      </c>
      <c r="V1164">
        <f>--($D1164=IF('الداشبورد'!$B$10="الكل",$D1164,'الداشبورد'!$B$10))</f>
        <v/>
      </c>
      <c r="W1164">
        <f>--($G1164=IF('الداشبورد'!$B$11="الكل",$G1164,'الداشبورد'!$B$11))</f>
        <v/>
      </c>
      <c r="X1164">
        <f>Q1164*R1164*S1164*T1164*U1164*V1164*W1164*--($C1164&lt;&gt;"")</f>
        <v/>
      </c>
    </row>
    <row r="1165">
      <c r="Q1165">
        <f>--($A1165=IF('الداشبورد'!$B$5="الكل",$A1165,'الداشبورد'!$B$5))</f>
        <v/>
      </c>
      <c r="R1165">
        <f>--($E1165=IF('الداشبورد'!$B$6="الكل",$E1165,'الداشبورد'!$B$6))</f>
        <v/>
      </c>
      <c r="S1165">
        <f>--($K1165=IF('الداشبورد'!$B$7="الكل",$K1165,IF('الداشبورد'!$B$7="تصدير","Y","N")))</f>
        <v/>
      </c>
      <c r="T1165">
        <f>--($J1165=IF('الداشبورد'!$B$8="الكل",$J1165,IF('الداشبورد'!$B$8="AL","A","C")))</f>
        <v/>
      </c>
      <c r="U1165">
        <f>--($I1165=IF('الداشبورد'!$B$9="الكل",$I1165,IF('الداشبورد'!$B$9="بدون حالة","P",'الداشبورد'!$B$9)))</f>
        <v/>
      </c>
      <c r="V1165">
        <f>--($D1165=IF('الداشبورد'!$B$10="الكل",$D1165,'الداشبورد'!$B$10))</f>
        <v/>
      </c>
      <c r="W1165">
        <f>--($G1165=IF('الداشبورد'!$B$11="الكل",$G1165,'الداشبورد'!$B$11))</f>
        <v/>
      </c>
      <c r="X1165">
        <f>Q1165*R1165*S1165*T1165*U1165*V1165*W1165*--($C1165&lt;&gt;"")</f>
        <v/>
      </c>
    </row>
    <row r="1166">
      <c r="Q1166">
        <f>--($A1166=IF('الداشبورد'!$B$5="الكل",$A1166,'الداشبورد'!$B$5))</f>
        <v/>
      </c>
      <c r="R1166">
        <f>--($E1166=IF('الداشبورد'!$B$6="الكل",$E1166,'الداشبورد'!$B$6))</f>
        <v/>
      </c>
      <c r="S1166">
        <f>--($K1166=IF('الداشبورد'!$B$7="الكل",$K1166,IF('الداشبورد'!$B$7="تصدير","Y","N")))</f>
        <v/>
      </c>
      <c r="T1166">
        <f>--($J1166=IF('الداشبورد'!$B$8="الكل",$J1166,IF('الداشبورد'!$B$8="AL","A","C")))</f>
        <v/>
      </c>
      <c r="U1166">
        <f>--($I1166=IF('الداشبورد'!$B$9="الكل",$I1166,IF('الداشبورد'!$B$9="بدون حالة","P",'الداشبورد'!$B$9)))</f>
        <v/>
      </c>
      <c r="V1166">
        <f>--($D1166=IF('الداشبورد'!$B$10="الكل",$D1166,'الداشبورد'!$B$10))</f>
        <v/>
      </c>
      <c r="W1166">
        <f>--($G1166=IF('الداشبورد'!$B$11="الكل",$G1166,'الداشبورد'!$B$11))</f>
        <v/>
      </c>
      <c r="X1166">
        <f>Q1166*R1166*S1166*T1166*U1166*V1166*W1166*--($C1166&lt;&gt;"")</f>
        <v/>
      </c>
    </row>
    <row r="1167">
      <c r="Q1167">
        <f>--($A1167=IF('الداشبورد'!$B$5="الكل",$A1167,'الداشبورد'!$B$5))</f>
        <v/>
      </c>
      <c r="R1167">
        <f>--($E1167=IF('الداشبورد'!$B$6="الكل",$E1167,'الداشبورد'!$B$6))</f>
        <v/>
      </c>
      <c r="S1167">
        <f>--($K1167=IF('الداشبورد'!$B$7="الكل",$K1167,IF('الداشبورد'!$B$7="تصدير","Y","N")))</f>
        <v/>
      </c>
      <c r="T1167">
        <f>--($J1167=IF('الداشبورد'!$B$8="الكل",$J1167,IF('الداشبورد'!$B$8="AL","A","C")))</f>
        <v/>
      </c>
      <c r="U1167">
        <f>--($I1167=IF('الداشبورد'!$B$9="الكل",$I1167,IF('الداشبورد'!$B$9="بدون حالة","P",'الداشبورد'!$B$9)))</f>
        <v/>
      </c>
      <c r="V1167">
        <f>--($D1167=IF('الداشبورد'!$B$10="الكل",$D1167,'الداشبورد'!$B$10))</f>
        <v/>
      </c>
      <c r="W1167">
        <f>--($G1167=IF('الداشبورد'!$B$11="الكل",$G1167,'الداشبورد'!$B$11))</f>
        <v/>
      </c>
      <c r="X1167">
        <f>Q1167*R1167*S1167*T1167*U1167*V1167*W1167*--($C1167&lt;&gt;"")</f>
        <v/>
      </c>
    </row>
    <row r="1168">
      <c r="Q1168">
        <f>--($A1168=IF('الداشبورد'!$B$5="الكل",$A1168,'الداشبورد'!$B$5))</f>
        <v/>
      </c>
      <c r="R1168">
        <f>--($E1168=IF('الداشبورد'!$B$6="الكل",$E1168,'الداشبورد'!$B$6))</f>
        <v/>
      </c>
      <c r="S1168">
        <f>--($K1168=IF('الداشبورد'!$B$7="الكل",$K1168,IF('الداشبورد'!$B$7="تصدير","Y","N")))</f>
        <v/>
      </c>
      <c r="T1168">
        <f>--($J1168=IF('الداشبورد'!$B$8="الكل",$J1168,IF('الداشبورد'!$B$8="AL","A","C")))</f>
        <v/>
      </c>
      <c r="U1168">
        <f>--($I1168=IF('الداشبورد'!$B$9="الكل",$I1168,IF('الداشبورد'!$B$9="بدون حالة","P",'الداشبورد'!$B$9)))</f>
        <v/>
      </c>
      <c r="V1168">
        <f>--($D1168=IF('الداشبورد'!$B$10="الكل",$D1168,'الداشبورد'!$B$10))</f>
        <v/>
      </c>
      <c r="W1168">
        <f>--($G1168=IF('الداشبورد'!$B$11="الكل",$G1168,'الداشبورد'!$B$11))</f>
        <v/>
      </c>
      <c r="X1168">
        <f>Q1168*R1168*S1168*T1168*U1168*V1168*W1168*--($C1168&lt;&gt;"")</f>
        <v/>
      </c>
    </row>
    <row r="1169">
      <c r="Q1169">
        <f>--($A1169=IF('الداشبورد'!$B$5="الكل",$A1169,'الداشبورد'!$B$5))</f>
        <v/>
      </c>
      <c r="R1169">
        <f>--($E1169=IF('الداشبورد'!$B$6="الكل",$E1169,'الداشبورد'!$B$6))</f>
        <v/>
      </c>
      <c r="S1169">
        <f>--($K1169=IF('الداشبورد'!$B$7="الكل",$K1169,IF('الداشبورد'!$B$7="تصدير","Y","N")))</f>
        <v/>
      </c>
      <c r="T1169">
        <f>--($J1169=IF('الداشبورد'!$B$8="الكل",$J1169,IF('الداشبورد'!$B$8="AL","A","C")))</f>
        <v/>
      </c>
      <c r="U1169">
        <f>--($I1169=IF('الداشبورد'!$B$9="الكل",$I1169,IF('الداشبورد'!$B$9="بدون حالة","P",'الداشبورد'!$B$9)))</f>
        <v/>
      </c>
      <c r="V1169">
        <f>--($D1169=IF('الداشبورد'!$B$10="الكل",$D1169,'الداشبورد'!$B$10))</f>
        <v/>
      </c>
      <c r="W1169">
        <f>--($G1169=IF('الداشبورد'!$B$11="الكل",$G1169,'الداشبورد'!$B$11))</f>
        <v/>
      </c>
      <c r="X1169">
        <f>Q1169*R1169*S1169*T1169*U1169*V1169*W1169*--($C1169&lt;&gt;"")</f>
        <v/>
      </c>
    </row>
    <row r="1170">
      <c r="Q1170">
        <f>--($A1170=IF('الداشبورد'!$B$5="الكل",$A1170,'الداشبورد'!$B$5))</f>
        <v/>
      </c>
      <c r="R1170">
        <f>--($E1170=IF('الداشبورد'!$B$6="الكل",$E1170,'الداشبورد'!$B$6))</f>
        <v/>
      </c>
      <c r="S1170">
        <f>--($K1170=IF('الداشبورد'!$B$7="الكل",$K1170,IF('الداشبورد'!$B$7="تصدير","Y","N")))</f>
        <v/>
      </c>
      <c r="T1170">
        <f>--($J1170=IF('الداشبورد'!$B$8="الكل",$J1170,IF('الداشبورد'!$B$8="AL","A","C")))</f>
        <v/>
      </c>
      <c r="U1170">
        <f>--($I1170=IF('الداشبورد'!$B$9="الكل",$I1170,IF('الداشبورد'!$B$9="بدون حالة","P",'الداشبورد'!$B$9)))</f>
        <v/>
      </c>
      <c r="V1170">
        <f>--($D1170=IF('الداشبورد'!$B$10="الكل",$D1170,'الداشبورد'!$B$10))</f>
        <v/>
      </c>
      <c r="W1170">
        <f>--($G1170=IF('الداشبورد'!$B$11="الكل",$G1170,'الداشبورد'!$B$11))</f>
        <v/>
      </c>
      <c r="X1170">
        <f>Q1170*R1170*S1170*T1170*U1170*V1170*W1170*--($C1170&lt;&gt;"")</f>
        <v/>
      </c>
    </row>
    <row r="1171">
      <c r="Q1171">
        <f>--($A1171=IF('الداشبورد'!$B$5="الكل",$A1171,'الداشبورد'!$B$5))</f>
        <v/>
      </c>
      <c r="R1171">
        <f>--($E1171=IF('الداشبورد'!$B$6="الكل",$E1171,'الداشبورد'!$B$6))</f>
        <v/>
      </c>
      <c r="S1171">
        <f>--($K1171=IF('الداشبورد'!$B$7="الكل",$K1171,IF('الداشبورد'!$B$7="تصدير","Y","N")))</f>
        <v/>
      </c>
      <c r="T1171">
        <f>--($J1171=IF('الداشبورد'!$B$8="الكل",$J1171,IF('الداشبورد'!$B$8="AL","A","C")))</f>
        <v/>
      </c>
      <c r="U1171">
        <f>--($I1171=IF('الداشبورد'!$B$9="الكل",$I1171,IF('الداشبورد'!$B$9="بدون حالة","P",'الداشبورد'!$B$9)))</f>
        <v/>
      </c>
      <c r="V1171">
        <f>--($D1171=IF('الداشبورد'!$B$10="الكل",$D1171,'الداشبورد'!$B$10))</f>
        <v/>
      </c>
      <c r="W1171">
        <f>--($G1171=IF('الداشبورد'!$B$11="الكل",$G1171,'الداشبورد'!$B$11))</f>
        <v/>
      </c>
      <c r="X1171">
        <f>Q1171*R1171*S1171*T1171*U1171*V1171*W1171*--($C1171&lt;&gt;"")</f>
        <v/>
      </c>
    </row>
    <row r="1172">
      <c r="Q1172">
        <f>--($A1172=IF('الداشبورد'!$B$5="الكل",$A1172,'الداشبورد'!$B$5))</f>
        <v/>
      </c>
      <c r="R1172">
        <f>--($E1172=IF('الداشبورد'!$B$6="الكل",$E1172,'الداشبورد'!$B$6))</f>
        <v/>
      </c>
      <c r="S1172">
        <f>--($K1172=IF('الداشبورد'!$B$7="الكل",$K1172,IF('الداشبورد'!$B$7="تصدير","Y","N")))</f>
        <v/>
      </c>
      <c r="T1172">
        <f>--($J1172=IF('الداشبورد'!$B$8="الكل",$J1172,IF('الداشبورد'!$B$8="AL","A","C")))</f>
        <v/>
      </c>
      <c r="U1172">
        <f>--($I1172=IF('الداشبورد'!$B$9="الكل",$I1172,IF('الداشبورد'!$B$9="بدون حالة","P",'الداشبورد'!$B$9)))</f>
        <v/>
      </c>
      <c r="V1172">
        <f>--($D1172=IF('الداشبورد'!$B$10="الكل",$D1172,'الداشبورد'!$B$10))</f>
        <v/>
      </c>
      <c r="W1172">
        <f>--($G1172=IF('الداشبورد'!$B$11="الكل",$G1172,'الداشبورد'!$B$11))</f>
        <v/>
      </c>
      <c r="X1172">
        <f>Q1172*R1172*S1172*T1172*U1172*V1172*W1172*--($C1172&lt;&gt;"")</f>
        <v/>
      </c>
    </row>
    <row r="1173">
      <c r="Q1173">
        <f>--($A1173=IF('الداشبورد'!$B$5="الكل",$A1173,'الداشبورد'!$B$5))</f>
        <v/>
      </c>
      <c r="R1173">
        <f>--($E1173=IF('الداشبورد'!$B$6="الكل",$E1173,'الداشبورد'!$B$6))</f>
        <v/>
      </c>
      <c r="S1173">
        <f>--($K1173=IF('الداشبورد'!$B$7="الكل",$K1173,IF('الداشبورد'!$B$7="تصدير","Y","N")))</f>
        <v/>
      </c>
      <c r="T1173">
        <f>--($J1173=IF('الداشبورد'!$B$8="الكل",$J1173,IF('الداشبورد'!$B$8="AL","A","C")))</f>
        <v/>
      </c>
      <c r="U1173">
        <f>--($I1173=IF('الداشبورد'!$B$9="الكل",$I1173,IF('الداشبورد'!$B$9="بدون حالة","P",'الداشبورد'!$B$9)))</f>
        <v/>
      </c>
      <c r="V1173">
        <f>--($D1173=IF('الداشبورد'!$B$10="الكل",$D1173,'الداشبورد'!$B$10))</f>
        <v/>
      </c>
      <c r="W1173">
        <f>--($G1173=IF('الداشبورد'!$B$11="الكل",$G1173,'الداشبورد'!$B$11))</f>
        <v/>
      </c>
      <c r="X1173">
        <f>Q1173*R1173*S1173*T1173*U1173*V1173*W1173*--($C1173&lt;&gt;"")</f>
        <v/>
      </c>
    </row>
    <row r="1174">
      <c r="Q1174">
        <f>--($A1174=IF('الداشبورد'!$B$5="الكل",$A1174,'الداشبورد'!$B$5))</f>
        <v/>
      </c>
      <c r="R1174">
        <f>--($E1174=IF('الداشبورد'!$B$6="الكل",$E1174,'الداشبورد'!$B$6))</f>
        <v/>
      </c>
      <c r="S1174">
        <f>--($K1174=IF('الداشبورد'!$B$7="الكل",$K1174,IF('الداشبورد'!$B$7="تصدير","Y","N")))</f>
        <v/>
      </c>
      <c r="T1174">
        <f>--($J1174=IF('الداشبورد'!$B$8="الكل",$J1174,IF('الداشبورد'!$B$8="AL","A","C")))</f>
        <v/>
      </c>
      <c r="U1174">
        <f>--($I1174=IF('الداشبورد'!$B$9="الكل",$I1174,IF('الداشبورد'!$B$9="بدون حالة","P",'الداشبورد'!$B$9)))</f>
        <v/>
      </c>
      <c r="V1174">
        <f>--($D1174=IF('الداشبورد'!$B$10="الكل",$D1174,'الداشبورد'!$B$10))</f>
        <v/>
      </c>
      <c r="W1174">
        <f>--($G1174=IF('الداشبورد'!$B$11="الكل",$G1174,'الداشبورد'!$B$11))</f>
        <v/>
      </c>
      <c r="X1174">
        <f>Q1174*R1174*S1174*T1174*U1174*V1174*W1174*--($C1174&lt;&gt;"")</f>
        <v/>
      </c>
    </row>
    <row r="1175">
      <c r="Q1175">
        <f>--($A1175=IF('الداشبورد'!$B$5="الكل",$A1175,'الداشبورد'!$B$5))</f>
        <v/>
      </c>
      <c r="R1175">
        <f>--($E1175=IF('الداشبورد'!$B$6="الكل",$E1175,'الداشبورد'!$B$6))</f>
        <v/>
      </c>
      <c r="S1175">
        <f>--($K1175=IF('الداشبورد'!$B$7="الكل",$K1175,IF('الداشبورد'!$B$7="تصدير","Y","N")))</f>
        <v/>
      </c>
      <c r="T1175">
        <f>--($J1175=IF('الداشبورد'!$B$8="الكل",$J1175,IF('الداشبورد'!$B$8="AL","A","C")))</f>
        <v/>
      </c>
      <c r="U1175">
        <f>--($I1175=IF('الداشبورد'!$B$9="الكل",$I1175,IF('الداشبورد'!$B$9="بدون حالة","P",'الداشبورد'!$B$9)))</f>
        <v/>
      </c>
      <c r="V1175">
        <f>--($D1175=IF('الداشبورد'!$B$10="الكل",$D1175,'الداشبورد'!$B$10))</f>
        <v/>
      </c>
      <c r="W1175">
        <f>--($G1175=IF('الداشبورد'!$B$11="الكل",$G1175,'الداشبورد'!$B$11))</f>
        <v/>
      </c>
      <c r="X1175">
        <f>Q1175*R1175*S1175*T1175*U1175*V1175*W1175*--($C1175&lt;&gt;"")</f>
        <v/>
      </c>
    </row>
    <row r="1176">
      <c r="Q1176">
        <f>--($A1176=IF('الداشبورد'!$B$5="الكل",$A1176,'الداشبورد'!$B$5))</f>
        <v/>
      </c>
      <c r="R1176">
        <f>--($E1176=IF('الداشبورد'!$B$6="الكل",$E1176,'الداشبورد'!$B$6))</f>
        <v/>
      </c>
      <c r="S1176">
        <f>--($K1176=IF('الداشبورد'!$B$7="الكل",$K1176,IF('الداشبورد'!$B$7="تصدير","Y","N")))</f>
        <v/>
      </c>
      <c r="T1176">
        <f>--($J1176=IF('الداشبورد'!$B$8="الكل",$J1176,IF('الداشبورد'!$B$8="AL","A","C")))</f>
        <v/>
      </c>
      <c r="U1176">
        <f>--($I1176=IF('الداشبورد'!$B$9="الكل",$I1176,IF('الداشبورد'!$B$9="بدون حالة","P",'الداشبورد'!$B$9)))</f>
        <v/>
      </c>
      <c r="V1176">
        <f>--($D1176=IF('الداشبورد'!$B$10="الكل",$D1176,'الداشبورد'!$B$10))</f>
        <v/>
      </c>
      <c r="W1176">
        <f>--($G1176=IF('الداشبورد'!$B$11="الكل",$G1176,'الداشبورد'!$B$11))</f>
        <v/>
      </c>
      <c r="X1176">
        <f>Q1176*R1176*S1176*T1176*U1176*V1176*W1176*--($C1176&lt;&gt;"")</f>
        <v/>
      </c>
    </row>
    <row r="1177">
      <c r="Q1177">
        <f>--($A1177=IF('الداشبورد'!$B$5="الكل",$A1177,'الداشبورد'!$B$5))</f>
        <v/>
      </c>
      <c r="R1177">
        <f>--($E1177=IF('الداشبورد'!$B$6="الكل",$E1177,'الداشبورد'!$B$6))</f>
        <v/>
      </c>
      <c r="S1177">
        <f>--($K1177=IF('الداشبورد'!$B$7="الكل",$K1177,IF('الداشبورد'!$B$7="تصدير","Y","N")))</f>
        <v/>
      </c>
      <c r="T1177">
        <f>--($J1177=IF('الداشبورد'!$B$8="الكل",$J1177,IF('الداشبورد'!$B$8="AL","A","C")))</f>
        <v/>
      </c>
      <c r="U1177">
        <f>--($I1177=IF('الداشبورد'!$B$9="الكل",$I1177,IF('الداشبورد'!$B$9="بدون حالة","P",'الداشبورد'!$B$9)))</f>
        <v/>
      </c>
      <c r="V1177">
        <f>--($D1177=IF('الداشبورد'!$B$10="الكل",$D1177,'الداشبورد'!$B$10))</f>
        <v/>
      </c>
      <c r="W1177">
        <f>--($G1177=IF('الداشبورد'!$B$11="الكل",$G1177,'الداشبورد'!$B$11))</f>
        <v/>
      </c>
      <c r="X1177">
        <f>Q1177*R1177*S1177*T1177*U1177*V1177*W1177*--($C1177&lt;&gt;"")</f>
        <v/>
      </c>
    </row>
    <row r="1178">
      <c r="Q1178">
        <f>--($A1178=IF('الداشبورد'!$B$5="الكل",$A1178,'الداشبورد'!$B$5))</f>
        <v/>
      </c>
      <c r="R1178">
        <f>--($E1178=IF('الداشبورد'!$B$6="الكل",$E1178,'الداشبورد'!$B$6))</f>
        <v/>
      </c>
      <c r="S1178">
        <f>--($K1178=IF('الداشبورد'!$B$7="الكل",$K1178,IF('الداشبورد'!$B$7="تصدير","Y","N")))</f>
        <v/>
      </c>
      <c r="T1178">
        <f>--($J1178=IF('الداشبورد'!$B$8="الكل",$J1178,IF('الداشبورد'!$B$8="AL","A","C")))</f>
        <v/>
      </c>
      <c r="U1178">
        <f>--($I1178=IF('الداشبورد'!$B$9="الكل",$I1178,IF('الداشبورد'!$B$9="بدون حالة","P",'الداشبورد'!$B$9)))</f>
        <v/>
      </c>
      <c r="V1178">
        <f>--($D1178=IF('الداشبورد'!$B$10="الكل",$D1178,'الداشبورد'!$B$10))</f>
        <v/>
      </c>
      <c r="W1178">
        <f>--($G1178=IF('الداشبورد'!$B$11="الكل",$G1178,'الداشبورد'!$B$11))</f>
        <v/>
      </c>
      <c r="X1178">
        <f>Q1178*R1178*S1178*T1178*U1178*V1178*W1178*--($C1178&lt;&gt;"")</f>
        <v/>
      </c>
    </row>
    <row r="1179">
      <c r="Q1179">
        <f>--($A1179=IF('الداشبورد'!$B$5="الكل",$A1179,'الداشبورد'!$B$5))</f>
        <v/>
      </c>
      <c r="R1179">
        <f>--($E1179=IF('الداشبورد'!$B$6="الكل",$E1179,'الداشبورد'!$B$6))</f>
        <v/>
      </c>
      <c r="S1179">
        <f>--($K1179=IF('الداشبورد'!$B$7="الكل",$K1179,IF('الداشبورد'!$B$7="تصدير","Y","N")))</f>
        <v/>
      </c>
      <c r="T1179">
        <f>--($J1179=IF('الداشبورد'!$B$8="الكل",$J1179,IF('الداشبورد'!$B$8="AL","A","C")))</f>
        <v/>
      </c>
      <c r="U1179">
        <f>--($I1179=IF('الداشبورد'!$B$9="الكل",$I1179,IF('الداشبورد'!$B$9="بدون حالة","P",'الداشبورد'!$B$9)))</f>
        <v/>
      </c>
      <c r="V1179">
        <f>--($D1179=IF('الداشبورد'!$B$10="الكل",$D1179,'الداشبورد'!$B$10))</f>
        <v/>
      </c>
      <c r="W1179">
        <f>--($G1179=IF('الداشبورد'!$B$11="الكل",$G1179,'الداشبورد'!$B$11))</f>
        <v/>
      </c>
      <c r="X1179">
        <f>Q1179*R1179*S1179*T1179*U1179*V1179*W1179*--($C1179&lt;&gt;"")</f>
        <v/>
      </c>
    </row>
    <row r="1180">
      <c r="Q1180">
        <f>--($A1180=IF('الداشبورد'!$B$5="الكل",$A1180,'الداشبورد'!$B$5))</f>
        <v/>
      </c>
      <c r="R1180">
        <f>--($E1180=IF('الداشبورد'!$B$6="الكل",$E1180,'الداشبورد'!$B$6))</f>
        <v/>
      </c>
      <c r="S1180">
        <f>--($K1180=IF('الداشبورد'!$B$7="الكل",$K1180,IF('الداشبورد'!$B$7="تصدير","Y","N")))</f>
        <v/>
      </c>
      <c r="T1180">
        <f>--($J1180=IF('الداشبورد'!$B$8="الكل",$J1180,IF('الداشبورد'!$B$8="AL","A","C")))</f>
        <v/>
      </c>
      <c r="U1180">
        <f>--($I1180=IF('الداشبورد'!$B$9="الكل",$I1180,IF('الداشبورد'!$B$9="بدون حالة","P",'الداشبورد'!$B$9)))</f>
        <v/>
      </c>
      <c r="V1180">
        <f>--($D1180=IF('الداشبورد'!$B$10="الكل",$D1180,'الداشبورد'!$B$10))</f>
        <v/>
      </c>
      <c r="W1180">
        <f>--($G1180=IF('الداشبورد'!$B$11="الكل",$G1180,'الداشبورد'!$B$11))</f>
        <v/>
      </c>
      <c r="X1180">
        <f>Q1180*R1180*S1180*T1180*U1180*V1180*W1180*--($C1180&lt;&gt;"")</f>
        <v/>
      </c>
    </row>
    <row r="1181">
      <c r="Q1181">
        <f>--($A1181=IF('الداشبورد'!$B$5="الكل",$A1181,'الداشبورد'!$B$5))</f>
        <v/>
      </c>
      <c r="R1181">
        <f>--($E1181=IF('الداشبورد'!$B$6="الكل",$E1181,'الداشبورد'!$B$6))</f>
        <v/>
      </c>
      <c r="S1181">
        <f>--($K1181=IF('الداشبورد'!$B$7="الكل",$K1181,IF('الداشبورد'!$B$7="تصدير","Y","N")))</f>
        <v/>
      </c>
      <c r="T1181">
        <f>--($J1181=IF('الداشبورد'!$B$8="الكل",$J1181,IF('الداشبورد'!$B$8="AL","A","C")))</f>
        <v/>
      </c>
      <c r="U1181">
        <f>--($I1181=IF('الداشبورد'!$B$9="الكل",$I1181,IF('الداشبورد'!$B$9="بدون حالة","P",'الداشبورد'!$B$9)))</f>
        <v/>
      </c>
      <c r="V1181">
        <f>--($D1181=IF('الداشبورد'!$B$10="الكل",$D1181,'الداشبورد'!$B$10))</f>
        <v/>
      </c>
      <c r="W1181">
        <f>--($G1181=IF('الداشبورد'!$B$11="الكل",$G1181,'الداشبورد'!$B$11))</f>
        <v/>
      </c>
      <c r="X1181">
        <f>Q1181*R1181*S1181*T1181*U1181*V1181*W1181*--($C1181&lt;&gt;"")</f>
        <v/>
      </c>
    </row>
    <row r="1182">
      <c r="Q1182">
        <f>--($A1182=IF('الداشبورد'!$B$5="الكل",$A1182,'الداشبورد'!$B$5))</f>
        <v/>
      </c>
      <c r="R1182">
        <f>--($E1182=IF('الداشبورد'!$B$6="الكل",$E1182,'الداشبورد'!$B$6))</f>
        <v/>
      </c>
      <c r="S1182">
        <f>--($K1182=IF('الداشبورد'!$B$7="الكل",$K1182,IF('الداشبورد'!$B$7="تصدير","Y","N")))</f>
        <v/>
      </c>
      <c r="T1182">
        <f>--($J1182=IF('الداشبورد'!$B$8="الكل",$J1182,IF('الداشبورد'!$B$8="AL","A","C")))</f>
        <v/>
      </c>
      <c r="U1182">
        <f>--($I1182=IF('الداشبورد'!$B$9="الكل",$I1182,IF('الداشبورد'!$B$9="بدون حالة","P",'الداشبورد'!$B$9)))</f>
        <v/>
      </c>
      <c r="V1182">
        <f>--($D1182=IF('الداشبورد'!$B$10="الكل",$D1182,'الداشبورد'!$B$10))</f>
        <v/>
      </c>
      <c r="W1182">
        <f>--($G1182=IF('الداشبورد'!$B$11="الكل",$G1182,'الداشبورد'!$B$11))</f>
        <v/>
      </c>
      <c r="X1182">
        <f>Q1182*R1182*S1182*T1182*U1182*V1182*W1182*--($C1182&lt;&gt;"")</f>
        <v/>
      </c>
    </row>
    <row r="1183">
      <c r="Q1183">
        <f>--($A1183=IF('الداشبورد'!$B$5="الكل",$A1183,'الداشبورد'!$B$5))</f>
        <v/>
      </c>
      <c r="R1183">
        <f>--($E1183=IF('الداشبورد'!$B$6="الكل",$E1183,'الداشبورد'!$B$6))</f>
        <v/>
      </c>
      <c r="S1183">
        <f>--($K1183=IF('الداشبورد'!$B$7="الكل",$K1183,IF('الداشبورد'!$B$7="تصدير","Y","N")))</f>
        <v/>
      </c>
      <c r="T1183">
        <f>--($J1183=IF('الداشبورد'!$B$8="الكل",$J1183,IF('الداشبورد'!$B$8="AL","A","C")))</f>
        <v/>
      </c>
      <c r="U1183">
        <f>--($I1183=IF('الداشبورد'!$B$9="الكل",$I1183,IF('الداشبورد'!$B$9="بدون حالة","P",'الداشبورد'!$B$9)))</f>
        <v/>
      </c>
      <c r="V1183">
        <f>--($D1183=IF('الداشبورد'!$B$10="الكل",$D1183,'الداشبورد'!$B$10))</f>
        <v/>
      </c>
      <c r="W1183">
        <f>--($G1183=IF('الداشبورد'!$B$11="الكل",$G1183,'الداشبورد'!$B$11))</f>
        <v/>
      </c>
      <c r="X1183">
        <f>Q1183*R1183*S1183*T1183*U1183*V1183*W1183*--($C1183&lt;&gt;"")</f>
        <v/>
      </c>
    </row>
    <row r="1184">
      <c r="Q1184">
        <f>--($A1184=IF('الداشبورد'!$B$5="الكل",$A1184,'الداشبورد'!$B$5))</f>
        <v/>
      </c>
      <c r="R1184">
        <f>--($E1184=IF('الداشبورد'!$B$6="الكل",$E1184,'الداشبورد'!$B$6))</f>
        <v/>
      </c>
      <c r="S1184">
        <f>--($K1184=IF('الداشبورد'!$B$7="الكل",$K1184,IF('الداشبورد'!$B$7="تصدير","Y","N")))</f>
        <v/>
      </c>
      <c r="T1184">
        <f>--($J1184=IF('الداشبورد'!$B$8="الكل",$J1184,IF('الداشبورد'!$B$8="AL","A","C")))</f>
        <v/>
      </c>
      <c r="U1184">
        <f>--($I1184=IF('الداشبورد'!$B$9="الكل",$I1184,IF('الداشبورد'!$B$9="بدون حالة","P",'الداشبورد'!$B$9)))</f>
        <v/>
      </c>
      <c r="V1184">
        <f>--($D1184=IF('الداشبورد'!$B$10="الكل",$D1184,'الداشبورد'!$B$10))</f>
        <v/>
      </c>
      <c r="W1184">
        <f>--($G1184=IF('الداشبورد'!$B$11="الكل",$G1184,'الداشبورد'!$B$11))</f>
        <v/>
      </c>
      <c r="X1184">
        <f>Q1184*R1184*S1184*T1184*U1184*V1184*W1184*--($C1184&lt;&gt;"")</f>
        <v/>
      </c>
    </row>
    <row r="1185">
      <c r="Q1185">
        <f>--($A1185=IF('الداشبورد'!$B$5="الكل",$A1185,'الداشبورد'!$B$5))</f>
        <v/>
      </c>
      <c r="R1185">
        <f>--($E1185=IF('الداشبورد'!$B$6="الكل",$E1185,'الداشبورد'!$B$6))</f>
        <v/>
      </c>
      <c r="S1185">
        <f>--($K1185=IF('الداشبورد'!$B$7="الكل",$K1185,IF('الداشبورد'!$B$7="تصدير","Y","N")))</f>
        <v/>
      </c>
      <c r="T1185">
        <f>--($J1185=IF('الداشبورد'!$B$8="الكل",$J1185,IF('الداشبورد'!$B$8="AL","A","C")))</f>
        <v/>
      </c>
      <c r="U1185">
        <f>--($I1185=IF('الداشبورد'!$B$9="الكل",$I1185,IF('الداشبورد'!$B$9="بدون حالة","P",'الداشبورد'!$B$9)))</f>
        <v/>
      </c>
      <c r="V1185">
        <f>--($D1185=IF('الداشبورد'!$B$10="الكل",$D1185,'الداشبورد'!$B$10))</f>
        <v/>
      </c>
      <c r="W1185">
        <f>--($G1185=IF('الداشبورد'!$B$11="الكل",$G1185,'الداشبورد'!$B$11))</f>
        <v/>
      </c>
      <c r="X1185">
        <f>Q1185*R1185*S1185*T1185*U1185*V1185*W1185*--($C1185&lt;&gt;"")</f>
        <v/>
      </c>
    </row>
    <row r="1186">
      <c r="Q1186">
        <f>--($A1186=IF('الداشبورد'!$B$5="الكل",$A1186,'الداشبورد'!$B$5))</f>
        <v/>
      </c>
      <c r="R1186">
        <f>--($E1186=IF('الداشبورد'!$B$6="الكل",$E1186,'الداشبورد'!$B$6))</f>
        <v/>
      </c>
      <c r="S1186">
        <f>--($K1186=IF('الداشبورد'!$B$7="الكل",$K1186,IF('الداشبورد'!$B$7="تصدير","Y","N")))</f>
        <v/>
      </c>
      <c r="T1186">
        <f>--($J1186=IF('الداشبورد'!$B$8="الكل",$J1186,IF('الداشبورد'!$B$8="AL","A","C")))</f>
        <v/>
      </c>
      <c r="U1186">
        <f>--($I1186=IF('الداشبورد'!$B$9="الكل",$I1186,IF('الداشبورد'!$B$9="بدون حالة","P",'الداشبورد'!$B$9)))</f>
        <v/>
      </c>
      <c r="V1186">
        <f>--($D1186=IF('الداشبورد'!$B$10="الكل",$D1186,'الداشبورد'!$B$10))</f>
        <v/>
      </c>
      <c r="W1186">
        <f>--($G1186=IF('الداشبورد'!$B$11="الكل",$G1186,'الداشبورد'!$B$11))</f>
        <v/>
      </c>
      <c r="X1186">
        <f>Q1186*R1186*S1186*T1186*U1186*V1186*W1186*--($C1186&lt;&gt;"")</f>
        <v/>
      </c>
    </row>
    <row r="1187">
      <c r="Q1187">
        <f>--($A1187=IF('الداشبورد'!$B$5="الكل",$A1187,'الداشبورد'!$B$5))</f>
        <v/>
      </c>
      <c r="R1187">
        <f>--($E1187=IF('الداشبورد'!$B$6="الكل",$E1187,'الداشبورد'!$B$6))</f>
        <v/>
      </c>
      <c r="S1187">
        <f>--($K1187=IF('الداشبورد'!$B$7="الكل",$K1187,IF('الداشبورد'!$B$7="تصدير","Y","N")))</f>
        <v/>
      </c>
      <c r="T1187">
        <f>--($J1187=IF('الداشبورد'!$B$8="الكل",$J1187,IF('الداشبورد'!$B$8="AL","A","C")))</f>
        <v/>
      </c>
      <c r="U1187">
        <f>--($I1187=IF('الداشبورد'!$B$9="الكل",$I1187,IF('الداشبورد'!$B$9="بدون حالة","P",'الداشبورد'!$B$9)))</f>
        <v/>
      </c>
      <c r="V1187">
        <f>--($D1187=IF('الداشبورد'!$B$10="الكل",$D1187,'الداشبورد'!$B$10))</f>
        <v/>
      </c>
      <c r="W1187">
        <f>--($G1187=IF('الداشبورد'!$B$11="الكل",$G1187,'الداشبورد'!$B$11))</f>
        <v/>
      </c>
      <c r="X1187">
        <f>Q1187*R1187*S1187*T1187*U1187*V1187*W1187*--($C1187&lt;&gt;"")</f>
        <v/>
      </c>
    </row>
    <row r="1188">
      <c r="Q1188">
        <f>--($A1188=IF('الداشبورد'!$B$5="الكل",$A1188,'الداشبورد'!$B$5))</f>
        <v/>
      </c>
      <c r="R1188">
        <f>--($E1188=IF('الداشبورد'!$B$6="الكل",$E1188,'الداشبورد'!$B$6))</f>
        <v/>
      </c>
      <c r="S1188">
        <f>--($K1188=IF('الداشبورد'!$B$7="الكل",$K1188,IF('الداشبورد'!$B$7="تصدير","Y","N")))</f>
        <v/>
      </c>
      <c r="T1188">
        <f>--($J1188=IF('الداشبورد'!$B$8="الكل",$J1188,IF('الداشبورد'!$B$8="AL","A","C")))</f>
        <v/>
      </c>
      <c r="U1188">
        <f>--($I1188=IF('الداشبورد'!$B$9="الكل",$I1188,IF('الداشبورد'!$B$9="بدون حالة","P",'الداشبورد'!$B$9)))</f>
        <v/>
      </c>
      <c r="V1188">
        <f>--($D1188=IF('الداشبورد'!$B$10="الكل",$D1188,'الداشبورد'!$B$10))</f>
        <v/>
      </c>
      <c r="W1188">
        <f>--($G1188=IF('الداشبورد'!$B$11="الكل",$G1188,'الداشبورد'!$B$11))</f>
        <v/>
      </c>
      <c r="X1188">
        <f>Q1188*R1188*S1188*T1188*U1188*V1188*W1188*--($C1188&lt;&gt;"")</f>
        <v/>
      </c>
    </row>
    <row r="1189">
      <c r="Q1189">
        <f>--($A1189=IF('الداشبورد'!$B$5="الكل",$A1189,'الداشبورد'!$B$5))</f>
        <v/>
      </c>
      <c r="R1189">
        <f>--($E1189=IF('الداشبورد'!$B$6="الكل",$E1189,'الداشبورد'!$B$6))</f>
        <v/>
      </c>
      <c r="S1189">
        <f>--($K1189=IF('الداشبورد'!$B$7="الكل",$K1189,IF('الداشبورد'!$B$7="تصدير","Y","N")))</f>
        <v/>
      </c>
      <c r="T1189">
        <f>--($J1189=IF('الداشبورد'!$B$8="الكل",$J1189,IF('الداشبورد'!$B$8="AL","A","C")))</f>
        <v/>
      </c>
      <c r="U1189">
        <f>--($I1189=IF('الداشبورد'!$B$9="الكل",$I1189,IF('الداشبورد'!$B$9="بدون حالة","P",'الداشبورد'!$B$9)))</f>
        <v/>
      </c>
      <c r="V1189">
        <f>--($D1189=IF('الداشبورد'!$B$10="الكل",$D1189,'الداشبورد'!$B$10))</f>
        <v/>
      </c>
      <c r="W1189">
        <f>--($G1189=IF('الداشبورد'!$B$11="الكل",$G1189,'الداشبورد'!$B$11))</f>
        <v/>
      </c>
      <c r="X1189">
        <f>Q1189*R1189*S1189*T1189*U1189*V1189*W1189*--($C1189&lt;&gt;"")</f>
        <v/>
      </c>
    </row>
    <row r="1190">
      <c r="Q1190">
        <f>--($A1190=IF('الداشبورد'!$B$5="الكل",$A1190,'الداشبورد'!$B$5))</f>
        <v/>
      </c>
      <c r="R1190">
        <f>--($E1190=IF('الداشبورد'!$B$6="الكل",$E1190,'الداشبورد'!$B$6))</f>
        <v/>
      </c>
      <c r="S1190">
        <f>--($K1190=IF('الداشبورد'!$B$7="الكل",$K1190,IF('الداشبورد'!$B$7="تصدير","Y","N")))</f>
        <v/>
      </c>
      <c r="T1190">
        <f>--($J1190=IF('الداشبورد'!$B$8="الكل",$J1190,IF('الداشبورد'!$B$8="AL","A","C")))</f>
        <v/>
      </c>
      <c r="U1190">
        <f>--($I1190=IF('الداشبورد'!$B$9="الكل",$I1190,IF('الداشبورد'!$B$9="بدون حالة","P",'الداشبورد'!$B$9)))</f>
        <v/>
      </c>
      <c r="V1190">
        <f>--($D1190=IF('الداشبورد'!$B$10="الكل",$D1190,'الداشبورد'!$B$10))</f>
        <v/>
      </c>
      <c r="W1190">
        <f>--($G1190=IF('الداشبورد'!$B$11="الكل",$G1190,'الداشبورد'!$B$11))</f>
        <v/>
      </c>
      <c r="X1190">
        <f>Q1190*R1190*S1190*T1190*U1190*V1190*W1190*--($C1190&lt;&gt;"")</f>
        <v/>
      </c>
    </row>
    <row r="1191">
      <c r="Q1191">
        <f>--($A1191=IF('الداشبورد'!$B$5="الكل",$A1191,'الداشبورد'!$B$5))</f>
        <v/>
      </c>
      <c r="R1191">
        <f>--($E1191=IF('الداشبورد'!$B$6="الكل",$E1191,'الداشبورد'!$B$6))</f>
        <v/>
      </c>
      <c r="S1191">
        <f>--($K1191=IF('الداشبورد'!$B$7="الكل",$K1191,IF('الداشبورد'!$B$7="تصدير","Y","N")))</f>
        <v/>
      </c>
      <c r="T1191">
        <f>--($J1191=IF('الداشبورد'!$B$8="الكل",$J1191,IF('الداشبورد'!$B$8="AL","A","C")))</f>
        <v/>
      </c>
      <c r="U1191">
        <f>--($I1191=IF('الداشبورد'!$B$9="الكل",$I1191,IF('الداشبورد'!$B$9="بدون حالة","P",'الداشبورد'!$B$9)))</f>
        <v/>
      </c>
      <c r="V1191">
        <f>--($D1191=IF('الداشبورد'!$B$10="الكل",$D1191,'الداشبورد'!$B$10))</f>
        <v/>
      </c>
      <c r="W1191">
        <f>--($G1191=IF('الداشبورد'!$B$11="الكل",$G1191,'الداشبورد'!$B$11))</f>
        <v/>
      </c>
      <c r="X1191">
        <f>Q1191*R1191*S1191*T1191*U1191*V1191*W1191*--($C1191&lt;&gt;"")</f>
        <v/>
      </c>
    </row>
    <row r="1192">
      <c r="Q1192">
        <f>--($A1192=IF('الداشبورد'!$B$5="الكل",$A1192,'الداشبورد'!$B$5))</f>
        <v/>
      </c>
      <c r="R1192">
        <f>--($E1192=IF('الداشبورد'!$B$6="الكل",$E1192,'الداشبورد'!$B$6))</f>
        <v/>
      </c>
      <c r="S1192">
        <f>--($K1192=IF('الداشبورد'!$B$7="الكل",$K1192,IF('الداشبورد'!$B$7="تصدير","Y","N")))</f>
        <v/>
      </c>
      <c r="T1192">
        <f>--($J1192=IF('الداشبورد'!$B$8="الكل",$J1192,IF('الداشبورد'!$B$8="AL","A","C")))</f>
        <v/>
      </c>
      <c r="U1192">
        <f>--($I1192=IF('الداشبورد'!$B$9="الكل",$I1192,IF('الداشبورد'!$B$9="بدون حالة","P",'الداشبورد'!$B$9)))</f>
        <v/>
      </c>
      <c r="V1192">
        <f>--($D1192=IF('الداشبورد'!$B$10="الكل",$D1192,'الداشبورد'!$B$10))</f>
        <v/>
      </c>
      <c r="W1192">
        <f>--($G1192=IF('الداشبورد'!$B$11="الكل",$G1192,'الداشبورد'!$B$11))</f>
        <v/>
      </c>
      <c r="X1192">
        <f>Q1192*R1192*S1192*T1192*U1192*V1192*W1192*--($C1192&lt;&gt;"")</f>
        <v/>
      </c>
    </row>
    <row r="1193">
      <c r="Q1193">
        <f>--($A1193=IF('الداشبورد'!$B$5="الكل",$A1193,'الداشبورد'!$B$5))</f>
        <v/>
      </c>
      <c r="R1193">
        <f>--($E1193=IF('الداشبورد'!$B$6="الكل",$E1193,'الداشبورد'!$B$6))</f>
        <v/>
      </c>
      <c r="S1193">
        <f>--($K1193=IF('الداشبورد'!$B$7="الكل",$K1193,IF('الداشبورد'!$B$7="تصدير","Y","N")))</f>
        <v/>
      </c>
      <c r="T1193">
        <f>--($J1193=IF('الداشبورد'!$B$8="الكل",$J1193,IF('الداشبورد'!$B$8="AL","A","C")))</f>
        <v/>
      </c>
      <c r="U1193">
        <f>--($I1193=IF('الداشبورد'!$B$9="الكل",$I1193,IF('الداشبورد'!$B$9="بدون حالة","P",'الداشبورد'!$B$9)))</f>
        <v/>
      </c>
      <c r="V1193">
        <f>--($D1193=IF('الداشبورد'!$B$10="الكل",$D1193,'الداشبورد'!$B$10))</f>
        <v/>
      </c>
      <c r="W1193">
        <f>--($G1193=IF('الداشبورد'!$B$11="الكل",$G1193,'الداشبورد'!$B$11))</f>
        <v/>
      </c>
      <c r="X1193">
        <f>Q1193*R1193*S1193*T1193*U1193*V1193*W1193*--($C1193&lt;&gt;"")</f>
        <v/>
      </c>
    </row>
    <row r="1194">
      <c r="Q1194">
        <f>--($A1194=IF('الداشبورد'!$B$5="الكل",$A1194,'الداشبورد'!$B$5))</f>
        <v/>
      </c>
      <c r="R1194">
        <f>--($E1194=IF('الداشبورد'!$B$6="الكل",$E1194,'الداشبورد'!$B$6))</f>
        <v/>
      </c>
      <c r="S1194">
        <f>--($K1194=IF('الداشبورد'!$B$7="الكل",$K1194,IF('الداشبورد'!$B$7="تصدير","Y","N")))</f>
        <v/>
      </c>
      <c r="T1194">
        <f>--($J1194=IF('الداشبورد'!$B$8="الكل",$J1194,IF('الداشبورد'!$B$8="AL","A","C")))</f>
        <v/>
      </c>
      <c r="U1194">
        <f>--($I1194=IF('الداشبورد'!$B$9="الكل",$I1194,IF('الداشبورد'!$B$9="بدون حالة","P",'الداشبورد'!$B$9)))</f>
        <v/>
      </c>
      <c r="V1194">
        <f>--($D1194=IF('الداشبورد'!$B$10="الكل",$D1194,'الداشبورد'!$B$10))</f>
        <v/>
      </c>
      <c r="W1194">
        <f>--($G1194=IF('الداشبورد'!$B$11="الكل",$G1194,'الداشبورد'!$B$11))</f>
        <v/>
      </c>
      <c r="X1194">
        <f>Q1194*R1194*S1194*T1194*U1194*V1194*W1194*--($C1194&lt;&gt;"")</f>
        <v/>
      </c>
    </row>
    <row r="1195">
      <c r="Q1195">
        <f>--($A1195=IF('الداشبورد'!$B$5="الكل",$A1195,'الداشبورد'!$B$5))</f>
        <v/>
      </c>
      <c r="R1195">
        <f>--($E1195=IF('الداشبورد'!$B$6="الكل",$E1195,'الداشبورد'!$B$6))</f>
        <v/>
      </c>
      <c r="S1195">
        <f>--($K1195=IF('الداشبورد'!$B$7="الكل",$K1195,IF('الداشبورد'!$B$7="تصدير","Y","N")))</f>
        <v/>
      </c>
      <c r="T1195">
        <f>--($J1195=IF('الداشبورد'!$B$8="الكل",$J1195,IF('الداشبورد'!$B$8="AL","A","C")))</f>
        <v/>
      </c>
      <c r="U1195">
        <f>--($I1195=IF('الداشبورد'!$B$9="الكل",$I1195,IF('الداشبورد'!$B$9="بدون حالة","P",'الداشبورد'!$B$9)))</f>
        <v/>
      </c>
      <c r="V1195">
        <f>--($D1195=IF('الداشبورد'!$B$10="الكل",$D1195,'الداشبورد'!$B$10))</f>
        <v/>
      </c>
      <c r="W1195">
        <f>--($G1195=IF('الداشبورد'!$B$11="الكل",$G1195,'الداشبورد'!$B$11))</f>
        <v/>
      </c>
      <c r="X1195">
        <f>Q1195*R1195*S1195*T1195*U1195*V1195*W1195*--($C1195&lt;&gt;"")</f>
        <v/>
      </c>
    </row>
    <row r="1196">
      <c r="Q1196">
        <f>--($A1196=IF('الداشبورد'!$B$5="الكل",$A1196,'الداشبورد'!$B$5))</f>
        <v/>
      </c>
      <c r="R1196">
        <f>--($E1196=IF('الداشبورد'!$B$6="الكل",$E1196,'الداشبورد'!$B$6))</f>
        <v/>
      </c>
      <c r="S1196">
        <f>--($K1196=IF('الداشبورد'!$B$7="الكل",$K1196,IF('الداشبورد'!$B$7="تصدير","Y","N")))</f>
        <v/>
      </c>
      <c r="T1196">
        <f>--($J1196=IF('الداشبورد'!$B$8="الكل",$J1196,IF('الداشبورد'!$B$8="AL","A","C")))</f>
        <v/>
      </c>
      <c r="U1196">
        <f>--($I1196=IF('الداشبورد'!$B$9="الكل",$I1196,IF('الداشبورد'!$B$9="بدون حالة","P",'الداشبورد'!$B$9)))</f>
        <v/>
      </c>
      <c r="V1196">
        <f>--($D1196=IF('الداشبورد'!$B$10="الكل",$D1196,'الداشبورد'!$B$10))</f>
        <v/>
      </c>
      <c r="W1196">
        <f>--($G1196=IF('الداشبورد'!$B$11="الكل",$G1196,'الداشبورد'!$B$11))</f>
        <v/>
      </c>
      <c r="X1196">
        <f>Q1196*R1196*S1196*T1196*U1196*V1196*W1196*--($C1196&lt;&gt;"")</f>
        <v/>
      </c>
    </row>
    <row r="1197">
      <c r="Q1197">
        <f>--($A1197=IF('الداشبورد'!$B$5="الكل",$A1197,'الداشبورد'!$B$5))</f>
        <v/>
      </c>
      <c r="R1197">
        <f>--($E1197=IF('الداشبورد'!$B$6="الكل",$E1197,'الداشبورد'!$B$6))</f>
        <v/>
      </c>
      <c r="S1197">
        <f>--($K1197=IF('الداشبورد'!$B$7="الكل",$K1197,IF('الداشبورد'!$B$7="تصدير","Y","N")))</f>
        <v/>
      </c>
      <c r="T1197">
        <f>--($J1197=IF('الداشبورد'!$B$8="الكل",$J1197,IF('الداشبورد'!$B$8="AL","A","C")))</f>
        <v/>
      </c>
      <c r="U1197">
        <f>--($I1197=IF('الداشبورد'!$B$9="الكل",$I1197,IF('الداشبورد'!$B$9="بدون حالة","P",'الداشبورد'!$B$9)))</f>
        <v/>
      </c>
      <c r="V1197">
        <f>--($D1197=IF('الداشبورد'!$B$10="الكل",$D1197,'الداشبورد'!$B$10))</f>
        <v/>
      </c>
      <c r="W1197">
        <f>--($G1197=IF('الداشبورد'!$B$11="الكل",$G1197,'الداشبورد'!$B$11))</f>
        <v/>
      </c>
      <c r="X1197">
        <f>Q1197*R1197*S1197*T1197*U1197*V1197*W1197*--($C1197&lt;&gt;"")</f>
        <v/>
      </c>
    </row>
    <row r="1198">
      <c r="Q1198">
        <f>--($A1198=IF('الداشبورد'!$B$5="الكل",$A1198,'الداشبورد'!$B$5))</f>
        <v/>
      </c>
      <c r="R1198">
        <f>--($E1198=IF('الداشبورد'!$B$6="الكل",$E1198,'الداشبورد'!$B$6))</f>
        <v/>
      </c>
      <c r="S1198">
        <f>--($K1198=IF('الداشبورد'!$B$7="الكل",$K1198,IF('الداشبورد'!$B$7="تصدير","Y","N")))</f>
        <v/>
      </c>
      <c r="T1198">
        <f>--($J1198=IF('الداشبورد'!$B$8="الكل",$J1198,IF('الداشبورد'!$B$8="AL","A","C")))</f>
        <v/>
      </c>
      <c r="U1198">
        <f>--($I1198=IF('الداشبورد'!$B$9="الكل",$I1198,IF('الداشبورد'!$B$9="بدون حالة","P",'الداشبورد'!$B$9)))</f>
        <v/>
      </c>
      <c r="V1198">
        <f>--($D1198=IF('الداشبورد'!$B$10="الكل",$D1198,'الداشبورد'!$B$10))</f>
        <v/>
      </c>
      <c r="W1198">
        <f>--($G1198=IF('الداشبورد'!$B$11="الكل",$G1198,'الداشبورد'!$B$11))</f>
        <v/>
      </c>
      <c r="X1198">
        <f>Q1198*R1198*S1198*T1198*U1198*V1198*W1198*--($C1198&lt;&gt;"")</f>
        <v/>
      </c>
    </row>
    <row r="1199">
      <c r="Q1199">
        <f>--($A1199=IF('الداشبورد'!$B$5="الكل",$A1199,'الداشبورد'!$B$5))</f>
        <v/>
      </c>
      <c r="R1199">
        <f>--($E1199=IF('الداشبورد'!$B$6="الكل",$E1199,'الداشبورد'!$B$6))</f>
        <v/>
      </c>
      <c r="S1199">
        <f>--($K1199=IF('الداشبورد'!$B$7="الكل",$K1199,IF('الداشبورد'!$B$7="تصدير","Y","N")))</f>
        <v/>
      </c>
      <c r="T1199">
        <f>--($J1199=IF('الداشبورد'!$B$8="الكل",$J1199,IF('الداشبورد'!$B$8="AL","A","C")))</f>
        <v/>
      </c>
      <c r="U1199">
        <f>--($I1199=IF('الداشبورد'!$B$9="الكل",$I1199,IF('الداشبورد'!$B$9="بدون حالة","P",'الداشبورد'!$B$9)))</f>
        <v/>
      </c>
      <c r="V1199">
        <f>--($D1199=IF('الداشبورد'!$B$10="الكل",$D1199,'الداشبورد'!$B$10))</f>
        <v/>
      </c>
      <c r="W1199">
        <f>--($G1199=IF('الداشبورد'!$B$11="الكل",$G1199,'الداشبورد'!$B$11))</f>
        <v/>
      </c>
      <c r="X1199">
        <f>Q1199*R1199*S1199*T1199*U1199*V1199*W1199*--($C1199&lt;&gt;"")</f>
        <v/>
      </c>
    </row>
    <row r="1200">
      <c r="Q1200">
        <f>--($A1200=IF('الداشبورد'!$B$5="الكل",$A1200,'الداشبورد'!$B$5))</f>
        <v/>
      </c>
      <c r="R1200">
        <f>--($E1200=IF('الداشبورد'!$B$6="الكل",$E1200,'الداشبورد'!$B$6))</f>
        <v/>
      </c>
      <c r="S1200">
        <f>--($K1200=IF('الداشبورد'!$B$7="الكل",$K1200,IF('الداشبورد'!$B$7="تصدير","Y","N")))</f>
        <v/>
      </c>
      <c r="T1200">
        <f>--($J1200=IF('الداشبورد'!$B$8="الكل",$J1200,IF('الداشبورد'!$B$8="AL","A","C")))</f>
        <v/>
      </c>
      <c r="U1200">
        <f>--($I1200=IF('الداشبورد'!$B$9="الكل",$I1200,IF('الداشبورد'!$B$9="بدون حالة","P",'الداشبورد'!$B$9)))</f>
        <v/>
      </c>
      <c r="V1200">
        <f>--($D1200=IF('الداشبورد'!$B$10="الكل",$D1200,'الداشبورد'!$B$10))</f>
        <v/>
      </c>
      <c r="W1200">
        <f>--($G1200=IF('الداشبورد'!$B$11="الكل",$G1200,'الداشبورد'!$B$11))</f>
        <v/>
      </c>
      <c r="X1200">
        <f>Q1200*R1200*S1200*T1200*U1200*V1200*W1200*--($C1200&lt;&gt;"")</f>
        <v/>
      </c>
    </row>
    <row r="1201">
      <c r="Q1201">
        <f>--($A1201=IF('الداشبورد'!$B$5="الكل",$A1201,'الداشبورد'!$B$5))</f>
        <v/>
      </c>
      <c r="R1201">
        <f>--($E1201=IF('الداشبورد'!$B$6="الكل",$E1201,'الداشبورد'!$B$6))</f>
        <v/>
      </c>
      <c r="S1201">
        <f>--($K1201=IF('الداشبورد'!$B$7="الكل",$K1201,IF('الداشبورد'!$B$7="تصدير","Y","N")))</f>
        <v/>
      </c>
      <c r="T1201">
        <f>--($J1201=IF('الداشبورد'!$B$8="الكل",$J1201,IF('الداشبورد'!$B$8="AL","A","C")))</f>
        <v/>
      </c>
      <c r="U1201">
        <f>--($I1201=IF('الداشبورد'!$B$9="الكل",$I1201,IF('الداشبورد'!$B$9="بدون حالة","P",'الداشبورد'!$B$9)))</f>
        <v/>
      </c>
      <c r="V1201">
        <f>--($D1201=IF('الداشبورد'!$B$10="الكل",$D1201,'الداشبورد'!$B$10))</f>
        <v/>
      </c>
      <c r="W1201">
        <f>--($G1201=IF('الداشبورد'!$B$11="الكل",$G1201,'الداشبورد'!$B$11))</f>
        <v/>
      </c>
      <c r="X1201">
        <f>Q1201*R1201*S1201*T1201*U1201*V1201*W1201*--($C1201&lt;&gt;"")</f>
        <v/>
      </c>
    </row>
    <row r="1202">
      <c r="Q1202">
        <f>--($A1202=IF('الداشبورد'!$B$5="الكل",$A1202,'الداشبورد'!$B$5))</f>
        <v/>
      </c>
      <c r="R1202">
        <f>--($E1202=IF('الداشبورد'!$B$6="الكل",$E1202,'الداشبورد'!$B$6))</f>
        <v/>
      </c>
      <c r="S1202">
        <f>--($K1202=IF('الداشبورد'!$B$7="الكل",$K1202,IF('الداشبورد'!$B$7="تصدير","Y","N")))</f>
        <v/>
      </c>
      <c r="T1202">
        <f>--($J1202=IF('الداشبورد'!$B$8="الكل",$J1202,IF('الداشبورد'!$B$8="AL","A","C")))</f>
        <v/>
      </c>
      <c r="U1202">
        <f>--($I1202=IF('الداشبورد'!$B$9="الكل",$I1202,IF('الداشبورد'!$B$9="بدون حالة","P",'الداشبورد'!$B$9)))</f>
        <v/>
      </c>
      <c r="V1202">
        <f>--($D1202=IF('الداشبورد'!$B$10="الكل",$D1202,'الداشبورد'!$B$10))</f>
        <v/>
      </c>
      <c r="W1202">
        <f>--($G1202=IF('الداشبورد'!$B$11="الكل",$G1202,'الداشبورد'!$B$11))</f>
        <v/>
      </c>
      <c r="X1202">
        <f>Q1202*R1202*S1202*T1202*U1202*V1202*W1202*--($C1202&lt;&gt;"")</f>
        <v/>
      </c>
    </row>
    <row r="1203">
      <c r="Q1203">
        <f>--($A1203=IF('الداشبورد'!$B$5="الكل",$A1203,'الداشبورد'!$B$5))</f>
        <v/>
      </c>
      <c r="R1203">
        <f>--($E1203=IF('الداشبورد'!$B$6="الكل",$E1203,'الداشبورد'!$B$6))</f>
        <v/>
      </c>
      <c r="S1203">
        <f>--($K1203=IF('الداشبورد'!$B$7="الكل",$K1203,IF('الداشبورد'!$B$7="تصدير","Y","N")))</f>
        <v/>
      </c>
      <c r="T1203">
        <f>--($J1203=IF('الداشبورد'!$B$8="الكل",$J1203,IF('الداشبورد'!$B$8="AL","A","C")))</f>
        <v/>
      </c>
      <c r="U1203">
        <f>--($I1203=IF('الداشبورد'!$B$9="الكل",$I1203,IF('الداشبورد'!$B$9="بدون حالة","P",'الداشبورد'!$B$9)))</f>
        <v/>
      </c>
      <c r="V1203">
        <f>--($D1203=IF('الداشبورد'!$B$10="الكل",$D1203,'الداشبورد'!$B$10))</f>
        <v/>
      </c>
      <c r="W1203">
        <f>--($G1203=IF('الداشبورد'!$B$11="الكل",$G1203,'الداشبورد'!$B$11))</f>
        <v/>
      </c>
      <c r="X1203">
        <f>Q1203*R1203*S1203*T1203*U1203*V1203*W1203*--($C1203&lt;&gt;"")</f>
        <v/>
      </c>
    </row>
    <row r="1204">
      <c r="Q1204">
        <f>--($A1204=IF('الداشبورد'!$B$5="الكل",$A1204,'الداشبورد'!$B$5))</f>
        <v/>
      </c>
      <c r="R1204">
        <f>--($E1204=IF('الداشبورد'!$B$6="الكل",$E1204,'الداشبورد'!$B$6))</f>
        <v/>
      </c>
      <c r="S1204">
        <f>--($K1204=IF('الداشبورد'!$B$7="الكل",$K1204,IF('الداشبورد'!$B$7="تصدير","Y","N")))</f>
        <v/>
      </c>
      <c r="T1204">
        <f>--($J1204=IF('الداشبورد'!$B$8="الكل",$J1204,IF('الداشبورد'!$B$8="AL","A","C")))</f>
        <v/>
      </c>
      <c r="U1204">
        <f>--($I1204=IF('الداشبورد'!$B$9="الكل",$I1204,IF('الداشبورد'!$B$9="بدون حالة","P",'الداشبورد'!$B$9)))</f>
        <v/>
      </c>
      <c r="V1204">
        <f>--($D1204=IF('الداشبورد'!$B$10="الكل",$D1204,'الداشبورد'!$B$10))</f>
        <v/>
      </c>
      <c r="W1204">
        <f>--($G1204=IF('الداشبورد'!$B$11="الكل",$G1204,'الداشبورد'!$B$11))</f>
        <v/>
      </c>
      <c r="X1204">
        <f>Q1204*R1204*S1204*T1204*U1204*V1204*W1204*--($C1204&lt;&gt;"")</f>
        <v/>
      </c>
    </row>
    <row r="1205">
      <c r="Q1205">
        <f>--($A1205=IF('الداشبورد'!$B$5="الكل",$A1205,'الداشبورد'!$B$5))</f>
        <v/>
      </c>
      <c r="R1205">
        <f>--($E1205=IF('الداشبورد'!$B$6="الكل",$E1205,'الداشبورد'!$B$6))</f>
        <v/>
      </c>
      <c r="S1205">
        <f>--($K1205=IF('الداشبورد'!$B$7="الكل",$K1205,IF('الداشبورد'!$B$7="تصدير","Y","N")))</f>
        <v/>
      </c>
      <c r="T1205">
        <f>--($J1205=IF('الداشبورد'!$B$8="الكل",$J1205,IF('الداشبورد'!$B$8="AL","A","C")))</f>
        <v/>
      </c>
      <c r="U1205">
        <f>--($I1205=IF('الداشبورد'!$B$9="الكل",$I1205,IF('الداشبورد'!$B$9="بدون حالة","P",'الداشبورد'!$B$9)))</f>
        <v/>
      </c>
      <c r="V1205">
        <f>--($D1205=IF('الداشبورد'!$B$10="الكل",$D1205,'الداشبورد'!$B$10))</f>
        <v/>
      </c>
      <c r="W1205">
        <f>--($G1205=IF('الداشبورد'!$B$11="الكل",$G1205,'الداشبورد'!$B$11))</f>
        <v/>
      </c>
      <c r="X1205">
        <f>Q1205*R1205*S1205*T1205*U1205*V1205*W1205*--($C1205&lt;&gt;"")</f>
        <v/>
      </c>
    </row>
    <row r="1206">
      <c r="Q1206">
        <f>--($A1206=IF('الداشبورد'!$B$5="الكل",$A1206,'الداشبورد'!$B$5))</f>
        <v/>
      </c>
      <c r="R1206">
        <f>--($E1206=IF('الداشبورد'!$B$6="الكل",$E1206,'الداشبورد'!$B$6))</f>
        <v/>
      </c>
      <c r="S1206">
        <f>--($K1206=IF('الداشبورد'!$B$7="الكل",$K1206,IF('الداشبورد'!$B$7="تصدير","Y","N")))</f>
        <v/>
      </c>
      <c r="T1206">
        <f>--($J1206=IF('الداشبورد'!$B$8="الكل",$J1206,IF('الداشبورد'!$B$8="AL","A","C")))</f>
        <v/>
      </c>
      <c r="U1206">
        <f>--($I1206=IF('الداشبورد'!$B$9="الكل",$I1206,IF('الداشبورد'!$B$9="بدون حالة","P",'الداشبورد'!$B$9)))</f>
        <v/>
      </c>
      <c r="V1206">
        <f>--($D1206=IF('الداشبورد'!$B$10="الكل",$D1206,'الداشبورد'!$B$10))</f>
        <v/>
      </c>
      <c r="W1206">
        <f>--($G1206=IF('الداشبورد'!$B$11="الكل",$G1206,'الداشبورد'!$B$11))</f>
        <v/>
      </c>
      <c r="X1206">
        <f>Q1206*R1206*S1206*T1206*U1206*V1206*W1206*--($C1206&lt;&gt;"")</f>
        <v/>
      </c>
    </row>
    <row r="1207">
      <c r="Q1207">
        <f>--($A1207=IF('الداشبورد'!$B$5="الكل",$A1207,'الداشبورد'!$B$5))</f>
        <v/>
      </c>
      <c r="R1207">
        <f>--($E1207=IF('الداشبورد'!$B$6="الكل",$E1207,'الداشبورد'!$B$6))</f>
        <v/>
      </c>
      <c r="S1207">
        <f>--($K1207=IF('الداشبورد'!$B$7="الكل",$K1207,IF('الداشبورد'!$B$7="تصدير","Y","N")))</f>
        <v/>
      </c>
      <c r="T1207">
        <f>--($J1207=IF('الداشبورد'!$B$8="الكل",$J1207,IF('الداشبورد'!$B$8="AL","A","C")))</f>
        <v/>
      </c>
      <c r="U1207">
        <f>--($I1207=IF('الداشبورد'!$B$9="الكل",$I1207,IF('الداشبورد'!$B$9="بدون حالة","P",'الداشبورد'!$B$9)))</f>
        <v/>
      </c>
      <c r="V1207">
        <f>--($D1207=IF('الداشبورد'!$B$10="الكل",$D1207,'الداشبورد'!$B$10))</f>
        <v/>
      </c>
      <c r="W1207">
        <f>--($G1207=IF('الداشبورد'!$B$11="الكل",$G1207,'الداشبورد'!$B$11))</f>
        <v/>
      </c>
      <c r="X1207">
        <f>Q1207*R1207*S1207*T1207*U1207*V1207*W1207*--($C1207&lt;&gt;"")</f>
        <v/>
      </c>
    </row>
    <row r="1208">
      <c r="Q1208">
        <f>--($A1208=IF('الداشبورد'!$B$5="الكل",$A1208,'الداشبورد'!$B$5))</f>
        <v/>
      </c>
      <c r="R1208">
        <f>--($E1208=IF('الداشبورد'!$B$6="الكل",$E1208,'الداشبورد'!$B$6))</f>
        <v/>
      </c>
      <c r="S1208">
        <f>--($K1208=IF('الداشبورد'!$B$7="الكل",$K1208,IF('الداشبورد'!$B$7="تصدير","Y","N")))</f>
        <v/>
      </c>
      <c r="T1208">
        <f>--($J1208=IF('الداشبورد'!$B$8="الكل",$J1208,IF('الداشبورد'!$B$8="AL","A","C")))</f>
        <v/>
      </c>
      <c r="U1208">
        <f>--($I1208=IF('الداشبورد'!$B$9="الكل",$I1208,IF('الداشبورد'!$B$9="بدون حالة","P",'الداشبورد'!$B$9)))</f>
        <v/>
      </c>
      <c r="V1208">
        <f>--($D1208=IF('الداشبورد'!$B$10="الكل",$D1208,'الداشبورد'!$B$10))</f>
        <v/>
      </c>
      <c r="W1208">
        <f>--($G1208=IF('الداشبورد'!$B$11="الكل",$G1208,'الداشبورد'!$B$11))</f>
        <v/>
      </c>
      <c r="X1208">
        <f>Q1208*R1208*S1208*T1208*U1208*V1208*W1208*--($C1208&lt;&gt;"")</f>
        <v/>
      </c>
    </row>
    <row r="1209">
      <c r="Q1209">
        <f>--($A1209=IF('الداشبورد'!$B$5="الكل",$A1209,'الداشبورد'!$B$5))</f>
        <v/>
      </c>
      <c r="R1209">
        <f>--($E1209=IF('الداشبورد'!$B$6="الكل",$E1209,'الداشبورد'!$B$6))</f>
        <v/>
      </c>
      <c r="S1209">
        <f>--($K1209=IF('الداشبورد'!$B$7="الكل",$K1209,IF('الداشبورد'!$B$7="تصدير","Y","N")))</f>
        <v/>
      </c>
      <c r="T1209">
        <f>--($J1209=IF('الداشبورد'!$B$8="الكل",$J1209,IF('الداشبورد'!$B$8="AL","A","C")))</f>
        <v/>
      </c>
      <c r="U1209">
        <f>--($I1209=IF('الداشبورد'!$B$9="الكل",$I1209,IF('الداشبورد'!$B$9="بدون حالة","P",'الداشبورد'!$B$9)))</f>
        <v/>
      </c>
      <c r="V1209">
        <f>--($D1209=IF('الداشبورد'!$B$10="الكل",$D1209,'الداشبورد'!$B$10))</f>
        <v/>
      </c>
      <c r="W1209">
        <f>--($G1209=IF('الداشبورد'!$B$11="الكل",$G1209,'الداشبورد'!$B$11))</f>
        <v/>
      </c>
      <c r="X1209">
        <f>Q1209*R1209*S1209*T1209*U1209*V1209*W1209*--($C1209&lt;&gt;"")</f>
        <v/>
      </c>
    </row>
    <row r="1210">
      <c r="Q1210">
        <f>--($A1210=IF('الداشبورد'!$B$5="الكل",$A1210,'الداشبورد'!$B$5))</f>
        <v/>
      </c>
      <c r="R1210">
        <f>--($E1210=IF('الداشبورد'!$B$6="الكل",$E1210,'الداشبورد'!$B$6))</f>
        <v/>
      </c>
      <c r="S1210">
        <f>--($K1210=IF('الداشبورد'!$B$7="الكل",$K1210,IF('الداشبورد'!$B$7="تصدير","Y","N")))</f>
        <v/>
      </c>
      <c r="T1210">
        <f>--($J1210=IF('الداشبورد'!$B$8="الكل",$J1210,IF('الداشبورد'!$B$8="AL","A","C")))</f>
        <v/>
      </c>
      <c r="U1210">
        <f>--($I1210=IF('الداشبورد'!$B$9="الكل",$I1210,IF('الداشبورد'!$B$9="بدون حالة","P",'الداشبورد'!$B$9)))</f>
        <v/>
      </c>
      <c r="V1210">
        <f>--($D1210=IF('الداشبورد'!$B$10="الكل",$D1210,'الداشبورد'!$B$10))</f>
        <v/>
      </c>
      <c r="W1210">
        <f>--($G1210=IF('الداشبورد'!$B$11="الكل",$G1210,'الداشبورد'!$B$11))</f>
        <v/>
      </c>
      <c r="X1210">
        <f>Q1210*R1210*S1210*T1210*U1210*V1210*W1210*--($C1210&lt;&gt;"")</f>
        <v/>
      </c>
    </row>
    <row r="1211">
      <c r="Q1211">
        <f>--($A1211=IF('الداشبورد'!$B$5="الكل",$A1211,'الداشبورد'!$B$5))</f>
        <v/>
      </c>
      <c r="R1211">
        <f>--($E1211=IF('الداشبورد'!$B$6="الكل",$E1211,'الداشبورد'!$B$6))</f>
        <v/>
      </c>
      <c r="S1211">
        <f>--($K1211=IF('الداشبورد'!$B$7="الكل",$K1211,IF('الداشبورد'!$B$7="تصدير","Y","N")))</f>
        <v/>
      </c>
      <c r="T1211">
        <f>--($J1211=IF('الداشبورد'!$B$8="الكل",$J1211,IF('الداشبورد'!$B$8="AL","A","C")))</f>
        <v/>
      </c>
      <c r="U1211">
        <f>--($I1211=IF('الداشبورد'!$B$9="الكل",$I1211,IF('الداشبورد'!$B$9="بدون حالة","P",'الداشبورد'!$B$9)))</f>
        <v/>
      </c>
      <c r="V1211">
        <f>--($D1211=IF('الداشبورد'!$B$10="الكل",$D1211,'الداشبورد'!$B$10))</f>
        <v/>
      </c>
      <c r="W1211">
        <f>--($G1211=IF('الداشبورد'!$B$11="الكل",$G1211,'الداشبورد'!$B$11))</f>
        <v/>
      </c>
      <c r="X1211">
        <f>Q1211*R1211*S1211*T1211*U1211*V1211*W1211*--($C1211&lt;&gt;"")</f>
        <v/>
      </c>
    </row>
    <row r="1212">
      <c r="Q1212">
        <f>--($A1212=IF('الداشبورد'!$B$5="الكل",$A1212,'الداشبورد'!$B$5))</f>
        <v/>
      </c>
      <c r="R1212">
        <f>--($E1212=IF('الداشبورد'!$B$6="الكل",$E1212,'الداشبورد'!$B$6))</f>
        <v/>
      </c>
      <c r="S1212">
        <f>--($K1212=IF('الداشبورد'!$B$7="الكل",$K1212,IF('الداشبورد'!$B$7="تصدير","Y","N")))</f>
        <v/>
      </c>
      <c r="T1212">
        <f>--($J1212=IF('الداشبورد'!$B$8="الكل",$J1212,IF('الداشبورد'!$B$8="AL","A","C")))</f>
        <v/>
      </c>
      <c r="U1212">
        <f>--($I1212=IF('الداشبورد'!$B$9="الكل",$I1212,IF('الداشبورد'!$B$9="بدون حالة","P",'الداشبورد'!$B$9)))</f>
        <v/>
      </c>
      <c r="V1212">
        <f>--($D1212=IF('الداشبورد'!$B$10="الكل",$D1212,'الداشبورد'!$B$10))</f>
        <v/>
      </c>
      <c r="W1212">
        <f>--($G1212=IF('الداشبورد'!$B$11="الكل",$G1212,'الداشبورد'!$B$11))</f>
        <v/>
      </c>
      <c r="X1212">
        <f>Q1212*R1212*S1212*T1212*U1212*V1212*W1212*--($C1212&lt;&gt;"")</f>
        <v/>
      </c>
    </row>
    <row r="1213">
      <c r="Q1213">
        <f>--($A1213=IF('الداشبورد'!$B$5="الكل",$A1213,'الداشبورد'!$B$5))</f>
        <v/>
      </c>
      <c r="R1213">
        <f>--($E1213=IF('الداشبورد'!$B$6="الكل",$E1213,'الداشبورد'!$B$6))</f>
        <v/>
      </c>
      <c r="S1213">
        <f>--($K1213=IF('الداشبورد'!$B$7="الكل",$K1213,IF('الداشبورد'!$B$7="تصدير","Y","N")))</f>
        <v/>
      </c>
      <c r="T1213">
        <f>--($J1213=IF('الداشبورد'!$B$8="الكل",$J1213,IF('الداشبورد'!$B$8="AL","A","C")))</f>
        <v/>
      </c>
      <c r="U1213">
        <f>--($I1213=IF('الداشبورد'!$B$9="الكل",$I1213,IF('الداشبورد'!$B$9="بدون حالة","P",'الداشبورد'!$B$9)))</f>
        <v/>
      </c>
      <c r="V1213">
        <f>--($D1213=IF('الداشبورد'!$B$10="الكل",$D1213,'الداشبورد'!$B$10))</f>
        <v/>
      </c>
      <c r="W1213">
        <f>--($G1213=IF('الداشبورد'!$B$11="الكل",$G1213,'الداشبورد'!$B$11))</f>
        <v/>
      </c>
      <c r="X1213">
        <f>Q1213*R1213*S1213*T1213*U1213*V1213*W1213*--($C1213&lt;&gt;"")</f>
        <v/>
      </c>
    </row>
    <row r="1214">
      <c r="Q1214">
        <f>--($A1214=IF('الداشبورد'!$B$5="الكل",$A1214,'الداشبورد'!$B$5))</f>
        <v/>
      </c>
      <c r="R1214">
        <f>--($E1214=IF('الداشبورد'!$B$6="الكل",$E1214,'الداشبورد'!$B$6))</f>
        <v/>
      </c>
      <c r="S1214">
        <f>--($K1214=IF('الداشبورد'!$B$7="الكل",$K1214,IF('الداشبورد'!$B$7="تصدير","Y","N")))</f>
        <v/>
      </c>
      <c r="T1214">
        <f>--($J1214=IF('الداشبورد'!$B$8="الكل",$J1214,IF('الداشبورد'!$B$8="AL","A","C")))</f>
        <v/>
      </c>
      <c r="U1214">
        <f>--($I1214=IF('الداشبورد'!$B$9="الكل",$I1214,IF('الداشبورد'!$B$9="بدون حالة","P",'الداشبورد'!$B$9)))</f>
        <v/>
      </c>
      <c r="V1214">
        <f>--($D1214=IF('الداشبورد'!$B$10="الكل",$D1214,'الداشبورد'!$B$10))</f>
        <v/>
      </c>
      <c r="W1214">
        <f>--($G1214=IF('الداشبورد'!$B$11="الكل",$G1214,'الداشبورد'!$B$11))</f>
        <v/>
      </c>
      <c r="X1214">
        <f>Q1214*R1214*S1214*T1214*U1214*V1214*W1214*--($C1214&lt;&gt;"")</f>
        <v/>
      </c>
    </row>
    <row r="1215">
      <c r="Q1215">
        <f>--($A1215=IF('الداشبورد'!$B$5="الكل",$A1215,'الداشبورد'!$B$5))</f>
        <v/>
      </c>
      <c r="R1215">
        <f>--($E1215=IF('الداشبورد'!$B$6="الكل",$E1215,'الداشبورد'!$B$6))</f>
        <v/>
      </c>
      <c r="S1215">
        <f>--($K1215=IF('الداشبورد'!$B$7="الكل",$K1215,IF('الداشبورد'!$B$7="تصدير","Y","N")))</f>
        <v/>
      </c>
      <c r="T1215">
        <f>--($J1215=IF('الداشبورد'!$B$8="الكل",$J1215,IF('الداشبورد'!$B$8="AL","A","C")))</f>
        <v/>
      </c>
      <c r="U1215">
        <f>--($I1215=IF('الداشبورد'!$B$9="الكل",$I1215,IF('الداشبورد'!$B$9="بدون حالة","P",'الداشبورد'!$B$9)))</f>
        <v/>
      </c>
      <c r="V1215">
        <f>--($D1215=IF('الداشبورد'!$B$10="الكل",$D1215,'الداشبورد'!$B$10))</f>
        <v/>
      </c>
      <c r="W1215">
        <f>--($G1215=IF('الداشبورد'!$B$11="الكل",$G1215,'الداشبورد'!$B$11))</f>
        <v/>
      </c>
      <c r="X1215">
        <f>Q1215*R1215*S1215*T1215*U1215*V1215*W1215*--($C1215&lt;&gt;"")</f>
        <v/>
      </c>
    </row>
    <row r="1216">
      <c r="Q1216">
        <f>--($A1216=IF('الداشبورد'!$B$5="الكل",$A1216,'الداشبورد'!$B$5))</f>
        <v/>
      </c>
      <c r="R1216">
        <f>--($E1216=IF('الداشبورد'!$B$6="الكل",$E1216,'الداشبورد'!$B$6))</f>
        <v/>
      </c>
      <c r="S1216">
        <f>--($K1216=IF('الداشبورد'!$B$7="الكل",$K1216,IF('الداشبورد'!$B$7="تصدير","Y","N")))</f>
        <v/>
      </c>
      <c r="T1216">
        <f>--($J1216=IF('الداشبورد'!$B$8="الكل",$J1216,IF('الداشبورد'!$B$8="AL","A","C")))</f>
        <v/>
      </c>
      <c r="U1216">
        <f>--($I1216=IF('الداشبورد'!$B$9="الكل",$I1216,IF('الداشبورد'!$B$9="بدون حالة","P",'الداشبورد'!$B$9)))</f>
        <v/>
      </c>
      <c r="V1216">
        <f>--($D1216=IF('الداشبورد'!$B$10="الكل",$D1216,'الداشبورد'!$B$10))</f>
        <v/>
      </c>
      <c r="W1216">
        <f>--($G1216=IF('الداشبورد'!$B$11="الكل",$G1216,'الداشبورد'!$B$11))</f>
        <v/>
      </c>
      <c r="X1216">
        <f>Q1216*R1216*S1216*T1216*U1216*V1216*W1216*--($C1216&lt;&gt;"")</f>
        <v/>
      </c>
    </row>
    <row r="1217">
      <c r="Q1217">
        <f>--($A1217=IF('الداشبورد'!$B$5="الكل",$A1217,'الداشبورد'!$B$5))</f>
        <v/>
      </c>
      <c r="R1217">
        <f>--($E1217=IF('الداشبورد'!$B$6="الكل",$E1217,'الداشبورد'!$B$6))</f>
        <v/>
      </c>
      <c r="S1217">
        <f>--($K1217=IF('الداشبورد'!$B$7="الكل",$K1217,IF('الداشبورد'!$B$7="تصدير","Y","N")))</f>
        <v/>
      </c>
      <c r="T1217">
        <f>--($J1217=IF('الداشبورد'!$B$8="الكل",$J1217,IF('الداشبورد'!$B$8="AL","A","C")))</f>
        <v/>
      </c>
      <c r="U1217">
        <f>--($I1217=IF('الداشبورد'!$B$9="الكل",$I1217,IF('الداشبورد'!$B$9="بدون حالة","P",'الداشبورد'!$B$9)))</f>
        <v/>
      </c>
      <c r="V1217">
        <f>--($D1217=IF('الداشبورد'!$B$10="الكل",$D1217,'الداشبورد'!$B$10))</f>
        <v/>
      </c>
      <c r="W1217">
        <f>--($G1217=IF('الداشبورد'!$B$11="الكل",$G1217,'الداشبورد'!$B$11))</f>
        <v/>
      </c>
      <c r="X1217">
        <f>Q1217*R1217*S1217*T1217*U1217*V1217*W1217*--($C1217&lt;&gt;"")</f>
        <v/>
      </c>
    </row>
    <row r="1218">
      <c r="Q1218">
        <f>--($A1218=IF('الداشبورد'!$B$5="الكل",$A1218,'الداشبورد'!$B$5))</f>
        <v/>
      </c>
      <c r="R1218">
        <f>--($E1218=IF('الداشبورد'!$B$6="الكل",$E1218,'الداشبورد'!$B$6))</f>
        <v/>
      </c>
      <c r="S1218">
        <f>--($K1218=IF('الداشبورد'!$B$7="الكل",$K1218,IF('الداشبورد'!$B$7="تصدير","Y","N")))</f>
        <v/>
      </c>
      <c r="T1218">
        <f>--($J1218=IF('الداشبورد'!$B$8="الكل",$J1218,IF('الداشبورد'!$B$8="AL","A","C")))</f>
        <v/>
      </c>
      <c r="U1218">
        <f>--($I1218=IF('الداشبورد'!$B$9="الكل",$I1218,IF('الداشبورد'!$B$9="بدون حالة","P",'الداشبورد'!$B$9)))</f>
        <v/>
      </c>
      <c r="V1218">
        <f>--($D1218=IF('الداشبورد'!$B$10="الكل",$D1218,'الداشبورد'!$B$10))</f>
        <v/>
      </c>
      <c r="W1218">
        <f>--($G1218=IF('الداشبورد'!$B$11="الكل",$G1218,'الداشبورد'!$B$11))</f>
        <v/>
      </c>
      <c r="X1218">
        <f>Q1218*R1218*S1218*T1218*U1218*V1218*W1218*--($C1218&lt;&gt;"")</f>
        <v/>
      </c>
    </row>
    <row r="1219">
      <c r="Q1219">
        <f>--($A1219=IF('الداشبورد'!$B$5="الكل",$A1219,'الداشبورد'!$B$5))</f>
        <v/>
      </c>
      <c r="R1219">
        <f>--($E1219=IF('الداشبورد'!$B$6="الكل",$E1219,'الداشبورد'!$B$6))</f>
        <v/>
      </c>
      <c r="S1219">
        <f>--($K1219=IF('الداشبورد'!$B$7="الكل",$K1219,IF('الداشبورد'!$B$7="تصدير","Y","N")))</f>
        <v/>
      </c>
      <c r="T1219">
        <f>--($J1219=IF('الداشبورد'!$B$8="الكل",$J1219,IF('الداشبورد'!$B$8="AL","A","C")))</f>
        <v/>
      </c>
      <c r="U1219">
        <f>--($I1219=IF('الداشبورد'!$B$9="الكل",$I1219,IF('الداشبورد'!$B$9="بدون حالة","P",'الداشبورد'!$B$9)))</f>
        <v/>
      </c>
      <c r="V1219">
        <f>--($D1219=IF('الداشبورد'!$B$10="الكل",$D1219,'الداشبورد'!$B$10))</f>
        <v/>
      </c>
      <c r="W1219">
        <f>--($G1219=IF('الداشبورد'!$B$11="الكل",$G1219,'الداشبورد'!$B$11))</f>
        <v/>
      </c>
      <c r="X1219">
        <f>Q1219*R1219*S1219*T1219*U1219*V1219*W1219*--($C1219&lt;&gt;"")</f>
        <v/>
      </c>
    </row>
    <row r="1220">
      <c r="Q1220">
        <f>--($A1220=IF('الداشبورد'!$B$5="الكل",$A1220,'الداشبورد'!$B$5))</f>
        <v/>
      </c>
      <c r="R1220">
        <f>--($E1220=IF('الداشبورد'!$B$6="الكل",$E1220,'الداشبورد'!$B$6))</f>
        <v/>
      </c>
      <c r="S1220">
        <f>--($K1220=IF('الداشبورد'!$B$7="الكل",$K1220,IF('الداشبورد'!$B$7="تصدير","Y","N")))</f>
        <v/>
      </c>
      <c r="T1220">
        <f>--($J1220=IF('الداشبورد'!$B$8="الكل",$J1220,IF('الداشبورد'!$B$8="AL","A","C")))</f>
        <v/>
      </c>
      <c r="U1220">
        <f>--($I1220=IF('الداشبورد'!$B$9="الكل",$I1220,IF('الداشبورد'!$B$9="بدون حالة","P",'الداشبورد'!$B$9)))</f>
        <v/>
      </c>
      <c r="V1220">
        <f>--($D1220=IF('الداشبورد'!$B$10="الكل",$D1220,'الداشبورد'!$B$10))</f>
        <v/>
      </c>
      <c r="W1220">
        <f>--($G1220=IF('الداشبورد'!$B$11="الكل",$G1220,'الداشبورد'!$B$11))</f>
        <v/>
      </c>
      <c r="X1220">
        <f>Q1220*R1220*S1220*T1220*U1220*V1220*W1220*--($C1220&lt;&gt;"")</f>
        <v/>
      </c>
    </row>
    <row r="1221">
      <c r="Q1221">
        <f>--($A1221=IF('الداشبورد'!$B$5="الكل",$A1221,'الداشبورد'!$B$5))</f>
        <v/>
      </c>
      <c r="R1221">
        <f>--($E1221=IF('الداشبورد'!$B$6="الكل",$E1221,'الداشبورد'!$B$6))</f>
        <v/>
      </c>
      <c r="S1221">
        <f>--($K1221=IF('الداشبورد'!$B$7="الكل",$K1221,IF('الداشبورد'!$B$7="تصدير","Y","N")))</f>
        <v/>
      </c>
      <c r="T1221">
        <f>--($J1221=IF('الداشبورد'!$B$8="الكل",$J1221,IF('الداشبورد'!$B$8="AL","A","C")))</f>
        <v/>
      </c>
      <c r="U1221">
        <f>--($I1221=IF('الداشبورد'!$B$9="الكل",$I1221,IF('الداشبورد'!$B$9="بدون حالة","P",'الداشبورد'!$B$9)))</f>
        <v/>
      </c>
      <c r="V1221">
        <f>--($D1221=IF('الداشبورد'!$B$10="الكل",$D1221,'الداشبورد'!$B$10))</f>
        <v/>
      </c>
      <c r="W1221">
        <f>--($G1221=IF('الداشبورد'!$B$11="الكل",$G1221,'الداشبورد'!$B$11))</f>
        <v/>
      </c>
      <c r="X1221">
        <f>Q1221*R1221*S1221*T1221*U1221*V1221*W1221*--($C1221&lt;&gt;"")</f>
        <v/>
      </c>
    </row>
    <row r="1222">
      <c r="Q1222">
        <f>--($A1222=IF('الداشبورد'!$B$5="الكل",$A1222,'الداشبورد'!$B$5))</f>
        <v/>
      </c>
      <c r="R1222">
        <f>--($E1222=IF('الداشبورد'!$B$6="الكل",$E1222,'الداشبورد'!$B$6))</f>
        <v/>
      </c>
      <c r="S1222">
        <f>--($K1222=IF('الداشبورد'!$B$7="الكل",$K1222,IF('الداشبورد'!$B$7="تصدير","Y","N")))</f>
        <v/>
      </c>
      <c r="T1222">
        <f>--($J1222=IF('الداشبورد'!$B$8="الكل",$J1222,IF('الداشبورد'!$B$8="AL","A","C")))</f>
        <v/>
      </c>
      <c r="U1222">
        <f>--($I1222=IF('الداشبورد'!$B$9="الكل",$I1222,IF('الداشبورد'!$B$9="بدون حالة","P",'الداشبورد'!$B$9)))</f>
        <v/>
      </c>
      <c r="V1222">
        <f>--($D1222=IF('الداشبورد'!$B$10="الكل",$D1222,'الداشبورد'!$B$10))</f>
        <v/>
      </c>
      <c r="W1222">
        <f>--($G1222=IF('الداشبورد'!$B$11="الكل",$G1222,'الداشبورد'!$B$11))</f>
        <v/>
      </c>
      <c r="X1222">
        <f>Q1222*R1222*S1222*T1222*U1222*V1222*W1222*--($C1222&lt;&gt;"")</f>
        <v/>
      </c>
    </row>
    <row r="1223">
      <c r="Q1223">
        <f>--($A1223=IF('الداشبورد'!$B$5="الكل",$A1223,'الداشبورد'!$B$5))</f>
        <v/>
      </c>
      <c r="R1223">
        <f>--($E1223=IF('الداشبورد'!$B$6="الكل",$E1223,'الداشبورد'!$B$6))</f>
        <v/>
      </c>
      <c r="S1223">
        <f>--($K1223=IF('الداشبورد'!$B$7="الكل",$K1223,IF('الداشبورد'!$B$7="تصدير","Y","N")))</f>
        <v/>
      </c>
      <c r="T1223">
        <f>--($J1223=IF('الداشبورد'!$B$8="الكل",$J1223,IF('الداشبورد'!$B$8="AL","A","C")))</f>
        <v/>
      </c>
      <c r="U1223">
        <f>--($I1223=IF('الداشبورد'!$B$9="الكل",$I1223,IF('الداشبورد'!$B$9="بدون حالة","P",'الداشبورد'!$B$9)))</f>
        <v/>
      </c>
      <c r="V1223">
        <f>--($D1223=IF('الداشبورد'!$B$10="الكل",$D1223,'الداشبورد'!$B$10))</f>
        <v/>
      </c>
      <c r="W1223">
        <f>--($G1223=IF('الداشبورد'!$B$11="الكل",$G1223,'الداشبورد'!$B$11))</f>
        <v/>
      </c>
      <c r="X1223">
        <f>Q1223*R1223*S1223*T1223*U1223*V1223*W1223*--($C1223&lt;&gt;"")</f>
        <v/>
      </c>
    </row>
    <row r="1224">
      <c r="Q1224">
        <f>--($A1224=IF('الداشبورد'!$B$5="الكل",$A1224,'الداشبورد'!$B$5))</f>
        <v/>
      </c>
      <c r="R1224">
        <f>--($E1224=IF('الداشبورد'!$B$6="الكل",$E1224,'الداشبورد'!$B$6))</f>
        <v/>
      </c>
      <c r="S1224">
        <f>--($K1224=IF('الداشبورد'!$B$7="الكل",$K1224,IF('الداشبورد'!$B$7="تصدير","Y","N")))</f>
        <v/>
      </c>
      <c r="T1224">
        <f>--($J1224=IF('الداشبورد'!$B$8="الكل",$J1224,IF('الداشبورد'!$B$8="AL","A","C")))</f>
        <v/>
      </c>
      <c r="U1224">
        <f>--($I1224=IF('الداشبورد'!$B$9="الكل",$I1224,IF('الداشبورد'!$B$9="بدون حالة","P",'الداشبورد'!$B$9)))</f>
        <v/>
      </c>
      <c r="V1224">
        <f>--($D1224=IF('الداشبورد'!$B$10="الكل",$D1224,'الداشبورد'!$B$10))</f>
        <v/>
      </c>
      <c r="W1224">
        <f>--($G1224=IF('الداشبورد'!$B$11="الكل",$G1224,'الداشبورد'!$B$11))</f>
        <v/>
      </c>
      <c r="X1224">
        <f>Q1224*R1224*S1224*T1224*U1224*V1224*W1224*--($C1224&lt;&gt;"")</f>
        <v/>
      </c>
    </row>
    <row r="1225">
      <c r="Q1225">
        <f>--($A1225=IF('الداشبورد'!$B$5="الكل",$A1225,'الداشبورد'!$B$5))</f>
        <v/>
      </c>
      <c r="R1225">
        <f>--($E1225=IF('الداشبورد'!$B$6="الكل",$E1225,'الداشبورد'!$B$6))</f>
        <v/>
      </c>
      <c r="S1225">
        <f>--($K1225=IF('الداشبورد'!$B$7="الكل",$K1225,IF('الداشبورد'!$B$7="تصدير","Y","N")))</f>
        <v/>
      </c>
      <c r="T1225">
        <f>--($J1225=IF('الداشبورد'!$B$8="الكل",$J1225,IF('الداشبورد'!$B$8="AL","A","C")))</f>
        <v/>
      </c>
      <c r="U1225">
        <f>--($I1225=IF('الداشبورد'!$B$9="الكل",$I1225,IF('الداشبورد'!$B$9="بدون حالة","P",'الداشبورد'!$B$9)))</f>
        <v/>
      </c>
      <c r="V1225">
        <f>--($D1225=IF('الداشبورد'!$B$10="الكل",$D1225,'الداشبورد'!$B$10))</f>
        <v/>
      </c>
      <c r="W1225">
        <f>--($G1225=IF('الداشبورد'!$B$11="الكل",$G1225,'الداشبورد'!$B$11))</f>
        <v/>
      </c>
      <c r="X1225">
        <f>Q1225*R1225*S1225*T1225*U1225*V1225*W1225*--($C1225&lt;&gt;"")</f>
        <v/>
      </c>
    </row>
    <row r="1226">
      <c r="Q1226">
        <f>--($A1226=IF('الداشبورد'!$B$5="الكل",$A1226,'الداشبورد'!$B$5))</f>
        <v/>
      </c>
      <c r="R1226">
        <f>--($E1226=IF('الداشبورد'!$B$6="الكل",$E1226,'الداشبورد'!$B$6))</f>
        <v/>
      </c>
      <c r="S1226">
        <f>--($K1226=IF('الداشبورد'!$B$7="الكل",$K1226,IF('الداشبورد'!$B$7="تصدير","Y","N")))</f>
        <v/>
      </c>
      <c r="T1226">
        <f>--($J1226=IF('الداشبورد'!$B$8="الكل",$J1226,IF('الداشبورد'!$B$8="AL","A","C")))</f>
        <v/>
      </c>
      <c r="U1226">
        <f>--($I1226=IF('الداشبورد'!$B$9="الكل",$I1226,IF('الداشبورد'!$B$9="بدون حالة","P",'الداشبورد'!$B$9)))</f>
        <v/>
      </c>
      <c r="V1226">
        <f>--($D1226=IF('الداشبورد'!$B$10="الكل",$D1226,'الداشبورد'!$B$10))</f>
        <v/>
      </c>
      <c r="W1226">
        <f>--($G1226=IF('الداشبورد'!$B$11="الكل",$G1226,'الداشبورد'!$B$11))</f>
        <v/>
      </c>
      <c r="X1226">
        <f>Q1226*R1226*S1226*T1226*U1226*V1226*W1226*--($C1226&lt;&gt;"")</f>
        <v/>
      </c>
    </row>
    <row r="1227">
      <c r="Q1227">
        <f>--($A1227=IF('الداشبورد'!$B$5="الكل",$A1227,'الداشبورد'!$B$5))</f>
        <v/>
      </c>
      <c r="R1227">
        <f>--($E1227=IF('الداشبورد'!$B$6="الكل",$E1227,'الداشبورد'!$B$6))</f>
        <v/>
      </c>
      <c r="S1227">
        <f>--($K1227=IF('الداشبورد'!$B$7="الكل",$K1227,IF('الداشبورد'!$B$7="تصدير","Y","N")))</f>
        <v/>
      </c>
      <c r="T1227">
        <f>--($J1227=IF('الداشبورد'!$B$8="الكل",$J1227,IF('الداشبورد'!$B$8="AL","A","C")))</f>
        <v/>
      </c>
      <c r="U1227">
        <f>--($I1227=IF('الداشبورد'!$B$9="الكل",$I1227,IF('الداشبورد'!$B$9="بدون حالة","P",'الداشبورد'!$B$9)))</f>
        <v/>
      </c>
      <c r="V1227">
        <f>--($D1227=IF('الداشبورد'!$B$10="الكل",$D1227,'الداشبورد'!$B$10))</f>
        <v/>
      </c>
      <c r="W1227">
        <f>--($G1227=IF('الداشبورد'!$B$11="الكل",$G1227,'الداشبورد'!$B$11))</f>
        <v/>
      </c>
      <c r="X1227">
        <f>Q1227*R1227*S1227*T1227*U1227*V1227*W1227*--($C1227&lt;&gt;"")</f>
        <v/>
      </c>
    </row>
    <row r="1228">
      <c r="Q1228">
        <f>--($A1228=IF('الداشبورد'!$B$5="الكل",$A1228,'الداشبورد'!$B$5))</f>
        <v/>
      </c>
      <c r="R1228">
        <f>--($E1228=IF('الداشبورد'!$B$6="الكل",$E1228,'الداشبورد'!$B$6))</f>
        <v/>
      </c>
      <c r="S1228">
        <f>--($K1228=IF('الداشبورد'!$B$7="الكل",$K1228,IF('الداشبورد'!$B$7="تصدير","Y","N")))</f>
        <v/>
      </c>
      <c r="T1228">
        <f>--($J1228=IF('الداشبورد'!$B$8="الكل",$J1228,IF('الداشبورد'!$B$8="AL","A","C")))</f>
        <v/>
      </c>
      <c r="U1228">
        <f>--($I1228=IF('الداشبورد'!$B$9="الكل",$I1228,IF('الداشبورد'!$B$9="بدون حالة","P",'الداشبورد'!$B$9)))</f>
        <v/>
      </c>
      <c r="V1228">
        <f>--($D1228=IF('الداشبورد'!$B$10="الكل",$D1228,'الداشبورد'!$B$10))</f>
        <v/>
      </c>
      <c r="W1228">
        <f>--($G1228=IF('الداشبورد'!$B$11="الكل",$G1228,'الداشبورد'!$B$11))</f>
        <v/>
      </c>
      <c r="X1228">
        <f>Q1228*R1228*S1228*T1228*U1228*V1228*W1228*--($C1228&lt;&gt;"")</f>
        <v/>
      </c>
    </row>
    <row r="1229">
      <c r="Q1229">
        <f>--($A1229=IF('الداشبورد'!$B$5="الكل",$A1229,'الداشبورد'!$B$5))</f>
        <v/>
      </c>
      <c r="R1229">
        <f>--($E1229=IF('الداشبورد'!$B$6="الكل",$E1229,'الداشبورد'!$B$6))</f>
        <v/>
      </c>
      <c r="S1229">
        <f>--($K1229=IF('الداشبورد'!$B$7="الكل",$K1229,IF('الداشبورد'!$B$7="تصدير","Y","N")))</f>
        <v/>
      </c>
      <c r="T1229">
        <f>--($J1229=IF('الداشبورد'!$B$8="الكل",$J1229,IF('الداشبورد'!$B$8="AL","A","C")))</f>
        <v/>
      </c>
      <c r="U1229">
        <f>--($I1229=IF('الداشبورد'!$B$9="الكل",$I1229,IF('الداشبورد'!$B$9="بدون حالة","P",'الداشبورد'!$B$9)))</f>
        <v/>
      </c>
      <c r="V1229">
        <f>--($D1229=IF('الداشبورد'!$B$10="الكل",$D1229,'الداشبورد'!$B$10))</f>
        <v/>
      </c>
      <c r="W1229">
        <f>--($G1229=IF('الداشبورد'!$B$11="الكل",$G1229,'الداشبورد'!$B$11))</f>
        <v/>
      </c>
      <c r="X1229">
        <f>Q1229*R1229*S1229*T1229*U1229*V1229*W1229*--($C1229&lt;&gt;"")</f>
        <v/>
      </c>
    </row>
    <row r="1230">
      <c r="Q1230">
        <f>--($A1230=IF('الداشبورد'!$B$5="الكل",$A1230,'الداشبورد'!$B$5))</f>
        <v/>
      </c>
      <c r="R1230">
        <f>--($E1230=IF('الداشبورد'!$B$6="الكل",$E1230,'الداشبورد'!$B$6))</f>
        <v/>
      </c>
      <c r="S1230">
        <f>--($K1230=IF('الداشبورد'!$B$7="الكل",$K1230,IF('الداشبورد'!$B$7="تصدير","Y","N")))</f>
        <v/>
      </c>
      <c r="T1230">
        <f>--($J1230=IF('الداشبورد'!$B$8="الكل",$J1230,IF('الداشبورد'!$B$8="AL","A","C")))</f>
        <v/>
      </c>
      <c r="U1230">
        <f>--($I1230=IF('الداشبورد'!$B$9="الكل",$I1230,IF('الداشبورد'!$B$9="بدون حالة","P",'الداشبورد'!$B$9)))</f>
        <v/>
      </c>
      <c r="V1230">
        <f>--($D1230=IF('الداشبورد'!$B$10="الكل",$D1230,'الداشبورد'!$B$10))</f>
        <v/>
      </c>
      <c r="W1230">
        <f>--($G1230=IF('الداشبورد'!$B$11="الكل",$G1230,'الداشبورد'!$B$11))</f>
        <v/>
      </c>
      <c r="X1230">
        <f>Q1230*R1230*S1230*T1230*U1230*V1230*W1230*--($C1230&lt;&gt;"")</f>
        <v/>
      </c>
    </row>
    <row r="1231">
      <c r="Q1231">
        <f>--($A1231=IF('الداشبورد'!$B$5="الكل",$A1231,'الداشبورد'!$B$5))</f>
        <v/>
      </c>
      <c r="R1231">
        <f>--($E1231=IF('الداشبورد'!$B$6="الكل",$E1231,'الداشبورد'!$B$6))</f>
        <v/>
      </c>
      <c r="S1231">
        <f>--($K1231=IF('الداشبورد'!$B$7="الكل",$K1231,IF('الداشبورد'!$B$7="تصدير","Y","N")))</f>
        <v/>
      </c>
      <c r="T1231">
        <f>--($J1231=IF('الداشبورد'!$B$8="الكل",$J1231,IF('الداشبورد'!$B$8="AL","A","C")))</f>
        <v/>
      </c>
      <c r="U1231">
        <f>--($I1231=IF('الداشبورد'!$B$9="الكل",$I1231,IF('الداشبورد'!$B$9="بدون حالة","P",'الداشبورد'!$B$9)))</f>
        <v/>
      </c>
      <c r="V1231">
        <f>--($D1231=IF('الداشبورد'!$B$10="الكل",$D1231,'الداشبورد'!$B$10))</f>
        <v/>
      </c>
      <c r="W1231">
        <f>--($G1231=IF('الداشبورد'!$B$11="الكل",$G1231,'الداشبورد'!$B$11))</f>
        <v/>
      </c>
      <c r="X1231">
        <f>Q1231*R1231*S1231*T1231*U1231*V1231*W1231*--($C1231&lt;&gt;"")</f>
        <v/>
      </c>
    </row>
    <row r="1232">
      <c r="Q1232">
        <f>--($A1232=IF('الداشبورد'!$B$5="الكل",$A1232,'الداشبورد'!$B$5))</f>
        <v/>
      </c>
      <c r="R1232">
        <f>--($E1232=IF('الداشبورد'!$B$6="الكل",$E1232,'الداشبورد'!$B$6))</f>
        <v/>
      </c>
      <c r="S1232">
        <f>--($K1232=IF('الداشبورد'!$B$7="الكل",$K1232,IF('الداشبورد'!$B$7="تصدير","Y","N")))</f>
        <v/>
      </c>
      <c r="T1232">
        <f>--($J1232=IF('الداشبورد'!$B$8="الكل",$J1232,IF('الداشبورد'!$B$8="AL","A","C")))</f>
        <v/>
      </c>
      <c r="U1232">
        <f>--($I1232=IF('الداشبورد'!$B$9="الكل",$I1232,IF('الداشبورد'!$B$9="بدون حالة","P",'الداشبورد'!$B$9)))</f>
        <v/>
      </c>
      <c r="V1232">
        <f>--($D1232=IF('الداشبورد'!$B$10="الكل",$D1232,'الداشبورد'!$B$10))</f>
        <v/>
      </c>
      <c r="W1232">
        <f>--($G1232=IF('الداشبورد'!$B$11="الكل",$G1232,'الداشبورد'!$B$11))</f>
        <v/>
      </c>
      <c r="X1232">
        <f>Q1232*R1232*S1232*T1232*U1232*V1232*W1232*--($C1232&lt;&gt;"")</f>
        <v/>
      </c>
    </row>
    <row r="1233">
      <c r="Q1233">
        <f>--($A1233=IF('الداشبورد'!$B$5="الكل",$A1233,'الداشبورد'!$B$5))</f>
        <v/>
      </c>
      <c r="R1233">
        <f>--($E1233=IF('الداشبورد'!$B$6="الكل",$E1233,'الداشبورد'!$B$6))</f>
        <v/>
      </c>
      <c r="S1233">
        <f>--($K1233=IF('الداشبورد'!$B$7="الكل",$K1233,IF('الداشبورد'!$B$7="تصدير","Y","N")))</f>
        <v/>
      </c>
      <c r="T1233">
        <f>--($J1233=IF('الداشبورد'!$B$8="الكل",$J1233,IF('الداشبورد'!$B$8="AL","A","C")))</f>
        <v/>
      </c>
      <c r="U1233">
        <f>--($I1233=IF('الداشبورد'!$B$9="الكل",$I1233,IF('الداشبورد'!$B$9="بدون حالة","P",'الداشبورد'!$B$9)))</f>
        <v/>
      </c>
      <c r="V1233">
        <f>--($D1233=IF('الداشبورد'!$B$10="الكل",$D1233,'الداشبورد'!$B$10))</f>
        <v/>
      </c>
      <c r="W1233">
        <f>--($G1233=IF('الداشبورد'!$B$11="الكل",$G1233,'الداشبورد'!$B$11))</f>
        <v/>
      </c>
      <c r="X1233">
        <f>Q1233*R1233*S1233*T1233*U1233*V1233*W1233*--($C1233&lt;&gt;"")</f>
        <v/>
      </c>
    </row>
    <row r="1234">
      <c r="Q1234">
        <f>--($A1234=IF('الداشبورد'!$B$5="الكل",$A1234,'الداشبورد'!$B$5))</f>
        <v/>
      </c>
      <c r="R1234">
        <f>--($E1234=IF('الداشبورد'!$B$6="الكل",$E1234,'الداشبورد'!$B$6))</f>
        <v/>
      </c>
      <c r="S1234">
        <f>--($K1234=IF('الداشبورد'!$B$7="الكل",$K1234,IF('الداشبورد'!$B$7="تصدير","Y","N")))</f>
        <v/>
      </c>
      <c r="T1234">
        <f>--($J1234=IF('الداشبورد'!$B$8="الكل",$J1234,IF('الداشبورد'!$B$8="AL","A","C")))</f>
        <v/>
      </c>
      <c r="U1234">
        <f>--($I1234=IF('الداشبورد'!$B$9="الكل",$I1234,IF('الداشبورد'!$B$9="بدون حالة","P",'الداشبورد'!$B$9)))</f>
        <v/>
      </c>
      <c r="V1234">
        <f>--($D1234=IF('الداشبورد'!$B$10="الكل",$D1234,'الداشبورد'!$B$10))</f>
        <v/>
      </c>
      <c r="W1234">
        <f>--($G1234=IF('الداشبورد'!$B$11="الكل",$G1234,'الداشبورد'!$B$11))</f>
        <v/>
      </c>
      <c r="X1234">
        <f>Q1234*R1234*S1234*T1234*U1234*V1234*W1234*--($C1234&lt;&gt;"")</f>
        <v/>
      </c>
    </row>
    <row r="1235">
      <c r="Q1235">
        <f>--($A1235=IF('الداشبورد'!$B$5="الكل",$A1235,'الداشبورد'!$B$5))</f>
        <v/>
      </c>
      <c r="R1235">
        <f>--($E1235=IF('الداشبورد'!$B$6="الكل",$E1235,'الداشبورد'!$B$6))</f>
        <v/>
      </c>
      <c r="S1235">
        <f>--($K1235=IF('الداشبورد'!$B$7="الكل",$K1235,IF('الداشبورد'!$B$7="تصدير","Y","N")))</f>
        <v/>
      </c>
      <c r="T1235">
        <f>--($J1235=IF('الداشبورد'!$B$8="الكل",$J1235,IF('الداشبورد'!$B$8="AL","A","C")))</f>
        <v/>
      </c>
      <c r="U1235">
        <f>--($I1235=IF('الداشبورد'!$B$9="الكل",$I1235,IF('الداشبورد'!$B$9="بدون حالة","P",'الداشبورد'!$B$9)))</f>
        <v/>
      </c>
      <c r="V1235">
        <f>--($D1235=IF('الداشبورد'!$B$10="الكل",$D1235,'الداشبورد'!$B$10))</f>
        <v/>
      </c>
      <c r="W1235">
        <f>--($G1235=IF('الداشبورد'!$B$11="الكل",$G1235,'الداشبورد'!$B$11))</f>
        <v/>
      </c>
      <c r="X1235">
        <f>Q1235*R1235*S1235*T1235*U1235*V1235*W1235*--($C1235&lt;&gt;"")</f>
        <v/>
      </c>
    </row>
    <row r="1236">
      <c r="Q1236">
        <f>--($A1236=IF('الداشبورد'!$B$5="الكل",$A1236,'الداشبورد'!$B$5))</f>
        <v/>
      </c>
      <c r="R1236">
        <f>--($E1236=IF('الداشبورد'!$B$6="الكل",$E1236,'الداشبورد'!$B$6))</f>
        <v/>
      </c>
      <c r="S1236">
        <f>--($K1236=IF('الداشبورد'!$B$7="الكل",$K1236,IF('الداشبورد'!$B$7="تصدير","Y","N")))</f>
        <v/>
      </c>
      <c r="T1236">
        <f>--($J1236=IF('الداشبورد'!$B$8="الكل",$J1236,IF('الداشبورد'!$B$8="AL","A","C")))</f>
        <v/>
      </c>
      <c r="U1236">
        <f>--($I1236=IF('الداشبورد'!$B$9="الكل",$I1236,IF('الداشبورد'!$B$9="بدون حالة","P",'الداشبورد'!$B$9)))</f>
        <v/>
      </c>
      <c r="V1236">
        <f>--($D1236=IF('الداشبورد'!$B$10="الكل",$D1236,'الداشبورد'!$B$10))</f>
        <v/>
      </c>
      <c r="W1236">
        <f>--($G1236=IF('الداشبورد'!$B$11="الكل",$G1236,'الداشبورد'!$B$11))</f>
        <v/>
      </c>
      <c r="X1236">
        <f>Q1236*R1236*S1236*T1236*U1236*V1236*W1236*--($C1236&lt;&gt;"")</f>
        <v/>
      </c>
    </row>
    <row r="1237">
      <c r="Q1237">
        <f>--($A1237=IF('الداشبورد'!$B$5="الكل",$A1237,'الداشبورد'!$B$5))</f>
        <v/>
      </c>
      <c r="R1237">
        <f>--($E1237=IF('الداشبورد'!$B$6="الكل",$E1237,'الداشبورد'!$B$6))</f>
        <v/>
      </c>
      <c r="S1237">
        <f>--($K1237=IF('الداشبورد'!$B$7="الكل",$K1237,IF('الداشبورد'!$B$7="تصدير","Y","N")))</f>
        <v/>
      </c>
      <c r="T1237">
        <f>--($J1237=IF('الداشبورد'!$B$8="الكل",$J1237,IF('الداشبورد'!$B$8="AL","A","C")))</f>
        <v/>
      </c>
      <c r="U1237">
        <f>--($I1237=IF('الداشبورد'!$B$9="الكل",$I1237,IF('الداشبورد'!$B$9="بدون حالة","P",'الداشبورد'!$B$9)))</f>
        <v/>
      </c>
      <c r="V1237">
        <f>--($D1237=IF('الداشبورد'!$B$10="الكل",$D1237,'الداشبورد'!$B$10))</f>
        <v/>
      </c>
      <c r="W1237">
        <f>--($G1237=IF('الداشبورد'!$B$11="الكل",$G1237,'الداشبورد'!$B$11))</f>
        <v/>
      </c>
      <c r="X1237">
        <f>Q1237*R1237*S1237*T1237*U1237*V1237*W1237*--($C1237&lt;&gt;"")</f>
        <v/>
      </c>
    </row>
    <row r="1238">
      <c r="Q1238">
        <f>--($A1238=IF('الداشبورد'!$B$5="الكل",$A1238,'الداشبورد'!$B$5))</f>
        <v/>
      </c>
      <c r="R1238">
        <f>--($E1238=IF('الداشبورد'!$B$6="الكل",$E1238,'الداشبورد'!$B$6))</f>
        <v/>
      </c>
      <c r="S1238">
        <f>--($K1238=IF('الداشبورد'!$B$7="الكل",$K1238,IF('الداشبورد'!$B$7="تصدير","Y","N")))</f>
        <v/>
      </c>
      <c r="T1238">
        <f>--($J1238=IF('الداشبورد'!$B$8="الكل",$J1238,IF('الداشبورد'!$B$8="AL","A","C")))</f>
        <v/>
      </c>
      <c r="U1238">
        <f>--($I1238=IF('الداشبورد'!$B$9="الكل",$I1238,IF('الداشبورد'!$B$9="بدون حالة","P",'الداشبورد'!$B$9)))</f>
        <v/>
      </c>
      <c r="V1238">
        <f>--($D1238=IF('الداشبورد'!$B$10="الكل",$D1238,'الداشبورد'!$B$10))</f>
        <v/>
      </c>
      <c r="W1238">
        <f>--($G1238=IF('الداشبورد'!$B$11="الكل",$G1238,'الداشبورد'!$B$11))</f>
        <v/>
      </c>
      <c r="X1238">
        <f>Q1238*R1238*S1238*T1238*U1238*V1238*W1238*--($C1238&lt;&gt;"")</f>
        <v/>
      </c>
    </row>
    <row r="1239">
      <c r="Q1239">
        <f>--($A1239=IF('الداشبورد'!$B$5="الكل",$A1239,'الداشبورد'!$B$5))</f>
        <v/>
      </c>
      <c r="R1239">
        <f>--($E1239=IF('الداشبورد'!$B$6="الكل",$E1239,'الداشبورد'!$B$6))</f>
        <v/>
      </c>
      <c r="S1239">
        <f>--($K1239=IF('الداشبورد'!$B$7="الكل",$K1239,IF('الداشبورد'!$B$7="تصدير","Y","N")))</f>
        <v/>
      </c>
      <c r="T1239">
        <f>--($J1239=IF('الداشبورد'!$B$8="الكل",$J1239,IF('الداشبورد'!$B$8="AL","A","C")))</f>
        <v/>
      </c>
      <c r="U1239">
        <f>--($I1239=IF('الداشبورد'!$B$9="الكل",$I1239,IF('الداشبورد'!$B$9="بدون حالة","P",'الداشبورد'!$B$9)))</f>
        <v/>
      </c>
      <c r="V1239">
        <f>--($D1239=IF('الداشبورد'!$B$10="الكل",$D1239,'الداشبورد'!$B$10))</f>
        <v/>
      </c>
      <c r="W1239">
        <f>--($G1239=IF('الداشبورد'!$B$11="الكل",$G1239,'الداشبورد'!$B$11))</f>
        <v/>
      </c>
      <c r="X1239">
        <f>Q1239*R1239*S1239*T1239*U1239*V1239*W1239*--($C1239&lt;&gt;"")</f>
        <v/>
      </c>
    </row>
    <row r="1240">
      <c r="Q1240">
        <f>--($A1240=IF('الداشبورد'!$B$5="الكل",$A1240,'الداشبورد'!$B$5))</f>
        <v/>
      </c>
      <c r="R1240">
        <f>--($E1240=IF('الداشبورد'!$B$6="الكل",$E1240,'الداشبورد'!$B$6))</f>
        <v/>
      </c>
      <c r="S1240">
        <f>--($K1240=IF('الداشبورد'!$B$7="الكل",$K1240,IF('الداشبورد'!$B$7="تصدير","Y","N")))</f>
        <v/>
      </c>
      <c r="T1240">
        <f>--($J1240=IF('الداشبورد'!$B$8="الكل",$J1240,IF('الداشبورد'!$B$8="AL","A","C")))</f>
        <v/>
      </c>
      <c r="U1240">
        <f>--($I1240=IF('الداشبورد'!$B$9="الكل",$I1240,IF('الداشبورد'!$B$9="بدون حالة","P",'الداشبورد'!$B$9)))</f>
        <v/>
      </c>
      <c r="V1240">
        <f>--($D1240=IF('الداشبورد'!$B$10="الكل",$D1240,'الداشبورد'!$B$10))</f>
        <v/>
      </c>
      <c r="W1240">
        <f>--($G1240=IF('الداشبورد'!$B$11="الكل",$G1240,'الداشبورد'!$B$11))</f>
        <v/>
      </c>
      <c r="X1240">
        <f>Q1240*R1240*S1240*T1240*U1240*V1240*W1240*--($C1240&lt;&gt;"")</f>
        <v/>
      </c>
    </row>
    <row r="1241">
      <c r="Q1241">
        <f>--($A1241=IF('الداشبورد'!$B$5="الكل",$A1241,'الداشبورد'!$B$5))</f>
        <v/>
      </c>
      <c r="R1241">
        <f>--($E1241=IF('الداشبورد'!$B$6="الكل",$E1241,'الداشبورد'!$B$6))</f>
        <v/>
      </c>
      <c r="S1241">
        <f>--($K1241=IF('الداشبورد'!$B$7="الكل",$K1241,IF('الداشبورد'!$B$7="تصدير","Y","N")))</f>
        <v/>
      </c>
      <c r="T1241">
        <f>--($J1241=IF('الداشبورد'!$B$8="الكل",$J1241,IF('الداشبورد'!$B$8="AL","A","C")))</f>
        <v/>
      </c>
      <c r="U1241">
        <f>--($I1241=IF('الداشبورد'!$B$9="الكل",$I1241,IF('الداشبورد'!$B$9="بدون حالة","P",'الداشبورد'!$B$9)))</f>
        <v/>
      </c>
      <c r="V1241">
        <f>--($D1241=IF('الداشبورد'!$B$10="الكل",$D1241,'الداشبورد'!$B$10))</f>
        <v/>
      </c>
      <c r="W1241">
        <f>--($G1241=IF('الداشبورد'!$B$11="الكل",$G1241,'الداشبورد'!$B$11))</f>
        <v/>
      </c>
      <c r="X1241">
        <f>Q1241*R1241*S1241*T1241*U1241*V1241*W1241*--($C1241&lt;&gt;"")</f>
        <v/>
      </c>
    </row>
    <row r="1242">
      <c r="Q1242">
        <f>--($A1242=IF('الداشبورد'!$B$5="الكل",$A1242,'الداشبورد'!$B$5))</f>
        <v/>
      </c>
      <c r="R1242">
        <f>--($E1242=IF('الداشبورد'!$B$6="الكل",$E1242,'الداشبورد'!$B$6))</f>
        <v/>
      </c>
      <c r="S1242">
        <f>--($K1242=IF('الداشبورد'!$B$7="الكل",$K1242,IF('الداشبورد'!$B$7="تصدير","Y","N")))</f>
        <v/>
      </c>
      <c r="T1242">
        <f>--($J1242=IF('الداشبورد'!$B$8="الكل",$J1242,IF('الداشبورد'!$B$8="AL","A","C")))</f>
        <v/>
      </c>
      <c r="U1242">
        <f>--($I1242=IF('الداشبورد'!$B$9="الكل",$I1242,IF('الداشبورد'!$B$9="بدون حالة","P",'الداشبورد'!$B$9)))</f>
        <v/>
      </c>
      <c r="V1242">
        <f>--($D1242=IF('الداشبورد'!$B$10="الكل",$D1242,'الداشبورد'!$B$10))</f>
        <v/>
      </c>
      <c r="W1242">
        <f>--($G1242=IF('الداشبورد'!$B$11="الكل",$G1242,'الداشبورد'!$B$11))</f>
        <v/>
      </c>
      <c r="X1242">
        <f>Q1242*R1242*S1242*T1242*U1242*V1242*W1242*--($C1242&lt;&gt;"")</f>
        <v/>
      </c>
    </row>
    <row r="1243">
      <c r="Q1243">
        <f>--($A1243=IF('الداشبورد'!$B$5="الكل",$A1243,'الداشبورد'!$B$5))</f>
        <v/>
      </c>
      <c r="R1243">
        <f>--($E1243=IF('الداشبورد'!$B$6="الكل",$E1243,'الداشبورد'!$B$6))</f>
        <v/>
      </c>
      <c r="S1243">
        <f>--($K1243=IF('الداشبورد'!$B$7="الكل",$K1243,IF('الداشبورد'!$B$7="تصدير","Y","N")))</f>
        <v/>
      </c>
      <c r="T1243">
        <f>--($J1243=IF('الداشبورد'!$B$8="الكل",$J1243,IF('الداشبورد'!$B$8="AL","A","C")))</f>
        <v/>
      </c>
      <c r="U1243">
        <f>--($I1243=IF('الداشبورد'!$B$9="الكل",$I1243,IF('الداشبورد'!$B$9="بدون حالة","P",'الداشبورد'!$B$9)))</f>
        <v/>
      </c>
      <c r="V1243">
        <f>--($D1243=IF('الداشبورد'!$B$10="الكل",$D1243,'الداشبورد'!$B$10))</f>
        <v/>
      </c>
      <c r="W1243">
        <f>--($G1243=IF('الداشبورد'!$B$11="الكل",$G1243,'الداشبورد'!$B$11))</f>
        <v/>
      </c>
      <c r="X1243">
        <f>Q1243*R1243*S1243*T1243*U1243*V1243*W1243*--($C1243&lt;&gt;"")</f>
        <v/>
      </c>
    </row>
    <row r="1244">
      <c r="Q1244">
        <f>--($A1244=IF('الداشبورد'!$B$5="الكل",$A1244,'الداشبورد'!$B$5))</f>
        <v/>
      </c>
      <c r="R1244">
        <f>--($E1244=IF('الداشبورد'!$B$6="الكل",$E1244,'الداشبورد'!$B$6))</f>
        <v/>
      </c>
      <c r="S1244">
        <f>--($K1244=IF('الداشبورد'!$B$7="الكل",$K1244,IF('الداشبورد'!$B$7="تصدير","Y","N")))</f>
        <v/>
      </c>
      <c r="T1244">
        <f>--($J1244=IF('الداشبورد'!$B$8="الكل",$J1244,IF('الداشبورد'!$B$8="AL","A","C")))</f>
        <v/>
      </c>
      <c r="U1244">
        <f>--($I1244=IF('الداشبورد'!$B$9="الكل",$I1244,IF('الداشبورد'!$B$9="بدون حالة","P",'الداشبورد'!$B$9)))</f>
        <v/>
      </c>
      <c r="V1244">
        <f>--($D1244=IF('الداشبورد'!$B$10="الكل",$D1244,'الداشبورد'!$B$10))</f>
        <v/>
      </c>
      <c r="W1244">
        <f>--($G1244=IF('الداشبورد'!$B$11="الكل",$G1244,'الداشبورد'!$B$11))</f>
        <v/>
      </c>
      <c r="X1244">
        <f>Q1244*R1244*S1244*T1244*U1244*V1244*W1244*--($C1244&lt;&gt;"")</f>
        <v/>
      </c>
    </row>
    <row r="1245">
      <c r="Q1245">
        <f>--($A1245=IF('الداشبورد'!$B$5="الكل",$A1245,'الداشبورد'!$B$5))</f>
        <v/>
      </c>
      <c r="R1245">
        <f>--($E1245=IF('الداشبورد'!$B$6="الكل",$E1245,'الداشبورد'!$B$6))</f>
        <v/>
      </c>
      <c r="S1245">
        <f>--($K1245=IF('الداشبورد'!$B$7="الكل",$K1245,IF('الداشبورد'!$B$7="تصدير","Y","N")))</f>
        <v/>
      </c>
      <c r="T1245">
        <f>--($J1245=IF('الداشبورد'!$B$8="الكل",$J1245,IF('الداشبورد'!$B$8="AL","A","C")))</f>
        <v/>
      </c>
      <c r="U1245">
        <f>--($I1245=IF('الداشبورد'!$B$9="الكل",$I1245,IF('الداشبورد'!$B$9="بدون حالة","P",'الداشبورد'!$B$9)))</f>
        <v/>
      </c>
      <c r="V1245">
        <f>--($D1245=IF('الداشبورد'!$B$10="الكل",$D1245,'الداشبورد'!$B$10))</f>
        <v/>
      </c>
      <c r="W1245">
        <f>--($G1245=IF('الداشبورد'!$B$11="الكل",$G1245,'الداشبورد'!$B$11))</f>
        <v/>
      </c>
      <c r="X1245">
        <f>Q1245*R1245*S1245*T1245*U1245*V1245*W1245*--($C1245&lt;&gt;"")</f>
        <v/>
      </c>
    </row>
    <row r="1246">
      <c r="Q1246">
        <f>--($A1246=IF('الداشبورد'!$B$5="الكل",$A1246,'الداشبورد'!$B$5))</f>
        <v/>
      </c>
      <c r="R1246">
        <f>--($E1246=IF('الداشبورد'!$B$6="الكل",$E1246,'الداشبورد'!$B$6))</f>
        <v/>
      </c>
      <c r="S1246">
        <f>--($K1246=IF('الداشبورد'!$B$7="الكل",$K1246,IF('الداشبورد'!$B$7="تصدير","Y","N")))</f>
        <v/>
      </c>
      <c r="T1246">
        <f>--($J1246=IF('الداشبورد'!$B$8="الكل",$J1246,IF('الداشبورد'!$B$8="AL","A","C")))</f>
        <v/>
      </c>
      <c r="U1246">
        <f>--($I1246=IF('الداشبورد'!$B$9="الكل",$I1246,IF('الداشبورد'!$B$9="بدون حالة","P",'الداشبورد'!$B$9)))</f>
        <v/>
      </c>
      <c r="V1246">
        <f>--($D1246=IF('الداشبورد'!$B$10="الكل",$D1246,'الداشبورد'!$B$10))</f>
        <v/>
      </c>
      <c r="W1246">
        <f>--($G1246=IF('الداشبورد'!$B$11="الكل",$G1246,'الداشبورد'!$B$11))</f>
        <v/>
      </c>
      <c r="X1246">
        <f>Q1246*R1246*S1246*T1246*U1246*V1246*W1246*--($C1246&lt;&gt;"")</f>
        <v/>
      </c>
    </row>
    <row r="1247">
      <c r="Q1247">
        <f>--($A1247=IF('الداشبورد'!$B$5="الكل",$A1247,'الداشبورد'!$B$5))</f>
        <v/>
      </c>
      <c r="R1247">
        <f>--($E1247=IF('الداشبورد'!$B$6="الكل",$E1247,'الداشبورد'!$B$6))</f>
        <v/>
      </c>
      <c r="S1247">
        <f>--($K1247=IF('الداشبورد'!$B$7="الكل",$K1247,IF('الداشبورد'!$B$7="تصدير","Y","N")))</f>
        <v/>
      </c>
      <c r="T1247">
        <f>--($J1247=IF('الداشبورد'!$B$8="الكل",$J1247,IF('الداشبورد'!$B$8="AL","A","C")))</f>
        <v/>
      </c>
      <c r="U1247">
        <f>--($I1247=IF('الداشبورد'!$B$9="الكل",$I1247,IF('الداشبورد'!$B$9="بدون حالة","P",'الداشبورد'!$B$9)))</f>
        <v/>
      </c>
      <c r="V1247">
        <f>--($D1247=IF('الداشبورد'!$B$10="الكل",$D1247,'الداشبورد'!$B$10))</f>
        <v/>
      </c>
      <c r="W1247">
        <f>--($G1247=IF('الداشبورد'!$B$11="الكل",$G1247,'الداشبورد'!$B$11))</f>
        <v/>
      </c>
      <c r="X1247">
        <f>Q1247*R1247*S1247*T1247*U1247*V1247*W1247*--($C1247&lt;&gt;"")</f>
        <v/>
      </c>
    </row>
    <row r="1248">
      <c r="Q1248">
        <f>--($A1248=IF('الداشبورد'!$B$5="الكل",$A1248,'الداشبورد'!$B$5))</f>
        <v/>
      </c>
      <c r="R1248">
        <f>--($E1248=IF('الداشبورد'!$B$6="الكل",$E1248,'الداشبورد'!$B$6))</f>
        <v/>
      </c>
      <c r="S1248">
        <f>--($K1248=IF('الداشبورد'!$B$7="الكل",$K1248,IF('الداشبورد'!$B$7="تصدير","Y","N")))</f>
        <v/>
      </c>
      <c r="T1248">
        <f>--($J1248=IF('الداشبورد'!$B$8="الكل",$J1248,IF('الداشبورد'!$B$8="AL","A","C")))</f>
        <v/>
      </c>
      <c r="U1248">
        <f>--($I1248=IF('الداشبورد'!$B$9="الكل",$I1248,IF('الداشبورد'!$B$9="بدون حالة","P",'الداشبورد'!$B$9)))</f>
        <v/>
      </c>
      <c r="V1248">
        <f>--($D1248=IF('الداشبورد'!$B$10="الكل",$D1248,'الداشبورد'!$B$10))</f>
        <v/>
      </c>
      <c r="W1248">
        <f>--($G1248=IF('الداشبورد'!$B$11="الكل",$G1248,'الداشبورد'!$B$11))</f>
        <v/>
      </c>
      <c r="X1248">
        <f>Q1248*R1248*S1248*T1248*U1248*V1248*W1248*--($C1248&lt;&gt;"")</f>
        <v/>
      </c>
    </row>
    <row r="1249">
      <c r="Q1249">
        <f>--($A1249=IF('الداشبورد'!$B$5="الكل",$A1249,'الداشبورد'!$B$5))</f>
        <v/>
      </c>
      <c r="R1249">
        <f>--($E1249=IF('الداشبورد'!$B$6="الكل",$E1249,'الداشبورد'!$B$6))</f>
        <v/>
      </c>
      <c r="S1249">
        <f>--($K1249=IF('الداشبورد'!$B$7="الكل",$K1249,IF('الداشبورد'!$B$7="تصدير","Y","N")))</f>
        <v/>
      </c>
      <c r="T1249">
        <f>--($J1249=IF('الداشبورد'!$B$8="الكل",$J1249,IF('الداشبورد'!$B$8="AL","A","C")))</f>
        <v/>
      </c>
      <c r="U1249">
        <f>--($I1249=IF('الداشبورد'!$B$9="الكل",$I1249,IF('الداشبورد'!$B$9="بدون حالة","P",'الداشبورد'!$B$9)))</f>
        <v/>
      </c>
      <c r="V1249">
        <f>--($D1249=IF('الداشبورد'!$B$10="الكل",$D1249,'الداشبورد'!$B$10))</f>
        <v/>
      </c>
      <c r="W1249">
        <f>--($G1249=IF('الداشبورد'!$B$11="الكل",$G1249,'الداشبورد'!$B$11))</f>
        <v/>
      </c>
      <c r="X1249">
        <f>Q1249*R1249*S1249*T1249*U1249*V1249*W1249*--($C1249&lt;&gt;"")</f>
        <v/>
      </c>
    </row>
    <row r="1250">
      <c r="Q1250">
        <f>--($A1250=IF('الداشبورد'!$B$5="الكل",$A1250,'الداشبورد'!$B$5))</f>
        <v/>
      </c>
      <c r="R1250">
        <f>--($E1250=IF('الداشبورد'!$B$6="الكل",$E1250,'الداشبورد'!$B$6))</f>
        <v/>
      </c>
      <c r="S1250">
        <f>--($K1250=IF('الداشبورد'!$B$7="الكل",$K1250,IF('الداشبورد'!$B$7="تصدير","Y","N")))</f>
        <v/>
      </c>
      <c r="T1250">
        <f>--($J1250=IF('الداشبورد'!$B$8="الكل",$J1250,IF('الداشبورد'!$B$8="AL","A","C")))</f>
        <v/>
      </c>
      <c r="U1250">
        <f>--($I1250=IF('الداشبورد'!$B$9="الكل",$I1250,IF('الداشبورد'!$B$9="بدون حالة","P",'الداشبورد'!$B$9)))</f>
        <v/>
      </c>
      <c r="V1250">
        <f>--($D1250=IF('الداشبورد'!$B$10="الكل",$D1250,'الداشبورد'!$B$10))</f>
        <v/>
      </c>
      <c r="W1250">
        <f>--($G1250=IF('الداشبورد'!$B$11="الكل",$G1250,'الداشبورد'!$B$11))</f>
        <v/>
      </c>
      <c r="X1250">
        <f>Q1250*R1250*S1250*T1250*U1250*V1250*W1250*--($C1250&lt;&gt;"")</f>
        <v/>
      </c>
    </row>
    <row r="1251">
      <c r="Q1251">
        <f>--($A1251=IF('الداشبورد'!$B$5="الكل",$A1251,'الداشبورد'!$B$5))</f>
        <v/>
      </c>
      <c r="R1251">
        <f>--($E1251=IF('الداشبورد'!$B$6="الكل",$E1251,'الداشبورد'!$B$6))</f>
        <v/>
      </c>
      <c r="S1251">
        <f>--($K1251=IF('الداشبورد'!$B$7="الكل",$K1251,IF('الداشبورد'!$B$7="تصدير","Y","N")))</f>
        <v/>
      </c>
      <c r="T1251">
        <f>--($J1251=IF('الداشبورد'!$B$8="الكل",$J1251,IF('الداشبورد'!$B$8="AL","A","C")))</f>
        <v/>
      </c>
      <c r="U1251">
        <f>--($I1251=IF('الداشبورد'!$B$9="الكل",$I1251,IF('الداشبورد'!$B$9="بدون حالة","P",'الداشبورد'!$B$9)))</f>
        <v/>
      </c>
      <c r="V1251">
        <f>--($D1251=IF('الداشبورد'!$B$10="الكل",$D1251,'الداشبورد'!$B$10))</f>
        <v/>
      </c>
      <c r="W1251">
        <f>--($G1251=IF('الداشبورد'!$B$11="الكل",$G1251,'الداشبورد'!$B$11))</f>
        <v/>
      </c>
      <c r="X1251">
        <f>Q1251*R1251*S1251*T1251*U1251*V1251*W1251*--($C1251&lt;&gt;"")</f>
        <v/>
      </c>
    </row>
    <row r="1252">
      <c r="Q1252">
        <f>--($A1252=IF('الداشبورد'!$B$5="الكل",$A1252,'الداشبورد'!$B$5))</f>
        <v/>
      </c>
      <c r="R1252">
        <f>--($E1252=IF('الداشبورد'!$B$6="الكل",$E1252,'الداشبورد'!$B$6))</f>
        <v/>
      </c>
      <c r="S1252">
        <f>--($K1252=IF('الداشبورد'!$B$7="الكل",$K1252,IF('الداشبورد'!$B$7="تصدير","Y","N")))</f>
        <v/>
      </c>
      <c r="T1252">
        <f>--($J1252=IF('الداشبورد'!$B$8="الكل",$J1252,IF('الداشبورد'!$B$8="AL","A","C")))</f>
        <v/>
      </c>
      <c r="U1252">
        <f>--($I1252=IF('الداشبورد'!$B$9="الكل",$I1252,IF('الداشبورد'!$B$9="بدون حالة","P",'الداشبورد'!$B$9)))</f>
        <v/>
      </c>
      <c r="V1252">
        <f>--($D1252=IF('الداشبورد'!$B$10="الكل",$D1252,'الداشبورد'!$B$10))</f>
        <v/>
      </c>
      <c r="W1252">
        <f>--($G1252=IF('الداشبورد'!$B$11="الكل",$G1252,'الداشبورد'!$B$11))</f>
        <v/>
      </c>
      <c r="X1252">
        <f>Q1252*R1252*S1252*T1252*U1252*V1252*W1252*--($C1252&lt;&gt;"")</f>
        <v/>
      </c>
    </row>
    <row r="1253">
      <c r="Q1253">
        <f>--($A1253=IF('الداشبورد'!$B$5="الكل",$A1253,'الداشبورد'!$B$5))</f>
        <v/>
      </c>
      <c r="R1253">
        <f>--($E1253=IF('الداشبورد'!$B$6="الكل",$E1253,'الداشبورد'!$B$6))</f>
        <v/>
      </c>
      <c r="S1253">
        <f>--($K1253=IF('الداشبورد'!$B$7="الكل",$K1253,IF('الداشبورد'!$B$7="تصدير","Y","N")))</f>
        <v/>
      </c>
      <c r="T1253">
        <f>--($J1253=IF('الداشبورد'!$B$8="الكل",$J1253,IF('الداشبورد'!$B$8="AL","A","C")))</f>
        <v/>
      </c>
      <c r="U1253">
        <f>--($I1253=IF('الداشبورد'!$B$9="الكل",$I1253,IF('الداشبورد'!$B$9="بدون حالة","P",'الداشبورد'!$B$9)))</f>
        <v/>
      </c>
      <c r="V1253">
        <f>--($D1253=IF('الداشبورد'!$B$10="الكل",$D1253,'الداشبورد'!$B$10))</f>
        <v/>
      </c>
      <c r="W1253">
        <f>--($G1253=IF('الداشبورد'!$B$11="الكل",$G1253,'الداشبورد'!$B$11))</f>
        <v/>
      </c>
      <c r="X1253">
        <f>Q1253*R1253*S1253*T1253*U1253*V1253*W1253*--($C1253&lt;&gt;"")</f>
        <v/>
      </c>
    </row>
    <row r="1254">
      <c r="Q1254">
        <f>--($A1254=IF('الداشبورد'!$B$5="الكل",$A1254,'الداشبورد'!$B$5))</f>
        <v/>
      </c>
      <c r="R1254">
        <f>--($E1254=IF('الداشبورد'!$B$6="الكل",$E1254,'الداشبورد'!$B$6))</f>
        <v/>
      </c>
      <c r="S1254">
        <f>--($K1254=IF('الداشبورد'!$B$7="الكل",$K1254,IF('الداشبورد'!$B$7="تصدير","Y","N")))</f>
        <v/>
      </c>
      <c r="T1254">
        <f>--($J1254=IF('الداشبورد'!$B$8="الكل",$J1254,IF('الداشبورد'!$B$8="AL","A","C")))</f>
        <v/>
      </c>
      <c r="U1254">
        <f>--($I1254=IF('الداشبورد'!$B$9="الكل",$I1254,IF('الداشبورد'!$B$9="بدون حالة","P",'الداشبورد'!$B$9)))</f>
        <v/>
      </c>
      <c r="V1254">
        <f>--($D1254=IF('الداشبورد'!$B$10="الكل",$D1254,'الداشبورد'!$B$10))</f>
        <v/>
      </c>
      <c r="W1254">
        <f>--($G1254=IF('الداشبورد'!$B$11="الكل",$G1254,'الداشبورد'!$B$11))</f>
        <v/>
      </c>
      <c r="X1254">
        <f>Q1254*R1254*S1254*T1254*U1254*V1254*W1254*--($C1254&lt;&gt;"")</f>
        <v/>
      </c>
    </row>
    <row r="1255">
      <c r="Q1255">
        <f>--($A1255=IF('الداشبورد'!$B$5="الكل",$A1255,'الداشبورد'!$B$5))</f>
        <v/>
      </c>
      <c r="R1255">
        <f>--($E1255=IF('الداشبورد'!$B$6="الكل",$E1255,'الداشبورد'!$B$6))</f>
        <v/>
      </c>
      <c r="S1255">
        <f>--($K1255=IF('الداشبورد'!$B$7="الكل",$K1255,IF('الداشبورد'!$B$7="تصدير","Y","N")))</f>
        <v/>
      </c>
      <c r="T1255">
        <f>--($J1255=IF('الداشبورد'!$B$8="الكل",$J1255,IF('الداشبورد'!$B$8="AL","A","C")))</f>
        <v/>
      </c>
      <c r="U1255">
        <f>--($I1255=IF('الداشبورد'!$B$9="الكل",$I1255,IF('الداشبورد'!$B$9="بدون حالة","P",'الداشبورد'!$B$9)))</f>
        <v/>
      </c>
      <c r="V1255">
        <f>--($D1255=IF('الداشبورد'!$B$10="الكل",$D1255,'الداشبورد'!$B$10))</f>
        <v/>
      </c>
      <c r="W1255">
        <f>--($G1255=IF('الداشبورد'!$B$11="الكل",$G1255,'الداشبورد'!$B$11))</f>
        <v/>
      </c>
      <c r="X1255">
        <f>Q1255*R1255*S1255*T1255*U1255*V1255*W1255*--($C1255&lt;&gt;"")</f>
        <v/>
      </c>
    </row>
    <row r="1256">
      <c r="Q1256">
        <f>--($A1256=IF('الداشبورد'!$B$5="الكل",$A1256,'الداشبورد'!$B$5))</f>
        <v/>
      </c>
      <c r="R1256">
        <f>--($E1256=IF('الداشبورد'!$B$6="الكل",$E1256,'الداشبورد'!$B$6))</f>
        <v/>
      </c>
      <c r="S1256">
        <f>--($K1256=IF('الداشبورد'!$B$7="الكل",$K1256,IF('الداشبورد'!$B$7="تصدير","Y","N")))</f>
        <v/>
      </c>
      <c r="T1256">
        <f>--($J1256=IF('الداشبورد'!$B$8="الكل",$J1256,IF('الداشبورد'!$B$8="AL","A","C")))</f>
        <v/>
      </c>
      <c r="U1256">
        <f>--($I1256=IF('الداشبورد'!$B$9="الكل",$I1256,IF('الداشبورد'!$B$9="بدون حالة","P",'الداشبورد'!$B$9)))</f>
        <v/>
      </c>
      <c r="V1256">
        <f>--($D1256=IF('الداشبورد'!$B$10="الكل",$D1256,'الداشبورد'!$B$10))</f>
        <v/>
      </c>
      <c r="W1256">
        <f>--($G1256=IF('الداشبورد'!$B$11="الكل",$G1256,'الداشبورد'!$B$11))</f>
        <v/>
      </c>
      <c r="X1256">
        <f>Q1256*R1256*S1256*T1256*U1256*V1256*W1256*--($C1256&lt;&gt;"")</f>
        <v/>
      </c>
    </row>
    <row r="1257">
      <c r="Q1257">
        <f>--($A1257=IF('الداشبورد'!$B$5="الكل",$A1257,'الداشبورد'!$B$5))</f>
        <v/>
      </c>
      <c r="R1257">
        <f>--($E1257=IF('الداشبورد'!$B$6="الكل",$E1257,'الداشبورد'!$B$6))</f>
        <v/>
      </c>
      <c r="S1257">
        <f>--($K1257=IF('الداشبورد'!$B$7="الكل",$K1257,IF('الداشبورد'!$B$7="تصدير","Y","N")))</f>
        <v/>
      </c>
      <c r="T1257">
        <f>--($J1257=IF('الداشبورد'!$B$8="الكل",$J1257,IF('الداشبورد'!$B$8="AL","A","C")))</f>
        <v/>
      </c>
      <c r="U1257">
        <f>--($I1257=IF('الداشبورد'!$B$9="الكل",$I1257,IF('الداشبورد'!$B$9="بدون حالة","P",'الداشبورد'!$B$9)))</f>
        <v/>
      </c>
      <c r="V1257">
        <f>--($D1257=IF('الداشبورد'!$B$10="الكل",$D1257,'الداشبورد'!$B$10))</f>
        <v/>
      </c>
      <c r="W1257">
        <f>--($G1257=IF('الداشبورد'!$B$11="الكل",$G1257,'الداشبورد'!$B$11))</f>
        <v/>
      </c>
      <c r="X1257">
        <f>Q1257*R1257*S1257*T1257*U1257*V1257*W1257*--($C1257&lt;&gt;"")</f>
        <v/>
      </c>
    </row>
    <row r="1258">
      <c r="Q1258">
        <f>--($A1258=IF('الداشبورد'!$B$5="الكل",$A1258,'الداشبورد'!$B$5))</f>
        <v/>
      </c>
      <c r="R1258">
        <f>--($E1258=IF('الداشبورد'!$B$6="الكل",$E1258,'الداشبورد'!$B$6))</f>
        <v/>
      </c>
      <c r="S1258">
        <f>--($K1258=IF('الداشبورد'!$B$7="الكل",$K1258,IF('الداشبورد'!$B$7="تصدير","Y","N")))</f>
        <v/>
      </c>
      <c r="T1258">
        <f>--($J1258=IF('الداشبورد'!$B$8="الكل",$J1258,IF('الداشبورد'!$B$8="AL","A","C")))</f>
        <v/>
      </c>
      <c r="U1258">
        <f>--($I1258=IF('الداشبورد'!$B$9="الكل",$I1258,IF('الداشبورد'!$B$9="بدون حالة","P",'الداشبورد'!$B$9)))</f>
        <v/>
      </c>
      <c r="V1258">
        <f>--($D1258=IF('الداشبورد'!$B$10="الكل",$D1258,'الداشبورد'!$B$10))</f>
        <v/>
      </c>
      <c r="W1258">
        <f>--($G1258=IF('الداشبورد'!$B$11="الكل",$G1258,'الداشبورد'!$B$11))</f>
        <v/>
      </c>
      <c r="X1258">
        <f>Q1258*R1258*S1258*T1258*U1258*V1258*W1258*--($C1258&lt;&gt;"")</f>
        <v/>
      </c>
    </row>
    <row r="1259">
      <c r="Q1259">
        <f>--($A1259=IF('الداشبورد'!$B$5="الكل",$A1259,'الداشبورد'!$B$5))</f>
        <v/>
      </c>
      <c r="R1259">
        <f>--($E1259=IF('الداشبورد'!$B$6="الكل",$E1259,'الداشبورد'!$B$6))</f>
        <v/>
      </c>
      <c r="S1259">
        <f>--($K1259=IF('الداشبورد'!$B$7="الكل",$K1259,IF('الداشبورد'!$B$7="تصدير","Y","N")))</f>
        <v/>
      </c>
      <c r="T1259">
        <f>--($J1259=IF('الداشبورد'!$B$8="الكل",$J1259,IF('الداشبورد'!$B$8="AL","A","C")))</f>
        <v/>
      </c>
      <c r="U1259">
        <f>--($I1259=IF('الداشبورد'!$B$9="الكل",$I1259,IF('الداشبورد'!$B$9="بدون حالة","P",'الداشبورد'!$B$9)))</f>
        <v/>
      </c>
      <c r="V1259">
        <f>--($D1259=IF('الداشبورد'!$B$10="الكل",$D1259,'الداشبورد'!$B$10))</f>
        <v/>
      </c>
      <c r="W1259">
        <f>--($G1259=IF('الداشبورد'!$B$11="الكل",$G1259,'الداشبورد'!$B$11))</f>
        <v/>
      </c>
      <c r="X1259">
        <f>Q1259*R1259*S1259*T1259*U1259*V1259*W1259*--($C1259&lt;&gt;"")</f>
        <v/>
      </c>
    </row>
    <row r="1260">
      <c r="Q1260">
        <f>--($A1260=IF('الداشبورد'!$B$5="الكل",$A1260,'الداشبورد'!$B$5))</f>
        <v/>
      </c>
      <c r="R1260">
        <f>--($E1260=IF('الداشبورد'!$B$6="الكل",$E1260,'الداشبورد'!$B$6))</f>
        <v/>
      </c>
      <c r="S1260">
        <f>--($K1260=IF('الداشبورد'!$B$7="الكل",$K1260,IF('الداشبورد'!$B$7="تصدير","Y","N")))</f>
        <v/>
      </c>
      <c r="T1260">
        <f>--($J1260=IF('الداشبورد'!$B$8="الكل",$J1260,IF('الداشبورد'!$B$8="AL","A","C")))</f>
        <v/>
      </c>
      <c r="U1260">
        <f>--($I1260=IF('الداشبورد'!$B$9="الكل",$I1260,IF('الداشبورد'!$B$9="بدون حالة","P",'الداشبورد'!$B$9)))</f>
        <v/>
      </c>
      <c r="V1260">
        <f>--($D1260=IF('الداشبورد'!$B$10="الكل",$D1260,'الداشبورد'!$B$10))</f>
        <v/>
      </c>
      <c r="W1260">
        <f>--($G1260=IF('الداشبورد'!$B$11="الكل",$G1260,'الداشبورد'!$B$11))</f>
        <v/>
      </c>
      <c r="X1260">
        <f>Q1260*R1260*S1260*T1260*U1260*V1260*W1260*--($C1260&lt;&gt;"")</f>
        <v/>
      </c>
    </row>
    <row r="1261">
      <c r="Q1261">
        <f>--($A1261=IF('الداشبورد'!$B$5="الكل",$A1261,'الداشبورد'!$B$5))</f>
        <v/>
      </c>
      <c r="R1261">
        <f>--($E1261=IF('الداشبورد'!$B$6="الكل",$E1261,'الداشبورد'!$B$6))</f>
        <v/>
      </c>
      <c r="S1261">
        <f>--($K1261=IF('الداشبورد'!$B$7="الكل",$K1261,IF('الداشبورد'!$B$7="تصدير","Y","N")))</f>
        <v/>
      </c>
      <c r="T1261">
        <f>--($J1261=IF('الداشبورد'!$B$8="الكل",$J1261,IF('الداشبورد'!$B$8="AL","A","C")))</f>
        <v/>
      </c>
      <c r="U1261">
        <f>--($I1261=IF('الداشبورد'!$B$9="الكل",$I1261,IF('الداشبورد'!$B$9="بدون حالة","P",'الداشبورد'!$B$9)))</f>
        <v/>
      </c>
      <c r="V1261">
        <f>--($D1261=IF('الداشبورد'!$B$10="الكل",$D1261,'الداشبورد'!$B$10))</f>
        <v/>
      </c>
      <c r="W1261">
        <f>--($G1261=IF('الداشبورد'!$B$11="الكل",$G1261,'الداشبورد'!$B$11))</f>
        <v/>
      </c>
      <c r="X1261">
        <f>Q1261*R1261*S1261*T1261*U1261*V1261*W1261*--($C1261&lt;&gt;"")</f>
        <v/>
      </c>
    </row>
    <row r="1262">
      <c r="Q1262">
        <f>--($A1262=IF('الداشبورد'!$B$5="الكل",$A1262,'الداشبورد'!$B$5))</f>
        <v/>
      </c>
      <c r="R1262">
        <f>--($E1262=IF('الداشبورد'!$B$6="الكل",$E1262,'الداشبورد'!$B$6))</f>
        <v/>
      </c>
      <c r="S1262">
        <f>--($K1262=IF('الداشبورد'!$B$7="الكل",$K1262,IF('الداشبورد'!$B$7="تصدير","Y","N")))</f>
        <v/>
      </c>
      <c r="T1262">
        <f>--($J1262=IF('الداشبورد'!$B$8="الكل",$J1262,IF('الداشبورد'!$B$8="AL","A","C")))</f>
        <v/>
      </c>
      <c r="U1262">
        <f>--($I1262=IF('الداشبورد'!$B$9="الكل",$I1262,IF('الداشبورد'!$B$9="بدون حالة","P",'الداشبورد'!$B$9)))</f>
        <v/>
      </c>
      <c r="V1262">
        <f>--($D1262=IF('الداشبورد'!$B$10="الكل",$D1262,'الداشبورد'!$B$10))</f>
        <v/>
      </c>
      <c r="W1262">
        <f>--($G1262=IF('الداشبورد'!$B$11="الكل",$G1262,'الداشبورد'!$B$11))</f>
        <v/>
      </c>
      <c r="X1262">
        <f>Q1262*R1262*S1262*T1262*U1262*V1262*W1262*--($C1262&lt;&gt;"")</f>
        <v/>
      </c>
    </row>
    <row r="1263">
      <c r="Q1263">
        <f>--($A1263=IF('الداشبورد'!$B$5="الكل",$A1263,'الداشبورد'!$B$5))</f>
        <v/>
      </c>
      <c r="R1263">
        <f>--($E1263=IF('الداشبورد'!$B$6="الكل",$E1263,'الداشبورد'!$B$6))</f>
        <v/>
      </c>
      <c r="S1263">
        <f>--($K1263=IF('الداشبورد'!$B$7="الكل",$K1263,IF('الداشبورد'!$B$7="تصدير","Y","N")))</f>
        <v/>
      </c>
      <c r="T1263">
        <f>--($J1263=IF('الداشبورد'!$B$8="الكل",$J1263,IF('الداشبورد'!$B$8="AL","A","C")))</f>
        <v/>
      </c>
      <c r="U1263">
        <f>--($I1263=IF('الداشبورد'!$B$9="الكل",$I1263,IF('الداشبورد'!$B$9="بدون حالة","P",'الداشبورد'!$B$9)))</f>
        <v/>
      </c>
      <c r="V1263">
        <f>--($D1263=IF('الداشبورد'!$B$10="الكل",$D1263,'الداشبورد'!$B$10))</f>
        <v/>
      </c>
      <c r="W1263">
        <f>--($G1263=IF('الداشبورد'!$B$11="الكل",$G1263,'الداشبورد'!$B$11))</f>
        <v/>
      </c>
      <c r="X1263">
        <f>Q1263*R1263*S1263*T1263*U1263*V1263*W1263*--($C1263&lt;&gt;"")</f>
        <v/>
      </c>
    </row>
    <row r="1264">
      <c r="Q1264">
        <f>--($A1264=IF('الداشبورد'!$B$5="الكل",$A1264,'الداشبورد'!$B$5))</f>
        <v/>
      </c>
      <c r="R1264">
        <f>--($E1264=IF('الداشبورد'!$B$6="الكل",$E1264,'الداشبورد'!$B$6))</f>
        <v/>
      </c>
      <c r="S1264">
        <f>--($K1264=IF('الداشبورد'!$B$7="الكل",$K1264,IF('الداشبورد'!$B$7="تصدير","Y","N")))</f>
        <v/>
      </c>
      <c r="T1264">
        <f>--($J1264=IF('الداشبورد'!$B$8="الكل",$J1264,IF('الداشبورد'!$B$8="AL","A","C")))</f>
        <v/>
      </c>
      <c r="U1264">
        <f>--($I1264=IF('الداشبورد'!$B$9="الكل",$I1264,IF('الداشبورد'!$B$9="بدون حالة","P",'الداشبورد'!$B$9)))</f>
        <v/>
      </c>
      <c r="V1264">
        <f>--($D1264=IF('الداشبورد'!$B$10="الكل",$D1264,'الداشبورد'!$B$10))</f>
        <v/>
      </c>
      <c r="W1264">
        <f>--($G1264=IF('الداشبورد'!$B$11="الكل",$G1264,'الداشبورد'!$B$11))</f>
        <v/>
      </c>
      <c r="X1264">
        <f>Q1264*R1264*S1264*T1264*U1264*V1264*W1264*--($C1264&lt;&gt;"")</f>
        <v/>
      </c>
    </row>
    <row r="1265">
      <c r="Q1265">
        <f>--($A1265=IF('الداشبورد'!$B$5="الكل",$A1265,'الداشبورد'!$B$5))</f>
        <v/>
      </c>
      <c r="R1265">
        <f>--($E1265=IF('الداشبورد'!$B$6="الكل",$E1265,'الداشبورد'!$B$6))</f>
        <v/>
      </c>
      <c r="S1265">
        <f>--($K1265=IF('الداشبورد'!$B$7="الكل",$K1265,IF('الداشبورد'!$B$7="تصدير","Y","N")))</f>
        <v/>
      </c>
      <c r="T1265">
        <f>--($J1265=IF('الداشبورد'!$B$8="الكل",$J1265,IF('الداشبورد'!$B$8="AL","A","C")))</f>
        <v/>
      </c>
      <c r="U1265">
        <f>--($I1265=IF('الداشبورد'!$B$9="الكل",$I1265,IF('الداشبورد'!$B$9="بدون حالة","P",'الداشبورد'!$B$9)))</f>
        <v/>
      </c>
      <c r="V1265">
        <f>--($D1265=IF('الداشبورد'!$B$10="الكل",$D1265,'الداشبورد'!$B$10))</f>
        <v/>
      </c>
      <c r="W1265">
        <f>--($G1265=IF('الداشبورد'!$B$11="الكل",$G1265,'الداشبورد'!$B$11))</f>
        <v/>
      </c>
      <c r="X1265">
        <f>Q1265*R1265*S1265*T1265*U1265*V1265*W1265*--($C1265&lt;&gt;"")</f>
        <v/>
      </c>
    </row>
    <row r="1266">
      <c r="Q1266">
        <f>--($A1266=IF('الداشبورد'!$B$5="الكل",$A1266,'الداشبورد'!$B$5))</f>
        <v/>
      </c>
      <c r="R1266">
        <f>--($E1266=IF('الداشبورد'!$B$6="الكل",$E1266,'الداشبورد'!$B$6))</f>
        <v/>
      </c>
      <c r="S1266">
        <f>--($K1266=IF('الداشبورد'!$B$7="الكل",$K1266,IF('الداشبورد'!$B$7="تصدير","Y","N")))</f>
        <v/>
      </c>
      <c r="T1266">
        <f>--($J1266=IF('الداشبورد'!$B$8="الكل",$J1266,IF('الداشبورد'!$B$8="AL","A","C")))</f>
        <v/>
      </c>
      <c r="U1266">
        <f>--($I1266=IF('الداشبورد'!$B$9="الكل",$I1266,IF('الداشبورد'!$B$9="بدون حالة","P",'الداشبورد'!$B$9)))</f>
        <v/>
      </c>
      <c r="V1266">
        <f>--($D1266=IF('الداشبورد'!$B$10="الكل",$D1266,'الداشبورد'!$B$10))</f>
        <v/>
      </c>
      <c r="W1266">
        <f>--($G1266=IF('الداشبورد'!$B$11="الكل",$G1266,'الداشبورد'!$B$11))</f>
        <v/>
      </c>
      <c r="X1266">
        <f>Q1266*R1266*S1266*T1266*U1266*V1266*W1266*--($C1266&lt;&gt;"")</f>
        <v/>
      </c>
    </row>
    <row r="1267">
      <c r="Q1267">
        <f>--($A1267=IF('الداشبورد'!$B$5="الكل",$A1267,'الداشبورد'!$B$5))</f>
        <v/>
      </c>
      <c r="R1267">
        <f>--($E1267=IF('الداشبورد'!$B$6="الكل",$E1267,'الداشبورد'!$B$6))</f>
        <v/>
      </c>
      <c r="S1267">
        <f>--($K1267=IF('الداشبورد'!$B$7="الكل",$K1267,IF('الداشبورد'!$B$7="تصدير","Y","N")))</f>
        <v/>
      </c>
      <c r="T1267">
        <f>--($J1267=IF('الداشبورد'!$B$8="الكل",$J1267,IF('الداشبورد'!$B$8="AL","A","C")))</f>
        <v/>
      </c>
      <c r="U1267">
        <f>--($I1267=IF('الداشبورد'!$B$9="الكل",$I1267,IF('الداشبورد'!$B$9="بدون حالة","P",'الداشبورد'!$B$9)))</f>
        <v/>
      </c>
      <c r="V1267">
        <f>--($D1267=IF('الداشبورد'!$B$10="الكل",$D1267,'الداشبورد'!$B$10))</f>
        <v/>
      </c>
      <c r="W1267">
        <f>--($G1267=IF('الداشبورد'!$B$11="الكل",$G1267,'الداشبورد'!$B$11))</f>
        <v/>
      </c>
      <c r="X1267">
        <f>Q1267*R1267*S1267*T1267*U1267*V1267*W1267*--($C1267&lt;&gt;"")</f>
        <v/>
      </c>
    </row>
    <row r="1268">
      <c r="Q1268">
        <f>--($A1268=IF('الداشبورد'!$B$5="الكل",$A1268,'الداشبورد'!$B$5))</f>
        <v/>
      </c>
      <c r="R1268">
        <f>--($E1268=IF('الداشبورد'!$B$6="الكل",$E1268,'الداشبورد'!$B$6))</f>
        <v/>
      </c>
      <c r="S1268">
        <f>--($K1268=IF('الداشبورد'!$B$7="الكل",$K1268,IF('الداشبورد'!$B$7="تصدير","Y","N")))</f>
        <v/>
      </c>
      <c r="T1268">
        <f>--($J1268=IF('الداشبورد'!$B$8="الكل",$J1268,IF('الداشبورد'!$B$8="AL","A","C")))</f>
        <v/>
      </c>
      <c r="U1268">
        <f>--($I1268=IF('الداشبورد'!$B$9="الكل",$I1268,IF('الداشبورد'!$B$9="بدون حالة","P",'الداشبورد'!$B$9)))</f>
        <v/>
      </c>
      <c r="V1268">
        <f>--($D1268=IF('الداشبورد'!$B$10="الكل",$D1268,'الداشبورد'!$B$10))</f>
        <v/>
      </c>
      <c r="W1268">
        <f>--($G1268=IF('الداشبورد'!$B$11="الكل",$G1268,'الداشبورد'!$B$11))</f>
        <v/>
      </c>
      <c r="X1268">
        <f>Q1268*R1268*S1268*T1268*U1268*V1268*W1268*--($C1268&lt;&gt;"")</f>
        <v/>
      </c>
    </row>
    <row r="1269">
      <c r="Q1269">
        <f>--($A1269=IF('الداشبورد'!$B$5="الكل",$A1269,'الداشبورد'!$B$5))</f>
        <v/>
      </c>
      <c r="R1269">
        <f>--($E1269=IF('الداشبورد'!$B$6="الكل",$E1269,'الداشبورد'!$B$6))</f>
        <v/>
      </c>
      <c r="S1269">
        <f>--($K1269=IF('الداشبورد'!$B$7="الكل",$K1269,IF('الداشبورد'!$B$7="تصدير","Y","N")))</f>
        <v/>
      </c>
      <c r="T1269">
        <f>--($J1269=IF('الداشبورد'!$B$8="الكل",$J1269,IF('الداشبورد'!$B$8="AL","A","C")))</f>
        <v/>
      </c>
      <c r="U1269">
        <f>--($I1269=IF('الداشبورد'!$B$9="الكل",$I1269,IF('الداشبورد'!$B$9="بدون حالة","P",'الداشبورد'!$B$9)))</f>
        <v/>
      </c>
      <c r="V1269">
        <f>--($D1269=IF('الداشبورد'!$B$10="الكل",$D1269,'الداشبورد'!$B$10))</f>
        <v/>
      </c>
      <c r="W1269">
        <f>--($G1269=IF('الداشبورد'!$B$11="الكل",$G1269,'الداشبورد'!$B$11))</f>
        <v/>
      </c>
      <c r="X1269">
        <f>Q1269*R1269*S1269*T1269*U1269*V1269*W1269*--($C1269&lt;&gt;"")</f>
        <v/>
      </c>
    </row>
    <row r="1270">
      <c r="Q1270">
        <f>--($A1270=IF('الداشبورد'!$B$5="الكل",$A1270,'الداشبورد'!$B$5))</f>
        <v/>
      </c>
      <c r="R1270">
        <f>--($E1270=IF('الداشبورد'!$B$6="الكل",$E1270,'الداشبورد'!$B$6))</f>
        <v/>
      </c>
      <c r="S1270">
        <f>--($K1270=IF('الداشبورد'!$B$7="الكل",$K1270,IF('الداشبورد'!$B$7="تصدير","Y","N")))</f>
        <v/>
      </c>
      <c r="T1270">
        <f>--($J1270=IF('الداشبورد'!$B$8="الكل",$J1270,IF('الداشبورد'!$B$8="AL","A","C")))</f>
        <v/>
      </c>
      <c r="U1270">
        <f>--($I1270=IF('الداشبورد'!$B$9="الكل",$I1270,IF('الداشبورد'!$B$9="بدون حالة","P",'الداشبورد'!$B$9)))</f>
        <v/>
      </c>
      <c r="V1270">
        <f>--($D1270=IF('الداشبورد'!$B$10="الكل",$D1270,'الداشبورد'!$B$10))</f>
        <v/>
      </c>
      <c r="W1270">
        <f>--($G1270=IF('الداشبورد'!$B$11="الكل",$G1270,'الداشبورد'!$B$11))</f>
        <v/>
      </c>
      <c r="X1270">
        <f>Q1270*R1270*S1270*T1270*U1270*V1270*W1270*--($C1270&lt;&gt;"")</f>
        <v/>
      </c>
    </row>
    <row r="1271">
      <c r="Q1271">
        <f>--($A1271=IF('الداشبورد'!$B$5="الكل",$A1271,'الداشبورد'!$B$5))</f>
        <v/>
      </c>
      <c r="R1271">
        <f>--($E1271=IF('الداشبورد'!$B$6="الكل",$E1271,'الداشبورد'!$B$6))</f>
        <v/>
      </c>
      <c r="S1271">
        <f>--($K1271=IF('الداشبورد'!$B$7="الكل",$K1271,IF('الداشبورد'!$B$7="تصدير","Y","N")))</f>
        <v/>
      </c>
      <c r="T1271">
        <f>--($J1271=IF('الداشبورد'!$B$8="الكل",$J1271,IF('الداشبورد'!$B$8="AL","A","C")))</f>
        <v/>
      </c>
      <c r="U1271">
        <f>--($I1271=IF('الداشبورد'!$B$9="الكل",$I1271,IF('الداشبورد'!$B$9="بدون حالة","P",'الداشبورد'!$B$9)))</f>
        <v/>
      </c>
      <c r="V1271">
        <f>--($D1271=IF('الداشبورد'!$B$10="الكل",$D1271,'الداشبورد'!$B$10))</f>
        <v/>
      </c>
      <c r="W1271">
        <f>--($G1271=IF('الداشبورد'!$B$11="الكل",$G1271,'الداشبورد'!$B$11))</f>
        <v/>
      </c>
      <c r="X1271">
        <f>Q1271*R1271*S1271*T1271*U1271*V1271*W1271*--($C1271&lt;&gt;"")</f>
        <v/>
      </c>
    </row>
    <row r="1272">
      <c r="Q1272">
        <f>--($A1272=IF('الداشبورد'!$B$5="الكل",$A1272,'الداشبورد'!$B$5))</f>
        <v/>
      </c>
      <c r="R1272">
        <f>--($E1272=IF('الداشبورد'!$B$6="الكل",$E1272,'الداشبورد'!$B$6))</f>
        <v/>
      </c>
      <c r="S1272">
        <f>--($K1272=IF('الداشبورد'!$B$7="الكل",$K1272,IF('الداشبورد'!$B$7="تصدير","Y","N")))</f>
        <v/>
      </c>
      <c r="T1272">
        <f>--($J1272=IF('الداشبورد'!$B$8="الكل",$J1272,IF('الداشبورد'!$B$8="AL","A","C")))</f>
        <v/>
      </c>
      <c r="U1272">
        <f>--($I1272=IF('الداشبورد'!$B$9="الكل",$I1272,IF('الداشبورد'!$B$9="بدون حالة","P",'الداشبورد'!$B$9)))</f>
        <v/>
      </c>
      <c r="V1272">
        <f>--($D1272=IF('الداشبورد'!$B$10="الكل",$D1272,'الداشبورد'!$B$10))</f>
        <v/>
      </c>
      <c r="W1272">
        <f>--($G1272=IF('الداشبورد'!$B$11="الكل",$G1272,'الداشبورد'!$B$11))</f>
        <v/>
      </c>
      <c r="X1272">
        <f>Q1272*R1272*S1272*T1272*U1272*V1272*W1272*--($C1272&lt;&gt;"")</f>
        <v/>
      </c>
    </row>
    <row r="1273">
      <c r="Q1273">
        <f>--($A1273=IF('الداشبورد'!$B$5="الكل",$A1273,'الداشبورد'!$B$5))</f>
        <v/>
      </c>
      <c r="R1273">
        <f>--($E1273=IF('الداشبورد'!$B$6="الكل",$E1273,'الداشبورد'!$B$6))</f>
        <v/>
      </c>
      <c r="S1273">
        <f>--($K1273=IF('الداشبورد'!$B$7="الكل",$K1273,IF('الداشبورد'!$B$7="تصدير","Y","N")))</f>
        <v/>
      </c>
      <c r="T1273">
        <f>--($J1273=IF('الداشبورد'!$B$8="الكل",$J1273,IF('الداشبورد'!$B$8="AL","A","C")))</f>
        <v/>
      </c>
      <c r="U1273">
        <f>--($I1273=IF('الداشبورد'!$B$9="الكل",$I1273,IF('الداشبورد'!$B$9="بدون حالة","P",'الداشبورد'!$B$9)))</f>
        <v/>
      </c>
      <c r="V1273">
        <f>--($D1273=IF('الداشبورد'!$B$10="الكل",$D1273,'الداشبورد'!$B$10))</f>
        <v/>
      </c>
      <c r="W1273">
        <f>--($G1273=IF('الداشبورد'!$B$11="الكل",$G1273,'الداشبورد'!$B$11))</f>
        <v/>
      </c>
      <c r="X1273">
        <f>Q1273*R1273*S1273*T1273*U1273*V1273*W1273*--($C1273&lt;&gt;"")</f>
        <v/>
      </c>
    </row>
    <row r="1274">
      <c r="Q1274">
        <f>--($A1274=IF('الداشبورد'!$B$5="الكل",$A1274,'الداشبورد'!$B$5))</f>
        <v/>
      </c>
      <c r="R1274">
        <f>--($E1274=IF('الداشبورد'!$B$6="الكل",$E1274,'الداشبورد'!$B$6))</f>
        <v/>
      </c>
      <c r="S1274">
        <f>--($K1274=IF('الداشبورد'!$B$7="الكل",$K1274,IF('الداشبورد'!$B$7="تصدير","Y","N")))</f>
        <v/>
      </c>
      <c r="T1274">
        <f>--($J1274=IF('الداشبورد'!$B$8="الكل",$J1274,IF('الداشبورد'!$B$8="AL","A","C")))</f>
        <v/>
      </c>
      <c r="U1274">
        <f>--($I1274=IF('الداشبورد'!$B$9="الكل",$I1274,IF('الداشبورد'!$B$9="بدون حالة","P",'الداشبورد'!$B$9)))</f>
        <v/>
      </c>
      <c r="V1274">
        <f>--($D1274=IF('الداشبورد'!$B$10="الكل",$D1274,'الداشبورد'!$B$10))</f>
        <v/>
      </c>
      <c r="W1274">
        <f>--($G1274=IF('الداشبورد'!$B$11="الكل",$G1274,'الداشبورد'!$B$11))</f>
        <v/>
      </c>
      <c r="X1274">
        <f>Q1274*R1274*S1274*T1274*U1274*V1274*W1274*--($C1274&lt;&gt;"")</f>
        <v/>
      </c>
    </row>
    <row r="1275">
      <c r="Q1275">
        <f>--($A1275=IF('الداشبورد'!$B$5="الكل",$A1275,'الداشبورد'!$B$5))</f>
        <v/>
      </c>
      <c r="R1275">
        <f>--($E1275=IF('الداشبورد'!$B$6="الكل",$E1275,'الداشبورد'!$B$6))</f>
        <v/>
      </c>
      <c r="S1275">
        <f>--($K1275=IF('الداشبورد'!$B$7="الكل",$K1275,IF('الداشبورد'!$B$7="تصدير","Y","N")))</f>
        <v/>
      </c>
      <c r="T1275">
        <f>--($J1275=IF('الداشبورد'!$B$8="الكل",$J1275,IF('الداشبورد'!$B$8="AL","A","C")))</f>
        <v/>
      </c>
      <c r="U1275">
        <f>--($I1275=IF('الداشبورد'!$B$9="الكل",$I1275,IF('الداشبورد'!$B$9="بدون حالة","P",'الداشبورد'!$B$9)))</f>
        <v/>
      </c>
      <c r="V1275">
        <f>--($D1275=IF('الداشبورد'!$B$10="الكل",$D1275,'الداشبورد'!$B$10))</f>
        <v/>
      </c>
      <c r="W1275">
        <f>--($G1275=IF('الداشبورد'!$B$11="الكل",$G1275,'الداشبورد'!$B$11))</f>
        <v/>
      </c>
      <c r="X1275">
        <f>Q1275*R1275*S1275*T1275*U1275*V1275*W1275*--($C1275&lt;&gt;"")</f>
        <v/>
      </c>
    </row>
    <row r="1276">
      <c r="Q1276">
        <f>--($A1276=IF('الداشبورد'!$B$5="الكل",$A1276,'الداشبورد'!$B$5))</f>
        <v/>
      </c>
      <c r="R1276">
        <f>--($E1276=IF('الداشبورد'!$B$6="الكل",$E1276,'الداشبورد'!$B$6))</f>
        <v/>
      </c>
      <c r="S1276">
        <f>--($K1276=IF('الداشبورد'!$B$7="الكل",$K1276,IF('الداشبورد'!$B$7="تصدير","Y","N")))</f>
        <v/>
      </c>
      <c r="T1276">
        <f>--($J1276=IF('الداشبورد'!$B$8="الكل",$J1276,IF('الداشبورد'!$B$8="AL","A","C")))</f>
        <v/>
      </c>
      <c r="U1276">
        <f>--($I1276=IF('الداشبورد'!$B$9="الكل",$I1276,IF('الداشبورد'!$B$9="بدون حالة","P",'الداشبورد'!$B$9)))</f>
        <v/>
      </c>
      <c r="V1276">
        <f>--($D1276=IF('الداشبورد'!$B$10="الكل",$D1276,'الداشبورد'!$B$10))</f>
        <v/>
      </c>
      <c r="W1276">
        <f>--($G1276=IF('الداشبورد'!$B$11="الكل",$G1276,'الداشبورد'!$B$11))</f>
        <v/>
      </c>
      <c r="X1276">
        <f>Q1276*R1276*S1276*T1276*U1276*V1276*W1276*--($C1276&lt;&gt;"")</f>
        <v/>
      </c>
    </row>
    <row r="1277">
      <c r="Q1277">
        <f>--($A1277=IF('الداشبورد'!$B$5="الكل",$A1277,'الداشبورد'!$B$5))</f>
        <v/>
      </c>
      <c r="R1277">
        <f>--($E1277=IF('الداشبورد'!$B$6="الكل",$E1277,'الداشبورد'!$B$6))</f>
        <v/>
      </c>
      <c r="S1277">
        <f>--($K1277=IF('الداشبورد'!$B$7="الكل",$K1277,IF('الداشبورد'!$B$7="تصدير","Y","N")))</f>
        <v/>
      </c>
      <c r="T1277">
        <f>--($J1277=IF('الداشبورد'!$B$8="الكل",$J1277,IF('الداشبورد'!$B$8="AL","A","C")))</f>
        <v/>
      </c>
      <c r="U1277">
        <f>--($I1277=IF('الداشبورد'!$B$9="الكل",$I1277,IF('الداشبورد'!$B$9="بدون حالة","P",'الداشبورد'!$B$9)))</f>
        <v/>
      </c>
      <c r="V1277">
        <f>--($D1277=IF('الداشبورد'!$B$10="الكل",$D1277,'الداشبورد'!$B$10))</f>
        <v/>
      </c>
      <c r="W1277">
        <f>--($G1277=IF('الداشبورد'!$B$11="الكل",$G1277,'الداشبورد'!$B$11))</f>
        <v/>
      </c>
      <c r="X1277">
        <f>Q1277*R1277*S1277*T1277*U1277*V1277*W1277*--($C1277&lt;&gt;"")</f>
        <v/>
      </c>
    </row>
    <row r="1278">
      <c r="Q1278">
        <f>--($A1278=IF('الداشبورد'!$B$5="الكل",$A1278,'الداشبورد'!$B$5))</f>
        <v/>
      </c>
      <c r="R1278">
        <f>--($E1278=IF('الداشبورد'!$B$6="الكل",$E1278,'الداشبورد'!$B$6))</f>
        <v/>
      </c>
      <c r="S1278">
        <f>--($K1278=IF('الداشبورد'!$B$7="الكل",$K1278,IF('الداشبورد'!$B$7="تصدير","Y","N")))</f>
        <v/>
      </c>
      <c r="T1278">
        <f>--($J1278=IF('الداشبورد'!$B$8="الكل",$J1278,IF('الداشبورد'!$B$8="AL","A","C")))</f>
        <v/>
      </c>
      <c r="U1278">
        <f>--($I1278=IF('الداشبورد'!$B$9="الكل",$I1278,IF('الداشبورد'!$B$9="بدون حالة","P",'الداشبورد'!$B$9)))</f>
        <v/>
      </c>
      <c r="V1278">
        <f>--($D1278=IF('الداشبورد'!$B$10="الكل",$D1278,'الداشبورد'!$B$10))</f>
        <v/>
      </c>
      <c r="W1278">
        <f>--($G1278=IF('الداشبورد'!$B$11="الكل",$G1278,'الداشبورد'!$B$11))</f>
        <v/>
      </c>
      <c r="X1278">
        <f>Q1278*R1278*S1278*T1278*U1278*V1278*W1278*--($C1278&lt;&gt;"")</f>
        <v/>
      </c>
    </row>
    <row r="1279">
      <c r="Q1279">
        <f>--($A1279=IF('الداشبورد'!$B$5="الكل",$A1279,'الداشبورد'!$B$5))</f>
        <v/>
      </c>
      <c r="R1279">
        <f>--($E1279=IF('الداشبورد'!$B$6="الكل",$E1279,'الداشبورد'!$B$6))</f>
        <v/>
      </c>
      <c r="S1279">
        <f>--($K1279=IF('الداشبورد'!$B$7="الكل",$K1279,IF('الداشبورد'!$B$7="تصدير","Y","N")))</f>
        <v/>
      </c>
      <c r="T1279">
        <f>--($J1279=IF('الداشبورد'!$B$8="الكل",$J1279,IF('الداشبورد'!$B$8="AL","A","C")))</f>
        <v/>
      </c>
      <c r="U1279">
        <f>--($I1279=IF('الداشبورد'!$B$9="الكل",$I1279,IF('الداشبورد'!$B$9="بدون حالة","P",'الداشبورد'!$B$9)))</f>
        <v/>
      </c>
      <c r="V1279">
        <f>--($D1279=IF('الداشبورد'!$B$10="الكل",$D1279,'الداشبورد'!$B$10))</f>
        <v/>
      </c>
      <c r="W1279">
        <f>--($G1279=IF('الداشبورد'!$B$11="الكل",$G1279,'الداشبورد'!$B$11))</f>
        <v/>
      </c>
      <c r="X1279">
        <f>Q1279*R1279*S1279*T1279*U1279*V1279*W1279*--($C1279&lt;&gt;"")</f>
        <v/>
      </c>
    </row>
    <row r="1280">
      <c r="Q1280">
        <f>--($A1280=IF('الداشبورد'!$B$5="الكل",$A1280,'الداشبورد'!$B$5))</f>
        <v/>
      </c>
      <c r="R1280">
        <f>--($E1280=IF('الداشبورد'!$B$6="الكل",$E1280,'الداشبورد'!$B$6))</f>
        <v/>
      </c>
      <c r="S1280">
        <f>--($K1280=IF('الداشبورد'!$B$7="الكل",$K1280,IF('الداشبورد'!$B$7="تصدير","Y","N")))</f>
        <v/>
      </c>
      <c r="T1280">
        <f>--($J1280=IF('الداشبورد'!$B$8="الكل",$J1280,IF('الداشبورد'!$B$8="AL","A","C")))</f>
        <v/>
      </c>
      <c r="U1280">
        <f>--($I1280=IF('الداشبورد'!$B$9="الكل",$I1280,IF('الداشبورد'!$B$9="بدون حالة","P",'الداشبورد'!$B$9)))</f>
        <v/>
      </c>
      <c r="V1280">
        <f>--($D1280=IF('الداشبورد'!$B$10="الكل",$D1280,'الداشبورد'!$B$10))</f>
        <v/>
      </c>
      <c r="W1280">
        <f>--($G1280=IF('الداشبورد'!$B$11="الكل",$G1280,'الداشبورد'!$B$11))</f>
        <v/>
      </c>
      <c r="X1280">
        <f>Q1280*R1280*S1280*T1280*U1280*V1280*W1280*--($C1280&lt;&gt;"")</f>
        <v/>
      </c>
    </row>
    <row r="1281">
      <c r="Q1281">
        <f>--($A1281=IF('الداشبورد'!$B$5="الكل",$A1281,'الداشبورد'!$B$5))</f>
        <v/>
      </c>
      <c r="R1281">
        <f>--($E1281=IF('الداشبورد'!$B$6="الكل",$E1281,'الداشبورد'!$B$6))</f>
        <v/>
      </c>
      <c r="S1281">
        <f>--($K1281=IF('الداشبورد'!$B$7="الكل",$K1281,IF('الداشبورد'!$B$7="تصدير","Y","N")))</f>
        <v/>
      </c>
      <c r="T1281">
        <f>--($J1281=IF('الداشبورد'!$B$8="الكل",$J1281,IF('الداشبورد'!$B$8="AL","A","C")))</f>
        <v/>
      </c>
      <c r="U1281">
        <f>--($I1281=IF('الداشبورد'!$B$9="الكل",$I1281,IF('الداشبورد'!$B$9="بدون حالة","P",'الداشبورد'!$B$9)))</f>
        <v/>
      </c>
      <c r="V1281">
        <f>--($D1281=IF('الداشبورد'!$B$10="الكل",$D1281,'الداشبورد'!$B$10))</f>
        <v/>
      </c>
      <c r="W1281">
        <f>--($G1281=IF('الداشبورد'!$B$11="الكل",$G1281,'الداشبورد'!$B$11))</f>
        <v/>
      </c>
      <c r="X1281">
        <f>Q1281*R1281*S1281*T1281*U1281*V1281*W1281*--($C1281&lt;&gt;"")</f>
        <v/>
      </c>
    </row>
    <row r="1282">
      <c r="Q1282">
        <f>--($A1282=IF('الداشبورد'!$B$5="الكل",$A1282,'الداشبورد'!$B$5))</f>
        <v/>
      </c>
      <c r="R1282">
        <f>--($E1282=IF('الداشبورد'!$B$6="الكل",$E1282,'الداشبورد'!$B$6))</f>
        <v/>
      </c>
      <c r="S1282">
        <f>--($K1282=IF('الداشبورد'!$B$7="الكل",$K1282,IF('الداشبورد'!$B$7="تصدير","Y","N")))</f>
        <v/>
      </c>
      <c r="T1282">
        <f>--($J1282=IF('الداشبورد'!$B$8="الكل",$J1282,IF('الداشبورد'!$B$8="AL","A","C")))</f>
        <v/>
      </c>
      <c r="U1282">
        <f>--($I1282=IF('الداشبورد'!$B$9="الكل",$I1282,IF('الداشبورد'!$B$9="بدون حالة","P",'الداشبورد'!$B$9)))</f>
        <v/>
      </c>
      <c r="V1282">
        <f>--($D1282=IF('الداشبورد'!$B$10="الكل",$D1282,'الداشبورد'!$B$10))</f>
        <v/>
      </c>
      <c r="W1282">
        <f>--($G1282=IF('الداشبورد'!$B$11="الكل",$G1282,'الداشبورد'!$B$11))</f>
        <v/>
      </c>
      <c r="X1282">
        <f>Q1282*R1282*S1282*T1282*U1282*V1282*W1282*--($C1282&lt;&gt;"")</f>
        <v/>
      </c>
    </row>
    <row r="1283">
      <c r="Q1283">
        <f>--($A1283=IF('الداشبورد'!$B$5="الكل",$A1283,'الداشبورد'!$B$5))</f>
        <v/>
      </c>
      <c r="R1283">
        <f>--($E1283=IF('الداشبورد'!$B$6="الكل",$E1283,'الداشبورد'!$B$6))</f>
        <v/>
      </c>
      <c r="S1283">
        <f>--($K1283=IF('الداشبورد'!$B$7="الكل",$K1283,IF('الداشبورد'!$B$7="تصدير","Y","N")))</f>
        <v/>
      </c>
      <c r="T1283">
        <f>--($J1283=IF('الداشبورد'!$B$8="الكل",$J1283,IF('الداشبورد'!$B$8="AL","A","C")))</f>
        <v/>
      </c>
      <c r="U1283">
        <f>--($I1283=IF('الداشبورد'!$B$9="الكل",$I1283,IF('الداشبورد'!$B$9="بدون حالة","P",'الداشبورد'!$B$9)))</f>
        <v/>
      </c>
      <c r="V1283">
        <f>--($D1283=IF('الداشبورد'!$B$10="الكل",$D1283,'الداشبورد'!$B$10))</f>
        <v/>
      </c>
      <c r="W1283">
        <f>--($G1283=IF('الداشبورد'!$B$11="الكل",$G1283,'الداشبورد'!$B$11))</f>
        <v/>
      </c>
      <c r="X1283">
        <f>Q1283*R1283*S1283*T1283*U1283*V1283*W1283*--($C1283&lt;&gt;"")</f>
        <v/>
      </c>
    </row>
    <row r="1284">
      <c r="Q1284">
        <f>--($A1284=IF('الداشبورد'!$B$5="الكل",$A1284,'الداشبورد'!$B$5))</f>
        <v/>
      </c>
      <c r="R1284">
        <f>--($E1284=IF('الداشبورد'!$B$6="الكل",$E1284,'الداشبورد'!$B$6))</f>
        <v/>
      </c>
      <c r="S1284">
        <f>--($K1284=IF('الداشبورد'!$B$7="الكل",$K1284,IF('الداشبورد'!$B$7="تصدير","Y","N")))</f>
        <v/>
      </c>
      <c r="T1284">
        <f>--($J1284=IF('الداشبورد'!$B$8="الكل",$J1284,IF('الداشبورد'!$B$8="AL","A","C")))</f>
        <v/>
      </c>
      <c r="U1284">
        <f>--($I1284=IF('الداشبورد'!$B$9="الكل",$I1284,IF('الداشبورد'!$B$9="بدون حالة","P",'الداشبورد'!$B$9)))</f>
        <v/>
      </c>
      <c r="V1284">
        <f>--($D1284=IF('الداشبورد'!$B$10="الكل",$D1284,'الداشبورد'!$B$10))</f>
        <v/>
      </c>
      <c r="W1284">
        <f>--($G1284=IF('الداشبورد'!$B$11="الكل",$G1284,'الداشبورد'!$B$11))</f>
        <v/>
      </c>
      <c r="X1284">
        <f>Q1284*R1284*S1284*T1284*U1284*V1284*W1284*--($C1284&lt;&gt;"")</f>
        <v/>
      </c>
    </row>
    <row r="1285">
      <c r="Q1285">
        <f>--($A1285=IF('الداشبورد'!$B$5="الكل",$A1285,'الداشبورد'!$B$5))</f>
        <v/>
      </c>
      <c r="R1285">
        <f>--($E1285=IF('الداشبورد'!$B$6="الكل",$E1285,'الداشبورد'!$B$6))</f>
        <v/>
      </c>
      <c r="S1285">
        <f>--($K1285=IF('الداشبورد'!$B$7="الكل",$K1285,IF('الداشبورد'!$B$7="تصدير","Y","N")))</f>
        <v/>
      </c>
      <c r="T1285">
        <f>--($J1285=IF('الداشبورد'!$B$8="الكل",$J1285,IF('الداشبورد'!$B$8="AL","A","C")))</f>
        <v/>
      </c>
      <c r="U1285">
        <f>--($I1285=IF('الداشبورد'!$B$9="الكل",$I1285,IF('الداشبورد'!$B$9="بدون حالة","P",'الداشبورد'!$B$9)))</f>
        <v/>
      </c>
      <c r="V1285">
        <f>--($D1285=IF('الداشبورد'!$B$10="الكل",$D1285,'الداشبورد'!$B$10))</f>
        <v/>
      </c>
      <c r="W1285">
        <f>--($G1285=IF('الداشبورد'!$B$11="الكل",$G1285,'الداشبورد'!$B$11))</f>
        <v/>
      </c>
      <c r="X1285">
        <f>Q1285*R1285*S1285*T1285*U1285*V1285*W1285*--($C1285&lt;&gt;"")</f>
        <v/>
      </c>
    </row>
    <row r="1286">
      <c r="Q1286">
        <f>--($A1286=IF('الداشبورد'!$B$5="الكل",$A1286,'الداشبورد'!$B$5))</f>
        <v/>
      </c>
      <c r="R1286">
        <f>--($E1286=IF('الداشبورد'!$B$6="الكل",$E1286,'الداشبورد'!$B$6))</f>
        <v/>
      </c>
      <c r="S1286">
        <f>--($K1286=IF('الداشبورد'!$B$7="الكل",$K1286,IF('الداشبورد'!$B$7="تصدير","Y","N")))</f>
        <v/>
      </c>
      <c r="T1286">
        <f>--($J1286=IF('الداشبورد'!$B$8="الكل",$J1286,IF('الداشبورد'!$B$8="AL","A","C")))</f>
        <v/>
      </c>
      <c r="U1286">
        <f>--($I1286=IF('الداشبورد'!$B$9="الكل",$I1286,IF('الداشبورد'!$B$9="بدون حالة","P",'الداشبورد'!$B$9)))</f>
        <v/>
      </c>
      <c r="V1286">
        <f>--($D1286=IF('الداشبورد'!$B$10="الكل",$D1286,'الداشبورد'!$B$10))</f>
        <v/>
      </c>
      <c r="W1286">
        <f>--($G1286=IF('الداشبورد'!$B$11="الكل",$G1286,'الداشبورد'!$B$11))</f>
        <v/>
      </c>
      <c r="X1286">
        <f>Q1286*R1286*S1286*T1286*U1286*V1286*W1286*--($C1286&lt;&gt;"")</f>
        <v/>
      </c>
    </row>
    <row r="1287">
      <c r="Q1287">
        <f>--($A1287=IF('الداشبورد'!$B$5="الكل",$A1287,'الداشبورد'!$B$5))</f>
        <v/>
      </c>
      <c r="R1287">
        <f>--($E1287=IF('الداشبورد'!$B$6="الكل",$E1287,'الداشبورد'!$B$6))</f>
        <v/>
      </c>
      <c r="S1287">
        <f>--($K1287=IF('الداشبورد'!$B$7="الكل",$K1287,IF('الداشبورد'!$B$7="تصدير","Y","N")))</f>
        <v/>
      </c>
      <c r="T1287">
        <f>--($J1287=IF('الداشبورد'!$B$8="الكل",$J1287,IF('الداشبورد'!$B$8="AL","A","C")))</f>
        <v/>
      </c>
      <c r="U1287">
        <f>--($I1287=IF('الداشبورد'!$B$9="الكل",$I1287,IF('الداشبورد'!$B$9="بدون حالة","P",'الداشبورد'!$B$9)))</f>
        <v/>
      </c>
      <c r="V1287">
        <f>--($D1287=IF('الداشبورد'!$B$10="الكل",$D1287,'الداشبورد'!$B$10))</f>
        <v/>
      </c>
      <c r="W1287">
        <f>--($G1287=IF('الداشبورد'!$B$11="الكل",$G1287,'الداشبورد'!$B$11))</f>
        <v/>
      </c>
      <c r="X1287">
        <f>Q1287*R1287*S1287*T1287*U1287*V1287*W1287*--($C1287&lt;&gt;"")</f>
        <v/>
      </c>
    </row>
    <row r="1288">
      <c r="Q1288">
        <f>--($A1288=IF('الداشبورد'!$B$5="الكل",$A1288,'الداشبورد'!$B$5))</f>
        <v/>
      </c>
      <c r="R1288">
        <f>--($E1288=IF('الداشبورد'!$B$6="الكل",$E1288,'الداشبورد'!$B$6))</f>
        <v/>
      </c>
      <c r="S1288">
        <f>--($K1288=IF('الداشبورد'!$B$7="الكل",$K1288,IF('الداشبورد'!$B$7="تصدير","Y","N")))</f>
        <v/>
      </c>
      <c r="T1288">
        <f>--($J1288=IF('الداشبورد'!$B$8="الكل",$J1288,IF('الداشبورد'!$B$8="AL","A","C")))</f>
        <v/>
      </c>
      <c r="U1288">
        <f>--($I1288=IF('الداشبورد'!$B$9="الكل",$I1288,IF('الداشبورد'!$B$9="بدون حالة","P",'الداشبورد'!$B$9)))</f>
        <v/>
      </c>
      <c r="V1288">
        <f>--($D1288=IF('الداشبورد'!$B$10="الكل",$D1288,'الداشبورد'!$B$10))</f>
        <v/>
      </c>
      <c r="W1288">
        <f>--($G1288=IF('الداشبورد'!$B$11="الكل",$G1288,'الداشبورد'!$B$11))</f>
        <v/>
      </c>
      <c r="X1288">
        <f>Q1288*R1288*S1288*T1288*U1288*V1288*W1288*--($C1288&lt;&gt;"")</f>
        <v/>
      </c>
    </row>
    <row r="1289">
      <c r="Q1289">
        <f>--($A1289=IF('الداشبورد'!$B$5="الكل",$A1289,'الداشبورد'!$B$5))</f>
        <v/>
      </c>
      <c r="R1289">
        <f>--($E1289=IF('الداشبورد'!$B$6="الكل",$E1289,'الداشبورد'!$B$6))</f>
        <v/>
      </c>
      <c r="S1289">
        <f>--($K1289=IF('الداشبورد'!$B$7="الكل",$K1289,IF('الداشبورد'!$B$7="تصدير","Y","N")))</f>
        <v/>
      </c>
      <c r="T1289">
        <f>--($J1289=IF('الداشبورد'!$B$8="الكل",$J1289,IF('الداشبورد'!$B$8="AL","A","C")))</f>
        <v/>
      </c>
      <c r="U1289">
        <f>--($I1289=IF('الداشبورد'!$B$9="الكل",$I1289,IF('الداشبورد'!$B$9="بدون حالة","P",'الداشبورد'!$B$9)))</f>
        <v/>
      </c>
      <c r="V1289">
        <f>--($D1289=IF('الداشبورد'!$B$10="الكل",$D1289,'الداشبورد'!$B$10))</f>
        <v/>
      </c>
      <c r="W1289">
        <f>--($G1289=IF('الداشبورد'!$B$11="الكل",$G1289,'الداشبورد'!$B$11))</f>
        <v/>
      </c>
      <c r="X1289">
        <f>Q1289*R1289*S1289*T1289*U1289*V1289*W1289*--($C1289&lt;&gt;"")</f>
        <v/>
      </c>
    </row>
    <row r="1290">
      <c r="Q1290">
        <f>--($A1290=IF('الداشبورد'!$B$5="الكل",$A1290,'الداشبورد'!$B$5))</f>
        <v/>
      </c>
      <c r="R1290">
        <f>--($E1290=IF('الداشبورد'!$B$6="الكل",$E1290,'الداشبورد'!$B$6))</f>
        <v/>
      </c>
      <c r="S1290">
        <f>--($K1290=IF('الداشبورد'!$B$7="الكل",$K1290,IF('الداشبورد'!$B$7="تصدير","Y","N")))</f>
        <v/>
      </c>
      <c r="T1290">
        <f>--($J1290=IF('الداشبورد'!$B$8="الكل",$J1290,IF('الداشبورد'!$B$8="AL","A","C")))</f>
        <v/>
      </c>
      <c r="U1290">
        <f>--($I1290=IF('الداشبورد'!$B$9="الكل",$I1290,IF('الداشبورد'!$B$9="بدون حالة","P",'الداشبورد'!$B$9)))</f>
        <v/>
      </c>
      <c r="V1290">
        <f>--($D1290=IF('الداشبورد'!$B$10="الكل",$D1290,'الداشبورد'!$B$10))</f>
        <v/>
      </c>
      <c r="W1290">
        <f>--($G1290=IF('الداشبورد'!$B$11="الكل",$G1290,'الداشبورد'!$B$11))</f>
        <v/>
      </c>
      <c r="X1290">
        <f>Q1290*R1290*S1290*T1290*U1290*V1290*W1290*--($C1290&lt;&gt;"")</f>
        <v/>
      </c>
    </row>
    <row r="1291">
      <c r="Q1291">
        <f>--($A1291=IF('الداشبورد'!$B$5="الكل",$A1291,'الداشبورد'!$B$5))</f>
        <v/>
      </c>
      <c r="R1291">
        <f>--($E1291=IF('الداشبورد'!$B$6="الكل",$E1291,'الداشبورد'!$B$6))</f>
        <v/>
      </c>
      <c r="S1291">
        <f>--($K1291=IF('الداشبورد'!$B$7="الكل",$K1291,IF('الداشبورد'!$B$7="تصدير","Y","N")))</f>
        <v/>
      </c>
      <c r="T1291">
        <f>--($J1291=IF('الداشبورد'!$B$8="الكل",$J1291,IF('الداشبورد'!$B$8="AL","A","C")))</f>
        <v/>
      </c>
      <c r="U1291">
        <f>--($I1291=IF('الداشبورد'!$B$9="الكل",$I1291,IF('الداشبورد'!$B$9="بدون حالة","P",'الداشبورد'!$B$9)))</f>
        <v/>
      </c>
      <c r="V1291">
        <f>--($D1291=IF('الداشبورد'!$B$10="الكل",$D1291,'الداشبورد'!$B$10))</f>
        <v/>
      </c>
      <c r="W1291">
        <f>--($G1291=IF('الداشبورد'!$B$11="الكل",$G1291,'الداشبورد'!$B$11))</f>
        <v/>
      </c>
      <c r="X1291">
        <f>Q1291*R1291*S1291*T1291*U1291*V1291*W1291*--($C1291&lt;&gt;"")</f>
        <v/>
      </c>
    </row>
    <row r="1292">
      <c r="Q1292">
        <f>--($A1292=IF('الداشبورد'!$B$5="الكل",$A1292,'الداشبورد'!$B$5))</f>
        <v/>
      </c>
      <c r="R1292">
        <f>--($E1292=IF('الداشبورد'!$B$6="الكل",$E1292,'الداشبورد'!$B$6))</f>
        <v/>
      </c>
      <c r="S1292">
        <f>--($K1292=IF('الداشبورد'!$B$7="الكل",$K1292,IF('الداشبورد'!$B$7="تصدير","Y","N")))</f>
        <v/>
      </c>
      <c r="T1292">
        <f>--($J1292=IF('الداشبورد'!$B$8="الكل",$J1292,IF('الداشبورد'!$B$8="AL","A","C")))</f>
        <v/>
      </c>
      <c r="U1292">
        <f>--($I1292=IF('الداشبورد'!$B$9="الكل",$I1292,IF('الداشبورد'!$B$9="بدون حالة","P",'الداشبورد'!$B$9)))</f>
        <v/>
      </c>
      <c r="V1292">
        <f>--($D1292=IF('الداشبورد'!$B$10="الكل",$D1292,'الداشبورد'!$B$10))</f>
        <v/>
      </c>
      <c r="W1292">
        <f>--($G1292=IF('الداشبورد'!$B$11="الكل",$G1292,'الداشبورد'!$B$11))</f>
        <v/>
      </c>
      <c r="X1292">
        <f>Q1292*R1292*S1292*T1292*U1292*V1292*W1292*--($C1292&lt;&gt;"")</f>
        <v/>
      </c>
    </row>
    <row r="1293">
      <c r="Q1293">
        <f>--($A1293=IF('الداشبورد'!$B$5="الكل",$A1293,'الداشبورد'!$B$5))</f>
        <v/>
      </c>
      <c r="R1293">
        <f>--($E1293=IF('الداشبورد'!$B$6="الكل",$E1293,'الداشبورد'!$B$6))</f>
        <v/>
      </c>
      <c r="S1293">
        <f>--($K1293=IF('الداشبورد'!$B$7="الكل",$K1293,IF('الداشبورد'!$B$7="تصدير","Y","N")))</f>
        <v/>
      </c>
      <c r="T1293">
        <f>--($J1293=IF('الداشبورد'!$B$8="الكل",$J1293,IF('الداشبورد'!$B$8="AL","A","C")))</f>
        <v/>
      </c>
      <c r="U1293">
        <f>--($I1293=IF('الداشبورد'!$B$9="الكل",$I1293,IF('الداشبورد'!$B$9="بدون حالة","P",'الداشبورد'!$B$9)))</f>
        <v/>
      </c>
      <c r="V1293">
        <f>--($D1293=IF('الداشبورد'!$B$10="الكل",$D1293,'الداشبورد'!$B$10))</f>
        <v/>
      </c>
      <c r="W1293">
        <f>--($G1293=IF('الداشبورد'!$B$11="الكل",$G1293,'الداشبورد'!$B$11))</f>
        <v/>
      </c>
      <c r="X1293">
        <f>Q1293*R1293*S1293*T1293*U1293*V1293*W1293*--($C1293&lt;&gt;"")</f>
        <v/>
      </c>
    </row>
    <row r="1294">
      <c r="Q1294">
        <f>--($A1294=IF('الداشبورد'!$B$5="الكل",$A1294,'الداشبورد'!$B$5))</f>
        <v/>
      </c>
      <c r="R1294">
        <f>--($E1294=IF('الداشبورد'!$B$6="الكل",$E1294,'الداشبورد'!$B$6))</f>
        <v/>
      </c>
      <c r="S1294">
        <f>--($K1294=IF('الداشبورد'!$B$7="الكل",$K1294,IF('الداشبورد'!$B$7="تصدير","Y","N")))</f>
        <v/>
      </c>
      <c r="T1294">
        <f>--($J1294=IF('الداشبورد'!$B$8="الكل",$J1294,IF('الداشبورد'!$B$8="AL","A","C")))</f>
        <v/>
      </c>
      <c r="U1294">
        <f>--($I1294=IF('الداشبورد'!$B$9="الكل",$I1294,IF('الداشبورد'!$B$9="بدون حالة","P",'الداشبورد'!$B$9)))</f>
        <v/>
      </c>
      <c r="V1294">
        <f>--($D1294=IF('الداشبورد'!$B$10="الكل",$D1294,'الداشبورد'!$B$10))</f>
        <v/>
      </c>
      <c r="W1294">
        <f>--($G1294=IF('الداشبورد'!$B$11="الكل",$G1294,'الداشبورد'!$B$11))</f>
        <v/>
      </c>
      <c r="X1294">
        <f>Q1294*R1294*S1294*T1294*U1294*V1294*W1294*--($C1294&lt;&gt;"")</f>
        <v/>
      </c>
    </row>
    <row r="1295">
      <c r="Q1295">
        <f>--($A1295=IF('الداشبورد'!$B$5="الكل",$A1295,'الداشبورد'!$B$5))</f>
        <v/>
      </c>
      <c r="R1295">
        <f>--($E1295=IF('الداشبورد'!$B$6="الكل",$E1295,'الداشبورد'!$B$6))</f>
        <v/>
      </c>
      <c r="S1295">
        <f>--($K1295=IF('الداشبورد'!$B$7="الكل",$K1295,IF('الداشبورد'!$B$7="تصدير","Y","N")))</f>
        <v/>
      </c>
      <c r="T1295">
        <f>--($J1295=IF('الداشبورد'!$B$8="الكل",$J1295,IF('الداشبورد'!$B$8="AL","A","C")))</f>
        <v/>
      </c>
      <c r="U1295">
        <f>--($I1295=IF('الداشبورد'!$B$9="الكل",$I1295,IF('الداشبورد'!$B$9="بدون حالة","P",'الداشبورد'!$B$9)))</f>
        <v/>
      </c>
      <c r="V1295">
        <f>--($D1295=IF('الداشبورد'!$B$10="الكل",$D1295,'الداشبورد'!$B$10))</f>
        <v/>
      </c>
      <c r="W1295">
        <f>--($G1295=IF('الداشبورد'!$B$11="الكل",$G1295,'الداشبورد'!$B$11))</f>
        <v/>
      </c>
      <c r="X1295">
        <f>Q1295*R1295*S1295*T1295*U1295*V1295*W1295*--($C1295&lt;&gt;"")</f>
        <v/>
      </c>
    </row>
    <row r="1296">
      <c r="Q1296">
        <f>--($A1296=IF('الداشبورد'!$B$5="الكل",$A1296,'الداشبورد'!$B$5))</f>
        <v/>
      </c>
      <c r="R1296">
        <f>--($E1296=IF('الداشبورد'!$B$6="الكل",$E1296,'الداشبورد'!$B$6))</f>
        <v/>
      </c>
      <c r="S1296">
        <f>--($K1296=IF('الداشبورد'!$B$7="الكل",$K1296,IF('الداشبورد'!$B$7="تصدير","Y","N")))</f>
        <v/>
      </c>
      <c r="T1296">
        <f>--($J1296=IF('الداشبورد'!$B$8="الكل",$J1296,IF('الداشبورد'!$B$8="AL","A","C")))</f>
        <v/>
      </c>
      <c r="U1296">
        <f>--($I1296=IF('الداشبورد'!$B$9="الكل",$I1296,IF('الداشبورد'!$B$9="بدون حالة","P",'الداشبورد'!$B$9)))</f>
        <v/>
      </c>
      <c r="V1296">
        <f>--($D1296=IF('الداشبورد'!$B$10="الكل",$D1296,'الداشبورد'!$B$10))</f>
        <v/>
      </c>
      <c r="W1296">
        <f>--($G1296=IF('الداشبورد'!$B$11="الكل",$G1296,'الداشبورد'!$B$11))</f>
        <v/>
      </c>
      <c r="X1296">
        <f>Q1296*R1296*S1296*T1296*U1296*V1296*W1296*--($C1296&lt;&gt;"")</f>
        <v/>
      </c>
    </row>
    <row r="1297">
      <c r="Q1297">
        <f>--($A1297=IF('الداشبورد'!$B$5="الكل",$A1297,'الداشبورد'!$B$5))</f>
        <v/>
      </c>
      <c r="R1297">
        <f>--($E1297=IF('الداشبورد'!$B$6="الكل",$E1297,'الداشبورد'!$B$6))</f>
        <v/>
      </c>
      <c r="S1297">
        <f>--($K1297=IF('الداشبورد'!$B$7="الكل",$K1297,IF('الداشبورد'!$B$7="تصدير","Y","N")))</f>
        <v/>
      </c>
      <c r="T1297">
        <f>--($J1297=IF('الداشبورد'!$B$8="الكل",$J1297,IF('الداشبورد'!$B$8="AL","A","C")))</f>
        <v/>
      </c>
      <c r="U1297">
        <f>--($I1297=IF('الداشبورد'!$B$9="الكل",$I1297,IF('الداشبورد'!$B$9="بدون حالة","P",'الداشبورد'!$B$9)))</f>
        <v/>
      </c>
      <c r="V1297">
        <f>--($D1297=IF('الداشبورد'!$B$10="الكل",$D1297,'الداشبورد'!$B$10))</f>
        <v/>
      </c>
      <c r="W1297">
        <f>--($G1297=IF('الداشبورد'!$B$11="الكل",$G1297,'الداشبورد'!$B$11))</f>
        <v/>
      </c>
      <c r="X1297">
        <f>Q1297*R1297*S1297*T1297*U1297*V1297*W1297*--($C1297&lt;&gt;"")</f>
        <v/>
      </c>
    </row>
    <row r="1298">
      <c r="Q1298">
        <f>--($A1298=IF('الداشبورد'!$B$5="الكل",$A1298,'الداشبورد'!$B$5))</f>
        <v/>
      </c>
      <c r="R1298">
        <f>--($E1298=IF('الداشبورد'!$B$6="الكل",$E1298,'الداشبورد'!$B$6))</f>
        <v/>
      </c>
      <c r="S1298">
        <f>--($K1298=IF('الداشبورد'!$B$7="الكل",$K1298,IF('الداشبورد'!$B$7="تصدير","Y","N")))</f>
        <v/>
      </c>
      <c r="T1298">
        <f>--($J1298=IF('الداشبورد'!$B$8="الكل",$J1298,IF('الداشبورد'!$B$8="AL","A","C")))</f>
        <v/>
      </c>
      <c r="U1298">
        <f>--($I1298=IF('الداشبورد'!$B$9="الكل",$I1298,IF('الداشبورد'!$B$9="بدون حالة","P",'الداشبورد'!$B$9)))</f>
        <v/>
      </c>
      <c r="V1298">
        <f>--($D1298=IF('الداشبورد'!$B$10="الكل",$D1298,'الداشبورد'!$B$10))</f>
        <v/>
      </c>
      <c r="W1298">
        <f>--($G1298=IF('الداشبورد'!$B$11="الكل",$G1298,'الداشبورد'!$B$11))</f>
        <v/>
      </c>
      <c r="X1298">
        <f>Q1298*R1298*S1298*T1298*U1298*V1298*W1298*--($C1298&lt;&gt;"")</f>
        <v/>
      </c>
    </row>
    <row r="1299">
      <c r="Q1299">
        <f>--($A1299=IF('الداشبورد'!$B$5="الكل",$A1299,'الداشبورد'!$B$5))</f>
        <v/>
      </c>
      <c r="R1299">
        <f>--($E1299=IF('الداشبورد'!$B$6="الكل",$E1299,'الداشبورد'!$B$6))</f>
        <v/>
      </c>
      <c r="S1299">
        <f>--($K1299=IF('الداشبورد'!$B$7="الكل",$K1299,IF('الداشبورد'!$B$7="تصدير","Y","N")))</f>
        <v/>
      </c>
      <c r="T1299">
        <f>--($J1299=IF('الداشبورد'!$B$8="الكل",$J1299,IF('الداشبورد'!$B$8="AL","A","C")))</f>
        <v/>
      </c>
      <c r="U1299">
        <f>--($I1299=IF('الداشبورد'!$B$9="الكل",$I1299,IF('الداشبورد'!$B$9="بدون حالة","P",'الداشبورد'!$B$9)))</f>
        <v/>
      </c>
      <c r="V1299">
        <f>--($D1299=IF('الداشبورد'!$B$10="الكل",$D1299,'الداشبورد'!$B$10))</f>
        <v/>
      </c>
      <c r="W1299">
        <f>--($G1299=IF('الداشبورد'!$B$11="الكل",$G1299,'الداشبورد'!$B$11))</f>
        <v/>
      </c>
      <c r="X1299">
        <f>Q1299*R1299*S1299*T1299*U1299*V1299*W1299*--($C1299&lt;&gt;"")</f>
        <v/>
      </c>
    </row>
    <row r="1300">
      <c r="Q1300">
        <f>--($A1300=IF('الداشبورد'!$B$5="الكل",$A1300,'الداشبورد'!$B$5))</f>
        <v/>
      </c>
      <c r="R1300">
        <f>--($E1300=IF('الداشبورد'!$B$6="الكل",$E1300,'الداشبورد'!$B$6))</f>
        <v/>
      </c>
      <c r="S1300">
        <f>--($K1300=IF('الداشبورد'!$B$7="الكل",$K1300,IF('الداشبورد'!$B$7="تصدير","Y","N")))</f>
        <v/>
      </c>
      <c r="T1300">
        <f>--($J1300=IF('الداشبورد'!$B$8="الكل",$J1300,IF('الداشبورد'!$B$8="AL","A","C")))</f>
        <v/>
      </c>
      <c r="U1300">
        <f>--($I1300=IF('الداشبورد'!$B$9="الكل",$I1300,IF('الداشبورد'!$B$9="بدون حالة","P",'الداشبورد'!$B$9)))</f>
        <v/>
      </c>
      <c r="V1300">
        <f>--($D1300=IF('الداشبورد'!$B$10="الكل",$D1300,'الداشبورد'!$B$10))</f>
        <v/>
      </c>
      <c r="W1300">
        <f>--($G1300=IF('الداشبورد'!$B$11="الكل",$G1300,'الداشبورد'!$B$11))</f>
        <v/>
      </c>
      <c r="X1300">
        <f>Q1300*R1300*S1300*T1300*U1300*V1300*W1300*--($C1300&lt;&gt;"")</f>
        <v/>
      </c>
    </row>
    <row r="1301">
      <c r="Q1301">
        <f>--($A1301=IF('الداشبورد'!$B$5="الكل",$A1301,'الداشبورد'!$B$5))</f>
        <v/>
      </c>
      <c r="R1301">
        <f>--($E1301=IF('الداشبورد'!$B$6="الكل",$E1301,'الداشبورد'!$B$6))</f>
        <v/>
      </c>
      <c r="S1301">
        <f>--($K1301=IF('الداشبورد'!$B$7="الكل",$K1301,IF('الداشبورد'!$B$7="تصدير","Y","N")))</f>
        <v/>
      </c>
      <c r="T1301">
        <f>--($J1301=IF('الداشبورد'!$B$8="الكل",$J1301,IF('الداشبورد'!$B$8="AL","A","C")))</f>
        <v/>
      </c>
      <c r="U1301">
        <f>--($I1301=IF('الداشبورد'!$B$9="الكل",$I1301,IF('الداشبورد'!$B$9="بدون حالة","P",'الداشبورد'!$B$9)))</f>
        <v/>
      </c>
      <c r="V1301">
        <f>--($D1301=IF('الداشبورد'!$B$10="الكل",$D1301,'الداشبورد'!$B$10))</f>
        <v/>
      </c>
      <c r="W1301">
        <f>--($G1301=IF('الداشبورد'!$B$11="الكل",$G1301,'الداشبورد'!$B$11))</f>
        <v/>
      </c>
      <c r="X1301">
        <f>Q1301*R1301*S1301*T1301*U1301*V1301*W1301*--($C1301&lt;&gt;"")</f>
        <v/>
      </c>
    </row>
    <row r="1302">
      <c r="Q1302">
        <f>--($A1302=IF('الداشبورد'!$B$5="الكل",$A1302,'الداشبورد'!$B$5))</f>
        <v/>
      </c>
      <c r="R1302">
        <f>--($E1302=IF('الداشبورد'!$B$6="الكل",$E1302,'الداشبورد'!$B$6))</f>
        <v/>
      </c>
      <c r="S1302">
        <f>--($K1302=IF('الداشبورد'!$B$7="الكل",$K1302,IF('الداشبورد'!$B$7="تصدير","Y","N")))</f>
        <v/>
      </c>
      <c r="T1302">
        <f>--($J1302=IF('الداشبورد'!$B$8="الكل",$J1302,IF('الداشبورد'!$B$8="AL","A","C")))</f>
        <v/>
      </c>
      <c r="U1302">
        <f>--($I1302=IF('الداشبورد'!$B$9="الكل",$I1302,IF('الداشبورد'!$B$9="بدون حالة","P",'الداشبورد'!$B$9)))</f>
        <v/>
      </c>
      <c r="V1302">
        <f>--($D1302=IF('الداشبورد'!$B$10="الكل",$D1302,'الداشبورد'!$B$10))</f>
        <v/>
      </c>
      <c r="W1302">
        <f>--($G1302=IF('الداشبورد'!$B$11="الكل",$G1302,'الداشبورد'!$B$11))</f>
        <v/>
      </c>
      <c r="X1302">
        <f>Q1302*R1302*S1302*T1302*U1302*V1302*W1302*--($C1302&lt;&gt;"")</f>
        <v/>
      </c>
    </row>
    <row r="1303">
      <c r="Q1303">
        <f>--($A1303=IF('الداشبورد'!$B$5="الكل",$A1303,'الداشبورد'!$B$5))</f>
        <v/>
      </c>
      <c r="R1303">
        <f>--($E1303=IF('الداشبورد'!$B$6="الكل",$E1303,'الداشبورد'!$B$6))</f>
        <v/>
      </c>
      <c r="S1303">
        <f>--($K1303=IF('الداشبورد'!$B$7="الكل",$K1303,IF('الداشبورد'!$B$7="تصدير","Y","N")))</f>
        <v/>
      </c>
      <c r="T1303">
        <f>--($J1303=IF('الداشبورد'!$B$8="الكل",$J1303,IF('الداشبورد'!$B$8="AL","A","C")))</f>
        <v/>
      </c>
      <c r="U1303">
        <f>--($I1303=IF('الداشبورد'!$B$9="الكل",$I1303,IF('الداشبورد'!$B$9="بدون حالة","P",'الداشبورد'!$B$9)))</f>
        <v/>
      </c>
      <c r="V1303">
        <f>--($D1303=IF('الداشبورد'!$B$10="الكل",$D1303,'الداشبورد'!$B$10))</f>
        <v/>
      </c>
      <c r="W1303">
        <f>--($G1303=IF('الداشبورد'!$B$11="الكل",$G1303,'الداشبورد'!$B$11))</f>
        <v/>
      </c>
      <c r="X1303">
        <f>Q1303*R1303*S1303*T1303*U1303*V1303*W1303*--($C1303&lt;&gt;"")</f>
        <v/>
      </c>
    </row>
    <row r="1304">
      <c r="Q1304">
        <f>--($A1304=IF('الداشبورد'!$B$5="الكل",$A1304,'الداشبورد'!$B$5))</f>
        <v/>
      </c>
      <c r="R1304">
        <f>--($E1304=IF('الداشبورد'!$B$6="الكل",$E1304,'الداشبورد'!$B$6))</f>
        <v/>
      </c>
      <c r="S1304">
        <f>--($K1304=IF('الداشبورد'!$B$7="الكل",$K1304,IF('الداشبورد'!$B$7="تصدير","Y","N")))</f>
        <v/>
      </c>
      <c r="T1304">
        <f>--($J1304=IF('الداشبورد'!$B$8="الكل",$J1304,IF('الداشبورد'!$B$8="AL","A","C")))</f>
        <v/>
      </c>
      <c r="U1304">
        <f>--($I1304=IF('الداشبورد'!$B$9="الكل",$I1304,IF('الداشبورد'!$B$9="بدون حالة","P",'الداشبورد'!$B$9)))</f>
        <v/>
      </c>
      <c r="V1304">
        <f>--($D1304=IF('الداشبورد'!$B$10="الكل",$D1304,'الداشبورد'!$B$10))</f>
        <v/>
      </c>
      <c r="W1304">
        <f>--($G1304=IF('الداشبورد'!$B$11="الكل",$G1304,'الداشبورد'!$B$11))</f>
        <v/>
      </c>
      <c r="X1304">
        <f>Q1304*R1304*S1304*T1304*U1304*V1304*W1304*--($C1304&lt;&gt;"")</f>
        <v/>
      </c>
    </row>
    <row r="1305">
      <c r="Q1305">
        <f>--($A1305=IF('الداشبورد'!$B$5="الكل",$A1305,'الداشبورد'!$B$5))</f>
        <v/>
      </c>
      <c r="R1305">
        <f>--($E1305=IF('الداشبورد'!$B$6="الكل",$E1305,'الداشبورد'!$B$6))</f>
        <v/>
      </c>
      <c r="S1305">
        <f>--($K1305=IF('الداشبورد'!$B$7="الكل",$K1305,IF('الداشبورد'!$B$7="تصدير","Y","N")))</f>
        <v/>
      </c>
      <c r="T1305">
        <f>--($J1305=IF('الداشبورد'!$B$8="الكل",$J1305,IF('الداشبورد'!$B$8="AL","A","C")))</f>
        <v/>
      </c>
      <c r="U1305">
        <f>--($I1305=IF('الداشبورد'!$B$9="الكل",$I1305,IF('الداشبورد'!$B$9="بدون حالة","P",'الداشبورد'!$B$9)))</f>
        <v/>
      </c>
      <c r="V1305">
        <f>--($D1305=IF('الداشبورد'!$B$10="الكل",$D1305,'الداشبورد'!$B$10))</f>
        <v/>
      </c>
      <c r="W1305">
        <f>--($G1305=IF('الداشبورد'!$B$11="الكل",$G1305,'الداشبورد'!$B$11))</f>
        <v/>
      </c>
      <c r="X1305">
        <f>Q1305*R1305*S1305*T1305*U1305*V1305*W1305*--($C1305&lt;&gt;"")</f>
        <v/>
      </c>
    </row>
    <row r="1306">
      <c r="Q1306">
        <f>--($A1306=IF('الداشبورد'!$B$5="الكل",$A1306,'الداشبورد'!$B$5))</f>
        <v/>
      </c>
      <c r="R1306">
        <f>--($E1306=IF('الداشبورد'!$B$6="الكل",$E1306,'الداشبورد'!$B$6))</f>
        <v/>
      </c>
      <c r="S1306">
        <f>--($K1306=IF('الداشبورد'!$B$7="الكل",$K1306,IF('الداشبورد'!$B$7="تصدير","Y","N")))</f>
        <v/>
      </c>
      <c r="T1306">
        <f>--($J1306=IF('الداشبورد'!$B$8="الكل",$J1306,IF('الداشبورد'!$B$8="AL","A","C")))</f>
        <v/>
      </c>
      <c r="U1306">
        <f>--($I1306=IF('الداشبورد'!$B$9="الكل",$I1306,IF('الداشبورد'!$B$9="بدون حالة","P",'الداشبورد'!$B$9)))</f>
        <v/>
      </c>
      <c r="V1306">
        <f>--($D1306=IF('الداشبورد'!$B$10="الكل",$D1306,'الداشبورد'!$B$10))</f>
        <v/>
      </c>
      <c r="W1306">
        <f>--($G1306=IF('الداشبورد'!$B$11="الكل",$G1306,'الداشبورد'!$B$11))</f>
        <v/>
      </c>
      <c r="X1306">
        <f>Q1306*R1306*S1306*T1306*U1306*V1306*W1306*--($C1306&lt;&gt;"")</f>
        <v/>
      </c>
    </row>
    <row r="1307">
      <c r="Q1307">
        <f>--($A1307=IF('الداشبورد'!$B$5="الكل",$A1307,'الداشبورد'!$B$5))</f>
        <v/>
      </c>
      <c r="R1307">
        <f>--($E1307=IF('الداشبورد'!$B$6="الكل",$E1307,'الداشبورد'!$B$6))</f>
        <v/>
      </c>
      <c r="S1307">
        <f>--($K1307=IF('الداشبورد'!$B$7="الكل",$K1307,IF('الداشبورد'!$B$7="تصدير","Y","N")))</f>
        <v/>
      </c>
      <c r="T1307">
        <f>--($J1307=IF('الداشبورد'!$B$8="الكل",$J1307,IF('الداشبورد'!$B$8="AL","A","C")))</f>
        <v/>
      </c>
      <c r="U1307">
        <f>--($I1307=IF('الداشبورد'!$B$9="الكل",$I1307,IF('الداشبورد'!$B$9="بدون حالة","P",'الداشبورد'!$B$9)))</f>
        <v/>
      </c>
      <c r="V1307">
        <f>--($D1307=IF('الداشبورد'!$B$10="الكل",$D1307,'الداشبورد'!$B$10))</f>
        <v/>
      </c>
      <c r="W1307">
        <f>--($G1307=IF('الداشبورد'!$B$11="الكل",$G1307,'الداشبورد'!$B$11))</f>
        <v/>
      </c>
      <c r="X1307">
        <f>Q1307*R1307*S1307*T1307*U1307*V1307*W1307*--($C1307&lt;&gt;"")</f>
        <v/>
      </c>
    </row>
    <row r="1308">
      <c r="Q1308">
        <f>--($A1308=IF('الداشبورد'!$B$5="الكل",$A1308,'الداشبورد'!$B$5))</f>
        <v/>
      </c>
      <c r="R1308">
        <f>--($E1308=IF('الداشبورد'!$B$6="الكل",$E1308,'الداشبورد'!$B$6))</f>
        <v/>
      </c>
      <c r="S1308">
        <f>--($K1308=IF('الداشبورد'!$B$7="الكل",$K1308,IF('الداشبورد'!$B$7="تصدير","Y","N")))</f>
        <v/>
      </c>
      <c r="T1308">
        <f>--($J1308=IF('الداشبورد'!$B$8="الكل",$J1308,IF('الداشبورد'!$B$8="AL","A","C")))</f>
        <v/>
      </c>
      <c r="U1308">
        <f>--($I1308=IF('الداشبورد'!$B$9="الكل",$I1308,IF('الداشبورد'!$B$9="بدون حالة","P",'الداشبورد'!$B$9)))</f>
        <v/>
      </c>
      <c r="V1308">
        <f>--($D1308=IF('الداشبورد'!$B$10="الكل",$D1308,'الداشبورد'!$B$10))</f>
        <v/>
      </c>
      <c r="W1308">
        <f>--($G1308=IF('الداشبورد'!$B$11="الكل",$G1308,'الداشبورد'!$B$11))</f>
        <v/>
      </c>
      <c r="X1308">
        <f>Q1308*R1308*S1308*T1308*U1308*V1308*W1308*--($C1308&lt;&gt;"")</f>
        <v/>
      </c>
    </row>
    <row r="1309">
      <c r="Q1309">
        <f>--($A1309=IF('الداشبورد'!$B$5="الكل",$A1309,'الداشبورد'!$B$5))</f>
        <v/>
      </c>
      <c r="R1309">
        <f>--($E1309=IF('الداشبورد'!$B$6="الكل",$E1309,'الداشبورد'!$B$6))</f>
        <v/>
      </c>
      <c r="S1309">
        <f>--($K1309=IF('الداشبورد'!$B$7="الكل",$K1309,IF('الداشبورد'!$B$7="تصدير","Y","N")))</f>
        <v/>
      </c>
      <c r="T1309">
        <f>--($J1309=IF('الداشبورد'!$B$8="الكل",$J1309,IF('الداشبورد'!$B$8="AL","A","C")))</f>
        <v/>
      </c>
      <c r="U1309">
        <f>--($I1309=IF('الداشبورد'!$B$9="الكل",$I1309,IF('الداشبورد'!$B$9="بدون حالة","P",'الداشبورد'!$B$9)))</f>
        <v/>
      </c>
      <c r="V1309">
        <f>--($D1309=IF('الداشبورد'!$B$10="الكل",$D1309,'الداشبورد'!$B$10))</f>
        <v/>
      </c>
      <c r="W1309">
        <f>--($G1309=IF('الداشبورد'!$B$11="الكل",$G1309,'الداشبورد'!$B$11))</f>
        <v/>
      </c>
      <c r="X1309">
        <f>Q1309*R1309*S1309*T1309*U1309*V1309*W1309*--($C1309&lt;&gt;"")</f>
        <v/>
      </c>
    </row>
    <row r="1310">
      <c r="Q1310">
        <f>--($A1310=IF('الداشبورد'!$B$5="الكل",$A1310,'الداشبورد'!$B$5))</f>
        <v/>
      </c>
      <c r="R1310">
        <f>--($E1310=IF('الداشبورد'!$B$6="الكل",$E1310,'الداشبورد'!$B$6))</f>
        <v/>
      </c>
      <c r="S1310">
        <f>--($K1310=IF('الداشبورد'!$B$7="الكل",$K1310,IF('الداشبورد'!$B$7="تصدير","Y","N")))</f>
        <v/>
      </c>
      <c r="T1310">
        <f>--($J1310=IF('الداشبورد'!$B$8="الكل",$J1310,IF('الداشبورد'!$B$8="AL","A","C")))</f>
        <v/>
      </c>
      <c r="U1310">
        <f>--($I1310=IF('الداشبورد'!$B$9="الكل",$I1310,IF('الداشبورد'!$B$9="بدون حالة","P",'الداشبورد'!$B$9)))</f>
        <v/>
      </c>
      <c r="V1310">
        <f>--($D1310=IF('الداشبورد'!$B$10="الكل",$D1310,'الداشبورد'!$B$10))</f>
        <v/>
      </c>
      <c r="W1310">
        <f>--($G1310=IF('الداشبورد'!$B$11="الكل",$G1310,'الداشبورد'!$B$11))</f>
        <v/>
      </c>
      <c r="X1310">
        <f>Q1310*R1310*S1310*T1310*U1310*V1310*W1310*--($C1310&lt;&gt;"")</f>
        <v/>
      </c>
    </row>
    <row r="1311">
      <c r="Q1311">
        <f>--($A1311=IF('الداشبورد'!$B$5="الكل",$A1311,'الداشبورد'!$B$5))</f>
        <v/>
      </c>
      <c r="R1311">
        <f>--($E1311=IF('الداشبورد'!$B$6="الكل",$E1311,'الداشبورد'!$B$6))</f>
        <v/>
      </c>
      <c r="S1311">
        <f>--($K1311=IF('الداشبورد'!$B$7="الكل",$K1311,IF('الداشبورد'!$B$7="تصدير","Y","N")))</f>
        <v/>
      </c>
      <c r="T1311">
        <f>--($J1311=IF('الداشبورد'!$B$8="الكل",$J1311,IF('الداشبورد'!$B$8="AL","A","C")))</f>
        <v/>
      </c>
      <c r="U1311">
        <f>--($I1311=IF('الداشبورد'!$B$9="الكل",$I1311,IF('الداشبورد'!$B$9="بدون حالة","P",'الداشبورد'!$B$9)))</f>
        <v/>
      </c>
      <c r="V1311">
        <f>--($D1311=IF('الداشبورد'!$B$10="الكل",$D1311,'الداشبورد'!$B$10))</f>
        <v/>
      </c>
      <c r="W1311">
        <f>--($G1311=IF('الداشبورد'!$B$11="الكل",$G1311,'الداشبورد'!$B$11))</f>
        <v/>
      </c>
      <c r="X1311">
        <f>Q1311*R1311*S1311*T1311*U1311*V1311*W1311*--($C1311&lt;&gt;"")</f>
        <v/>
      </c>
    </row>
    <row r="1312">
      <c r="Q1312">
        <f>--($A1312=IF('الداشبورد'!$B$5="الكل",$A1312,'الداشبورد'!$B$5))</f>
        <v/>
      </c>
      <c r="R1312">
        <f>--($E1312=IF('الداشبورد'!$B$6="الكل",$E1312,'الداشبورد'!$B$6))</f>
        <v/>
      </c>
      <c r="S1312">
        <f>--($K1312=IF('الداشبورد'!$B$7="الكل",$K1312,IF('الداشبورد'!$B$7="تصدير","Y","N")))</f>
        <v/>
      </c>
      <c r="T1312">
        <f>--($J1312=IF('الداشبورد'!$B$8="الكل",$J1312,IF('الداشبورد'!$B$8="AL","A","C")))</f>
        <v/>
      </c>
      <c r="U1312">
        <f>--($I1312=IF('الداشبورد'!$B$9="الكل",$I1312,IF('الداشبورد'!$B$9="بدون حالة","P",'الداشبورد'!$B$9)))</f>
        <v/>
      </c>
      <c r="V1312">
        <f>--($D1312=IF('الداشبورد'!$B$10="الكل",$D1312,'الداشبورد'!$B$10))</f>
        <v/>
      </c>
      <c r="W1312">
        <f>--($G1312=IF('الداشبورد'!$B$11="الكل",$G1312,'الداشبورد'!$B$11))</f>
        <v/>
      </c>
      <c r="X1312">
        <f>Q1312*R1312*S1312*T1312*U1312*V1312*W1312*--($C1312&lt;&gt;"")</f>
        <v/>
      </c>
    </row>
    <row r="1313">
      <c r="Q1313">
        <f>--($A1313=IF('الداشبورد'!$B$5="الكل",$A1313,'الداشبورد'!$B$5))</f>
        <v/>
      </c>
      <c r="R1313">
        <f>--($E1313=IF('الداشبورد'!$B$6="الكل",$E1313,'الداشبورد'!$B$6))</f>
        <v/>
      </c>
      <c r="S1313">
        <f>--($K1313=IF('الداشبورد'!$B$7="الكل",$K1313,IF('الداشبورد'!$B$7="تصدير","Y","N")))</f>
        <v/>
      </c>
      <c r="T1313">
        <f>--($J1313=IF('الداشبورد'!$B$8="الكل",$J1313,IF('الداشبورد'!$B$8="AL","A","C")))</f>
        <v/>
      </c>
      <c r="U1313">
        <f>--($I1313=IF('الداشبورد'!$B$9="الكل",$I1313,IF('الداشبورد'!$B$9="بدون حالة","P",'الداشبورد'!$B$9)))</f>
        <v/>
      </c>
      <c r="V1313">
        <f>--($D1313=IF('الداشبورد'!$B$10="الكل",$D1313,'الداشبورد'!$B$10))</f>
        <v/>
      </c>
      <c r="W1313">
        <f>--($G1313=IF('الداشبورد'!$B$11="الكل",$G1313,'الداشبورد'!$B$11))</f>
        <v/>
      </c>
      <c r="X1313">
        <f>Q1313*R1313*S1313*T1313*U1313*V1313*W1313*--($C1313&lt;&gt;"")</f>
        <v/>
      </c>
    </row>
    <row r="1314">
      <c r="Q1314">
        <f>--($A1314=IF('الداشبورد'!$B$5="الكل",$A1314,'الداشبورد'!$B$5))</f>
        <v/>
      </c>
      <c r="R1314">
        <f>--($E1314=IF('الداشبورد'!$B$6="الكل",$E1314,'الداشبورد'!$B$6))</f>
        <v/>
      </c>
      <c r="S1314">
        <f>--($K1314=IF('الداشبورد'!$B$7="الكل",$K1314,IF('الداشبورد'!$B$7="تصدير","Y","N")))</f>
        <v/>
      </c>
      <c r="T1314">
        <f>--($J1314=IF('الداشبورد'!$B$8="الكل",$J1314,IF('الداشبورد'!$B$8="AL","A","C")))</f>
        <v/>
      </c>
      <c r="U1314">
        <f>--($I1314=IF('الداشبورد'!$B$9="الكل",$I1314,IF('الداشبورد'!$B$9="بدون حالة","P",'الداشبورد'!$B$9)))</f>
        <v/>
      </c>
      <c r="V1314">
        <f>--($D1314=IF('الداشبورد'!$B$10="الكل",$D1314,'الداشبورد'!$B$10))</f>
        <v/>
      </c>
      <c r="W1314">
        <f>--($G1314=IF('الداشبورد'!$B$11="الكل",$G1314,'الداشبورد'!$B$11))</f>
        <v/>
      </c>
      <c r="X1314">
        <f>Q1314*R1314*S1314*T1314*U1314*V1314*W1314*--($C1314&lt;&gt;"")</f>
        <v/>
      </c>
    </row>
    <row r="1315">
      <c r="Q1315">
        <f>--($A1315=IF('الداشبورد'!$B$5="الكل",$A1315,'الداشبورد'!$B$5))</f>
        <v/>
      </c>
      <c r="R1315">
        <f>--($E1315=IF('الداشبورد'!$B$6="الكل",$E1315,'الداشبورد'!$B$6))</f>
        <v/>
      </c>
      <c r="S1315">
        <f>--($K1315=IF('الداشبورد'!$B$7="الكل",$K1315,IF('الداشبورد'!$B$7="تصدير","Y","N")))</f>
        <v/>
      </c>
      <c r="T1315">
        <f>--($J1315=IF('الداشبورد'!$B$8="الكل",$J1315,IF('الداشبورد'!$B$8="AL","A","C")))</f>
        <v/>
      </c>
      <c r="U1315">
        <f>--($I1315=IF('الداشبورد'!$B$9="الكل",$I1315,IF('الداشبورد'!$B$9="بدون حالة","P",'الداشبورد'!$B$9)))</f>
        <v/>
      </c>
      <c r="V1315">
        <f>--($D1315=IF('الداشبورد'!$B$10="الكل",$D1315,'الداشبورد'!$B$10))</f>
        <v/>
      </c>
      <c r="W1315">
        <f>--($G1315=IF('الداشبورد'!$B$11="الكل",$G1315,'الداشبورد'!$B$11))</f>
        <v/>
      </c>
      <c r="X1315">
        <f>Q1315*R1315*S1315*T1315*U1315*V1315*W1315*--($C1315&lt;&gt;"")</f>
        <v/>
      </c>
    </row>
    <row r="1316">
      <c r="Q1316">
        <f>--($A1316=IF('الداشبورد'!$B$5="الكل",$A1316,'الداشبورد'!$B$5))</f>
        <v/>
      </c>
      <c r="R1316">
        <f>--($E1316=IF('الداشبورد'!$B$6="الكل",$E1316,'الداشبورد'!$B$6))</f>
        <v/>
      </c>
      <c r="S1316">
        <f>--($K1316=IF('الداشبورد'!$B$7="الكل",$K1316,IF('الداشبورد'!$B$7="تصدير","Y","N")))</f>
        <v/>
      </c>
      <c r="T1316">
        <f>--($J1316=IF('الداشبورد'!$B$8="الكل",$J1316,IF('الداشبورد'!$B$8="AL","A","C")))</f>
        <v/>
      </c>
      <c r="U1316">
        <f>--($I1316=IF('الداشبورد'!$B$9="الكل",$I1316,IF('الداشبورد'!$B$9="بدون حالة","P",'الداشبورد'!$B$9)))</f>
        <v/>
      </c>
      <c r="V1316">
        <f>--($D1316=IF('الداشبورد'!$B$10="الكل",$D1316,'الداشبورد'!$B$10))</f>
        <v/>
      </c>
      <c r="W1316">
        <f>--($G1316=IF('الداشبورد'!$B$11="الكل",$G1316,'الداشبورد'!$B$11))</f>
        <v/>
      </c>
      <c r="X1316">
        <f>Q1316*R1316*S1316*T1316*U1316*V1316*W1316*--($C1316&lt;&gt;"")</f>
        <v/>
      </c>
    </row>
    <row r="1317">
      <c r="Q1317">
        <f>--($A1317=IF('الداشبورد'!$B$5="الكل",$A1317,'الداشبورد'!$B$5))</f>
        <v/>
      </c>
      <c r="R1317">
        <f>--($E1317=IF('الداشبورد'!$B$6="الكل",$E1317,'الداشبورد'!$B$6))</f>
        <v/>
      </c>
      <c r="S1317">
        <f>--($K1317=IF('الداشبورد'!$B$7="الكل",$K1317,IF('الداشبورد'!$B$7="تصدير","Y","N")))</f>
        <v/>
      </c>
      <c r="T1317">
        <f>--($J1317=IF('الداشبورد'!$B$8="الكل",$J1317,IF('الداشبورد'!$B$8="AL","A","C")))</f>
        <v/>
      </c>
      <c r="U1317">
        <f>--($I1317=IF('الداشبورد'!$B$9="الكل",$I1317,IF('الداشبورد'!$B$9="بدون حالة","P",'الداشبورد'!$B$9)))</f>
        <v/>
      </c>
      <c r="V1317">
        <f>--($D1317=IF('الداشبورد'!$B$10="الكل",$D1317,'الداشبورد'!$B$10))</f>
        <v/>
      </c>
      <c r="W1317">
        <f>--($G1317=IF('الداشبورد'!$B$11="الكل",$G1317,'الداشبورد'!$B$11))</f>
        <v/>
      </c>
      <c r="X1317">
        <f>Q1317*R1317*S1317*T1317*U1317*V1317*W1317*--($C1317&lt;&gt;"")</f>
        <v/>
      </c>
    </row>
    <row r="1318">
      <c r="Q1318">
        <f>--($A1318=IF('الداشبورد'!$B$5="الكل",$A1318,'الداشبورد'!$B$5))</f>
        <v/>
      </c>
      <c r="R1318">
        <f>--($E1318=IF('الداشبورد'!$B$6="الكل",$E1318,'الداشبورد'!$B$6))</f>
        <v/>
      </c>
      <c r="S1318">
        <f>--($K1318=IF('الداشبورد'!$B$7="الكل",$K1318,IF('الداشبورد'!$B$7="تصدير","Y","N")))</f>
        <v/>
      </c>
      <c r="T1318">
        <f>--($J1318=IF('الداشبورد'!$B$8="الكل",$J1318,IF('الداشبورد'!$B$8="AL","A","C")))</f>
        <v/>
      </c>
      <c r="U1318">
        <f>--($I1318=IF('الداشبورد'!$B$9="الكل",$I1318,IF('الداشبورد'!$B$9="بدون حالة","P",'الداشبورد'!$B$9)))</f>
        <v/>
      </c>
      <c r="V1318">
        <f>--($D1318=IF('الداشبورد'!$B$10="الكل",$D1318,'الداشبورد'!$B$10))</f>
        <v/>
      </c>
      <c r="W1318">
        <f>--($G1318=IF('الداشبورد'!$B$11="الكل",$G1318,'الداشبورد'!$B$11))</f>
        <v/>
      </c>
      <c r="X1318">
        <f>Q1318*R1318*S1318*T1318*U1318*V1318*W1318*--($C1318&lt;&gt;"")</f>
        <v/>
      </c>
    </row>
    <row r="1319">
      <c r="Q1319">
        <f>--($A1319=IF('الداشبورد'!$B$5="الكل",$A1319,'الداشبورد'!$B$5))</f>
        <v/>
      </c>
      <c r="R1319">
        <f>--($E1319=IF('الداشبورد'!$B$6="الكل",$E1319,'الداشبورد'!$B$6))</f>
        <v/>
      </c>
      <c r="S1319">
        <f>--($K1319=IF('الداشبورد'!$B$7="الكل",$K1319,IF('الداشبورد'!$B$7="تصدير","Y","N")))</f>
        <v/>
      </c>
      <c r="T1319">
        <f>--($J1319=IF('الداشبورد'!$B$8="الكل",$J1319,IF('الداشبورد'!$B$8="AL","A","C")))</f>
        <v/>
      </c>
      <c r="U1319">
        <f>--($I1319=IF('الداشبورد'!$B$9="الكل",$I1319,IF('الداشبورد'!$B$9="بدون حالة","P",'الداشبورد'!$B$9)))</f>
        <v/>
      </c>
      <c r="V1319">
        <f>--($D1319=IF('الداشبورد'!$B$10="الكل",$D1319,'الداشبورد'!$B$10))</f>
        <v/>
      </c>
      <c r="W1319">
        <f>--($G1319=IF('الداشبورد'!$B$11="الكل",$G1319,'الداشبورد'!$B$11))</f>
        <v/>
      </c>
      <c r="X1319">
        <f>Q1319*R1319*S1319*T1319*U1319*V1319*W1319*--($C1319&lt;&gt;"")</f>
        <v/>
      </c>
    </row>
    <row r="1320">
      <c r="Q1320">
        <f>--($A1320=IF('الداشبورد'!$B$5="الكل",$A1320,'الداشبورد'!$B$5))</f>
        <v/>
      </c>
      <c r="R1320">
        <f>--($E1320=IF('الداشبورد'!$B$6="الكل",$E1320,'الداشبورد'!$B$6))</f>
        <v/>
      </c>
      <c r="S1320">
        <f>--($K1320=IF('الداشبورد'!$B$7="الكل",$K1320,IF('الداشبورد'!$B$7="تصدير","Y","N")))</f>
        <v/>
      </c>
      <c r="T1320">
        <f>--($J1320=IF('الداشبورد'!$B$8="الكل",$J1320,IF('الداشبورد'!$B$8="AL","A","C")))</f>
        <v/>
      </c>
      <c r="U1320">
        <f>--($I1320=IF('الداشبورد'!$B$9="الكل",$I1320,IF('الداشبورد'!$B$9="بدون حالة","P",'الداشبورد'!$B$9)))</f>
        <v/>
      </c>
      <c r="V1320">
        <f>--($D1320=IF('الداشبورد'!$B$10="الكل",$D1320,'الداشبورد'!$B$10))</f>
        <v/>
      </c>
      <c r="W1320">
        <f>--($G1320=IF('الداشبورد'!$B$11="الكل",$G1320,'الداشبورد'!$B$11))</f>
        <v/>
      </c>
      <c r="X1320">
        <f>Q1320*R1320*S1320*T1320*U1320*V1320*W1320*--($C1320&lt;&gt;"")</f>
        <v/>
      </c>
    </row>
    <row r="1321">
      <c r="Q1321">
        <f>--($A1321=IF('الداشبورد'!$B$5="الكل",$A1321,'الداشبورد'!$B$5))</f>
        <v/>
      </c>
      <c r="R1321">
        <f>--($E1321=IF('الداشبورد'!$B$6="الكل",$E1321,'الداشبورد'!$B$6))</f>
        <v/>
      </c>
      <c r="S1321">
        <f>--($K1321=IF('الداشبورد'!$B$7="الكل",$K1321,IF('الداشبورد'!$B$7="تصدير","Y","N")))</f>
        <v/>
      </c>
      <c r="T1321">
        <f>--($J1321=IF('الداشبورد'!$B$8="الكل",$J1321,IF('الداشبورد'!$B$8="AL","A","C")))</f>
        <v/>
      </c>
      <c r="U1321">
        <f>--($I1321=IF('الداشبورد'!$B$9="الكل",$I1321,IF('الداشبورد'!$B$9="بدون حالة","P",'الداشبورد'!$B$9)))</f>
        <v/>
      </c>
      <c r="V1321">
        <f>--($D1321=IF('الداشبورد'!$B$10="الكل",$D1321,'الداشبورد'!$B$10))</f>
        <v/>
      </c>
      <c r="W1321">
        <f>--($G1321=IF('الداشبورد'!$B$11="الكل",$G1321,'الداشبورد'!$B$11))</f>
        <v/>
      </c>
      <c r="X1321">
        <f>Q1321*R1321*S1321*T1321*U1321*V1321*W1321*--($C1321&lt;&gt;"")</f>
        <v/>
      </c>
    </row>
    <row r="1322">
      <c r="Q1322">
        <f>--($A1322=IF('الداشبورد'!$B$5="الكل",$A1322,'الداشبورد'!$B$5))</f>
        <v/>
      </c>
      <c r="R1322">
        <f>--($E1322=IF('الداشبورد'!$B$6="الكل",$E1322,'الداشبورد'!$B$6))</f>
        <v/>
      </c>
      <c r="S1322">
        <f>--($K1322=IF('الداشبورد'!$B$7="الكل",$K1322,IF('الداشبورد'!$B$7="تصدير","Y","N")))</f>
        <v/>
      </c>
      <c r="T1322">
        <f>--($J1322=IF('الداشبورد'!$B$8="الكل",$J1322,IF('الداشبورد'!$B$8="AL","A","C")))</f>
        <v/>
      </c>
      <c r="U1322">
        <f>--($I1322=IF('الداشبورد'!$B$9="الكل",$I1322,IF('الداشبورد'!$B$9="بدون حالة","P",'الداشبورد'!$B$9)))</f>
        <v/>
      </c>
      <c r="V1322">
        <f>--($D1322=IF('الداشبورد'!$B$10="الكل",$D1322,'الداشبورد'!$B$10))</f>
        <v/>
      </c>
      <c r="W1322">
        <f>--($G1322=IF('الداشبورد'!$B$11="الكل",$G1322,'الداشبورد'!$B$11))</f>
        <v/>
      </c>
      <c r="X1322">
        <f>Q1322*R1322*S1322*T1322*U1322*V1322*W1322*--($C1322&lt;&gt;"")</f>
        <v/>
      </c>
    </row>
    <row r="1323">
      <c r="Q1323">
        <f>--($A1323=IF('الداشبورد'!$B$5="الكل",$A1323,'الداشبورد'!$B$5))</f>
        <v/>
      </c>
      <c r="R1323">
        <f>--($E1323=IF('الداشبورد'!$B$6="الكل",$E1323,'الداشبورد'!$B$6))</f>
        <v/>
      </c>
      <c r="S1323">
        <f>--($K1323=IF('الداشبورد'!$B$7="الكل",$K1323,IF('الداشبورد'!$B$7="تصدير","Y","N")))</f>
        <v/>
      </c>
      <c r="T1323">
        <f>--($J1323=IF('الداشبورد'!$B$8="الكل",$J1323,IF('الداشبورد'!$B$8="AL","A","C")))</f>
        <v/>
      </c>
      <c r="U1323">
        <f>--($I1323=IF('الداشبورد'!$B$9="الكل",$I1323,IF('الداشبورد'!$B$9="بدون حالة","P",'الداشبورد'!$B$9)))</f>
        <v/>
      </c>
      <c r="V1323">
        <f>--($D1323=IF('الداشبورد'!$B$10="الكل",$D1323,'الداشبورد'!$B$10))</f>
        <v/>
      </c>
      <c r="W1323">
        <f>--($G1323=IF('الداشبورد'!$B$11="الكل",$G1323,'الداشبورد'!$B$11))</f>
        <v/>
      </c>
      <c r="X1323">
        <f>Q1323*R1323*S1323*T1323*U1323*V1323*W1323*--($C1323&lt;&gt;"")</f>
        <v/>
      </c>
    </row>
    <row r="1324">
      <c r="Q1324">
        <f>--($A1324=IF('الداشبورد'!$B$5="الكل",$A1324,'الداشبورد'!$B$5))</f>
        <v/>
      </c>
      <c r="R1324">
        <f>--($E1324=IF('الداشبورد'!$B$6="الكل",$E1324,'الداشبورد'!$B$6))</f>
        <v/>
      </c>
      <c r="S1324">
        <f>--($K1324=IF('الداشبورد'!$B$7="الكل",$K1324,IF('الداشبورد'!$B$7="تصدير","Y","N")))</f>
        <v/>
      </c>
      <c r="T1324">
        <f>--($J1324=IF('الداشبورد'!$B$8="الكل",$J1324,IF('الداشبورد'!$B$8="AL","A","C")))</f>
        <v/>
      </c>
      <c r="U1324">
        <f>--($I1324=IF('الداشبورد'!$B$9="الكل",$I1324,IF('الداشبورد'!$B$9="بدون حالة","P",'الداشبورد'!$B$9)))</f>
        <v/>
      </c>
      <c r="V1324">
        <f>--($D1324=IF('الداشبورد'!$B$10="الكل",$D1324,'الداشبورد'!$B$10))</f>
        <v/>
      </c>
      <c r="W1324">
        <f>--($G1324=IF('الداشبورد'!$B$11="الكل",$G1324,'الداشبورد'!$B$11))</f>
        <v/>
      </c>
      <c r="X1324">
        <f>Q1324*R1324*S1324*T1324*U1324*V1324*W1324*--($C1324&lt;&gt;"")</f>
        <v/>
      </c>
    </row>
    <row r="1325">
      <c r="Q1325">
        <f>--($A1325=IF('الداشبورد'!$B$5="الكل",$A1325,'الداشبورد'!$B$5))</f>
        <v/>
      </c>
      <c r="R1325">
        <f>--($E1325=IF('الداشبورد'!$B$6="الكل",$E1325,'الداشبورد'!$B$6))</f>
        <v/>
      </c>
      <c r="S1325">
        <f>--($K1325=IF('الداشبورد'!$B$7="الكل",$K1325,IF('الداشبورد'!$B$7="تصدير","Y","N")))</f>
        <v/>
      </c>
      <c r="T1325">
        <f>--($J1325=IF('الداشبورد'!$B$8="الكل",$J1325,IF('الداشبورد'!$B$8="AL","A","C")))</f>
        <v/>
      </c>
      <c r="U1325">
        <f>--($I1325=IF('الداشبورد'!$B$9="الكل",$I1325,IF('الداشبورد'!$B$9="بدون حالة","P",'الداشبورد'!$B$9)))</f>
        <v/>
      </c>
      <c r="V1325">
        <f>--($D1325=IF('الداشبورد'!$B$10="الكل",$D1325,'الداشبورد'!$B$10))</f>
        <v/>
      </c>
      <c r="W1325">
        <f>--($G1325=IF('الداشبورد'!$B$11="الكل",$G1325,'الداشبورد'!$B$11))</f>
        <v/>
      </c>
      <c r="X1325">
        <f>Q1325*R1325*S1325*T1325*U1325*V1325*W1325*--($C1325&lt;&gt;"")</f>
        <v/>
      </c>
    </row>
    <row r="1326">
      <c r="Q1326">
        <f>--($A1326=IF('الداشبورد'!$B$5="الكل",$A1326,'الداشبورد'!$B$5))</f>
        <v/>
      </c>
      <c r="R1326">
        <f>--($E1326=IF('الداشبورد'!$B$6="الكل",$E1326,'الداشبورد'!$B$6))</f>
        <v/>
      </c>
      <c r="S1326">
        <f>--($K1326=IF('الداشبورد'!$B$7="الكل",$K1326,IF('الداشبورد'!$B$7="تصدير","Y","N")))</f>
        <v/>
      </c>
      <c r="T1326">
        <f>--($J1326=IF('الداشبورد'!$B$8="الكل",$J1326,IF('الداشبورد'!$B$8="AL","A","C")))</f>
        <v/>
      </c>
      <c r="U1326">
        <f>--($I1326=IF('الداشبورد'!$B$9="الكل",$I1326,IF('الداشبورد'!$B$9="بدون حالة","P",'الداشبورد'!$B$9)))</f>
        <v/>
      </c>
      <c r="V1326">
        <f>--($D1326=IF('الداشبورد'!$B$10="الكل",$D1326,'الداشبورد'!$B$10))</f>
        <v/>
      </c>
      <c r="W1326">
        <f>--($G1326=IF('الداشبورد'!$B$11="الكل",$G1326,'الداشبورد'!$B$11))</f>
        <v/>
      </c>
      <c r="X1326">
        <f>Q1326*R1326*S1326*T1326*U1326*V1326*W1326*--($C1326&lt;&gt;"")</f>
        <v/>
      </c>
    </row>
    <row r="1327">
      <c r="Q1327">
        <f>--($A1327=IF('الداشبورد'!$B$5="الكل",$A1327,'الداشبورد'!$B$5))</f>
        <v/>
      </c>
      <c r="R1327">
        <f>--($E1327=IF('الداشبورد'!$B$6="الكل",$E1327,'الداشبورد'!$B$6))</f>
        <v/>
      </c>
      <c r="S1327">
        <f>--($K1327=IF('الداشبورد'!$B$7="الكل",$K1327,IF('الداشبورد'!$B$7="تصدير","Y","N")))</f>
        <v/>
      </c>
      <c r="T1327">
        <f>--($J1327=IF('الداشبورد'!$B$8="الكل",$J1327,IF('الداشبورد'!$B$8="AL","A","C")))</f>
        <v/>
      </c>
      <c r="U1327">
        <f>--($I1327=IF('الداشبورد'!$B$9="الكل",$I1327,IF('الداشبورد'!$B$9="بدون حالة","P",'الداشبورد'!$B$9)))</f>
        <v/>
      </c>
      <c r="V1327">
        <f>--($D1327=IF('الداشبورد'!$B$10="الكل",$D1327,'الداشبورد'!$B$10))</f>
        <v/>
      </c>
      <c r="W1327">
        <f>--($G1327=IF('الداشبورد'!$B$11="الكل",$G1327,'الداشبورد'!$B$11))</f>
        <v/>
      </c>
      <c r="X1327">
        <f>Q1327*R1327*S1327*T1327*U1327*V1327*W1327*--($C1327&lt;&gt;"")</f>
        <v/>
      </c>
    </row>
    <row r="1328">
      <c r="Q1328">
        <f>--($A1328=IF('الداشبورد'!$B$5="الكل",$A1328,'الداشبورد'!$B$5))</f>
        <v/>
      </c>
      <c r="R1328">
        <f>--($E1328=IF('الداشبورد'!$B$6="الكل",$E1328,'الداشبورد'!$B$6))</f>
        <v/>
      </c>
      <c r="S1328">
        <f>--($K1328=IF('الداشبورد'!$B$7="الكل",$K1328,IF('الداشبورد'!$B$7="تصدير","Y","N")))</f>
        <v/>
      </c>
      <c r="T1328">
        <f>--($J1328=IF('الداشبورد'!$B$8="الكل",$J1328,IF('الداشبورد'!$B$8="AL","A","C")))</f>
        <v/>
      </c>
      <c r="U1328">
        <f>--($I1328=IF('الداشبورد'!$B$9="الكل",$I1328,IF('الداشبورد'!$B$9="بدون حالة","P",'الداشبورد'!$B$9)))</f>
        <v/>
      </c>
      <c r="V1328">
        <f>--($D1328=IF('الداشبورد'!$B$10="الكل",$D1328,'الداشبورد'!$B$10))</f>
        <v/>
      </c>
      <c r="W1328">
        <f>--($G1328=IF('الداشبورد'!$B$11="الكل",$G1328,'الداشبورد'!$B$11))</f>
        <v/>
      </c>
      <c r="X1328">
        <f>Q1328*R1328*S1328*T1328*U1328*V1328*W1328*--($C1328&lt;&gt;"")</f>
        <v/>
      </c>
    </row>
    <row r="1329">
      <c r="Q1329">
        <f>--($A1329=IF('الداشبورد'!$B$5="الكل",$A1329,'الداشبورد'!$B$5))</f>
        <v/>
      </c>
      <c r="R1329">
        <f>--($E1329=IF('الداشبورد'!$B$6="الكل",$E1329,'الداشبورد'!$B$6))</f>
        <v/>
      </c>
      <c r="S1329">
        <f>--($K1329=IF('الداشبورد'!$B$7="الكل",$K1329,IF('الداشبورد'!$B$7="تصدير","Y","N")))</f>
        <v/>
      </c>
      <c r="T1329">
        <f>--($J1329=IF('الداشبورد'!$B$8="الكل",$J1329,IF('الداشبورد'!$B$8="AL","A","C")))</f>
        <v/>
      </c>
      <c r="U1329">
        <f>--($I1329=IF('الداشبورد'!$B$9="الكل",$I1329,IF('الداشبورد'!$B$9="بدون حالة","P",'الداشبورد'!$B$9)))</f>
        <v/>
      </c>
      <c r="V1329">
        <f>--($D1329=IF('الداشبورد'!$B$10="الكل",$D1329,'الداشبورد'!$B$10))</f>
        <v/>
      </c>
      <c r="W1329">
        <f>--($G1329=IF('الداشبورد'!$B$11="الكل",$G1329,'الداشبورد'!$B$11))</f>
        <v/>
      </c>
      <c r="X1329">
        <f>Q1329*R1329*S1329*T1329*U1329*V1329*W1329*--($C1329&lt;&gt;"")</f>
        <v/>
      </c>
    </row>
    <row r="1330">
      <c r="Q1330">
        <f>--($A1330=IF('الداشبورد'!$B$5="الكل",$A1330,'الداشبورد'!$B$5))</f>
        <v/>
      </c>
      <c r="R1330">
        <f>--($E1330=IF('الداشبورد'!$B$6="الكل",$E1330,'الداشبورد'!$B$6))</f>
        <v/>
      </c>
      <c r="S1330">
        <f>--($K1330=IF('الداشبورد'!$B$7="الكل",$K1330,IF('الداشبورد'!$B$7="تصدير","Y","N")))</f>
        <v/>
      </c>
      <c r="T1330">
        <f>--($J1330=IF('الداشبورد'!$B$8="الكل",$J1330,IF('الداشبورد'!$B$8="AL","A","C")))</f>
        <v/>
      </c>
      <c r="U1330">
        <f>--($I1330=IF('الداشبورد'!$B$9="الكل",$I1330,IF('الداشبورد'!$B$9="بدون حالة","P",'الداشبورد'!$B$9)))</f>
        <v/>
      </c>
      <c r="V1330">
        <f>--($D1330=IF('الداشبورد'!$B$10="الكل",$D1330,'الداشبورد'!$B$10))</f>
        <v/>
      </c>
      <c r="W1330">
        <f>--($G1330=IF('الداشبورد'!$B$11="الكل",$G1330,'الداشبورد'!$B$11))</f>
        <v/>
      </c>
      <c r="X1330">
        <f>Q1330*R1330*S1330*T1330*U1330*V1330*W1330*--($C1330&lt;&gt;"")</f>
        <v/>
      </c>
    </row>
    <row r="1331">
      <c r="Q1331">
        <f>--($A1331=IF('الداشبورد'!$B$5="الكل",$A1331,'الداشبورد'!$B$5))</f>
        <v/>
      </c>
      <c r="R1331">
        <f>--($E1331=IF('الداشبورد'!$B$6="الكل",$E1331,'الداشبورد'!$B$6))</f>
        <v/>
      </c>
      <c r="S1331">
        <f>--($K1331=IF('الداشبورد'!$B$7="الكل",$K1331,IF('الداشبورد'!$B$7="تصدير","Y","N")))</f>
        <v/>
      </c>
      <c r="T1331">
        <f>--($J1331=IF('الداشبورد'!$B$8="الكل",$J1331,IF('الداشبورد'!$B$8="AL","A","C")))</f>
        <v/>
      </c>
      <c r="U1331">
        <f>--($I1331=IF('الداشبورد'!$B$9="الكل",$I1331,IF('الداشبورد'!$B$9="بدون حالة","P",'الداشبورد'!$B$9)))</f>
        <v/>
      </c>
      <c r="V1331">
        <f>--($D1331=IF('الداشبورد'!$B$10="الكل",$D1331,'الداشبورد'!$B$10))</f>
        <v/>
      </c>
      <c r="W1331">
        <f>--($G1331=IF('الداشبورد'!$B$11="الكل",$G1331,'الداشبورد'!$B$11))</f>
        <v/>
      </c>
      <c r="X1331">
        <f>Q1331*R1331*S1331*T1331*U1331*V1331*W1331*--($C1331&lt;&gt;"")</f>
        <v/>
      </c>
    </row>
    <row r="1332">
      <c r="Q1332">
        <f>--($A1332=IF('الداشبورد'!$B$5="الكل",$A1332,'الداشبورد'!$B$5))</f>
        <v/>
      </c>
      <c r="R1332">
        <f>--($E1332=IF('الداشبورد'!$B$6="الكل",$E1332,'الداشبورد'!$B$6))</f>
        <v/>
      </c>
      <c r="S1332">
        <f>--($K1332=IF('الداشبورد'!$B$7="الكل",$K1332,IF('الداشبورد'!$B$7="تصدير","Y","N")))</f>
        <v/>
      </c>
      <c r="T1332">
        <f>--($J1332=IF('الداشبورد'!$B$8="الكل",$J1332,IF('الداشبورد'!$B$8="AL","A","C")))</f>
        <v/>
      </c>
      <c r="U1332">
        <f>--($I1332=IF('الداشبورد'!$B$9="الكل",$I1332,IF('الداشبورد'!$B$9="بدون حالة","P",'الداشبورد'!$B$9)))</f>
        <v/>
      </c>
      <c r="V1332">
        <f>--($D1332=IF('الداشبورد'!$B$10="الكل",$D1332,'الداشبورد'!$B$10))</f>
        <v/>
      </c>
      <c r="W1332">
        <f>--($G1332=IF('الداشبورد'!$B$11="الكل",$G1332,'الداشبورد'!$B$11))</f>
        <v/>
      </c>
      <c r="X1332">
        <f>Q1332*R1332*S1332*T1332*U1332*V1332*W1332*--($C1332&lt;&gt;"")</f>
        <v/>
      </c>
    </row>
    <row r="1333">
      <c r="Q1333">
        <f>--($A1333=IF('الداشبورد'!$B$5="الكل",$A1333,'الداشبورد'!$B$5))</f>
        <v/>
      </c>
      <c r="R1333">
        <f>--($E1333=IF('الداشبورد'!$B$6="الكل",$E1333,'الداشبورد'!$B$6))</f>
        <v/>
      </c>
      <c r="S1333">
        <f>--($K1333=IF('الداشبورد'!$B$7="الكل",$K1333,IF('الداشبورد'!$B$7="تصدير","Y","N")))</f>
        <v/>
      </c>
      <c r="T1333">
        <f>--($J1333=IF('الداشبورد'!$B$8="الكل",$J1333,IF('الداشبورد'!$B$8="AL","A","C")))</f>
        <v/>
      </c>
      <c r="U1333">
        <f>--($I1333=IF('الداشبورد'!$B$9="الكل",$I1333,IF('الداشبورد'!$B$9="بدون حالة","P",'الداشبورد'!$B$9)))</f>
        <v/>
      </c>
      <c r="V1333">
        <f>--($D1333=IF('الداشبورد'!$B$10="الكل",$D1333,'الداشبورد'!$B$10))</f>
        <v/>
      </c>
      <c r="W1333">
        <f>--($G1333=IF('الداشبورد'!$B$11="الكل",$G1333,'الداشبورد'!$B$11))</f>
        <v/>
      </c>
      <c r="X1333">
        <f>Q1333*R1333*S1333*T1333*U1333*V1333*W1333*--($C1333&lt;&gt;"")</f>
        <v/>
      </c>
    </row>
    <row r="1334">
      <c r="Q1334">
        <f>--($A1334=IF('الداشبورد'!$B$5="الكل",$A1334,'الداشبورد'!$B$5))</f>
        <v/>
      </c>
      <c r="R1334">
        <f>--($E1334=IF('الداشبورد'!$B$6="الكل",$E1334,'الداشبورد'!$B$6))</f>
        <v/>
      </c>
      <c r="S1334">
        <f>--($K1334=IF('الداشبورد'!$B$7="الكل",$K1334,IF('الداشبورد'!$B$7="تصدير","Y","N")))</f>
        <v/>
      </c>
      <c r="T1334">
        <f>--($J1334=IF('الداشبورد'!$B$8="الكل",$J1334,IF('الداشبورد'!$B$8="AL","A","C")))</f>
        <v/>
      </c>
      <c r="U1334">
        <f>--($I1334=IF('الداشبورد'!$B$9="الكل",$I1334,IF('الداشبورد'!$B$9="بدون حالة","P",'الداشبورد'!$B$9)))</f>
        <v/>
      </c>
      <c r="V1334">
        <f>--($D1334=IF('الداشبورد'!$B$10="الكل",$D1334,'الداشبورد'!$B$10))</f>
        <v/>
      </c>
      <c r="W1334">
        <f>--($G1334=IF('الداشبورد'!$B$11="الكل",$G1334,'الداشبورد'!$B$11))</f>
        <v/>
      </c>
      <c r="X1334">
        <f>Q1334*R1334*S1334*T1334*U1334*V1334*W1334*--($C1334&lt;&gt;"")</f>
        <v/>
      </c>
    </row>
    <row r="1335">
      <c r="Q1335">
        <f>--($A1335=IF('الداشبورد'!$B$5="الكل",$A1335,'الداشبورد'!$B$5))</f>
        <v/>
      </c>
      <c r="R1335">
        <f>--($E1335=IF('الداشبورد'!$B$6="الكل",$E1335,'الداشبورد'!$B$6))</f>
        <v/>
      </c>
      <c r="S1335">
        <f>--($K1335=IF('الداشبورد'!$B$7="الكل",$K1335,IF('الداشبورد'!$B$7="تصدير","Y","N")))</f>
        <v/>
      </c>
      <c r="T1335">
        <f>--($J1335=IF('الداشبورد'!$B$8="الكل",$J1335,IF('الداشبورد'!$B$8="AL","A","C")))</f>
        <v/>
      </c>
      <c r="U1335">
        <f>--($I1335=IF('الداشبورد'!$B$9="الكل",$I1335,IF('الداشبورد'!$B$9="بدون حالة","P",'الداشبورد'!$B$9)))</f>
        <v/>
      </c>
      <c r="V1335">
        <f>--($D1335=IF('الداشبورد'!$B$10="الكل",$D1335,'الداشبورد'!$B$10))</f>
        <v/>
      </c>
      <c r="W1335">
        <f>--($G1335=IF('الداشبورد'!$B$11="الكل",$G1335,'الداشبورد'!$B$11))</f>
        <v/>
      </c>
      <c r="X1335">
        <f>Q1335*R1335*S1335*T1335*U1335*V1335*W1335*--($C1335&lt;&gt;"")</f>
        <v/>
      </c>
    </row>
    <row r="1336">
      <c r="Q1336">
        <f>--($A1336=IF('الداشبورد'!$B$5="الكل",$A1336,'الداشبورد'!$B$5))</f>
        <v/>
      </c>
      <c r="R1336">
        <f>--($E1336=IF('الداشبورد'!$B$6="الكل",$E1336,'الداشبورد'!$B$6))</f>
        <v/>
      </c>
      <c r="S1336">
        <f>--($K1336=IF('الداشبورد'!$B$7="الكل",$K1336,IF('الداشبورد'!$B$7="تصدير","Y","N")))</f>
        <v/>
      </c>
      <c r="T1336">
        <f>--($J1336=IF('الداشبورد'!$B$8="الكل",$J1336,IF('الداشبورد'!$B$8="AL","A","C")))</f>
        <v/>
      </c>
      <c r="U1336">
        <f>--($I1336=IF('الداشبورد'!$B$9="الكل",$I1336,IF('الداشبورد'!$B$9="بدون حالة","P",'الداشبورد'!$B$9)))</f>
        <v/>
      </c>
      <c r="V1336">
        <f>--($D1336=IF('الداشبورد'!$B$10="الكل",$D1336,'الداشبورد'!$B$10))</f>
        <v/>
      </c>
      <c r="W1336">
        <f>--($G1336=IF('الداشبورد'!$B$11="الكل",$G1336,'الداشبورد'!$B$11))</f>
        <v/>
      </c>
      <c r="X1336">
        <f>Q1336*R1336*S1336*T1336*U1336*V1336*W1336*--($C1336&lt;&gt;"")</f>
        <v/>
      </c>
    </row>
    <row r="1337">
      <c r="Q1337">
        <f>--($A1337=IF('الداشبورد'!$B$5="الكل",$A1337,'الداشبورد'!$B$5))</f>
        <v/>
      </c>
      <c r="R1337">
        <f>--($E1337=IF('الداشبورد'!$B$6="الكل",$E1337,'الداشبورد'!$B$6))</f>
        <v/>
      </c>
      <c r="S1337">
        <f>--($K1337=IF('الداشبورد'!$B$7="الكل",$K1337,IF('الداشبورد'!$B$7="تصدير","Y","N")))</f>
        <v/>
      </c>
      <c r="T1337">
        <f>--($J1337=IF('الداشبورد'!$B$8="الكل",$J1337,IF('الداشبورد'!$B$8="AL","A","C")))</f>
        <v/>
      </c>
      <c r="U1337">
        <f>--($I1337=IF('الداشبورد'!$B$9="الكل",$I1337,IF('الداشبورد'!$B$9="بدون حالة","P",'الداشبورد'!$B$9)))</f>
        <v/>
      </c>
      <c r="V1337">
        <f>--($D1337=IF('الداشبورد'!$B$10="الكل",$D1337,'الداشبورد'!$B$10))</f>
        <v/>
      </c>
      <c r="W1337">
        <f>--($G1337=IF('الداشبورد'!$B$11="الكل",$G1337,'الداشبورد'!$B$11))</f>
        <v/>
      </c>
      <c r="X1337">
        <f>Q1337*R1337*S1337*T1337*U1337*V1337*W1337*--($C1337&lt;&gt;"")</f>
        <v/>
      </c>
    </row>
    <row r="1338">
      <c r="Q1338">
        <f>--($A1338=IF('الداشبورد'!$B$5="الكل",$A1338,'الداشبورد'!$B$5))</f>
        <v/>
      </c>
      <c r="R1338">
        <f>--($E1338=IF('الداشبورد'!$B$6="الكل",$E1338,'الداشبورد'!$B$6))</f>
        <v/>
      </c>
      <c r="S1338">
        <f>--($K1338=IF('الداشبورد'!$B$7="الكل",$K1338,IF('الداشبورد'!$B$7="تصدير","Y","N")))</f>
        <v/>
      </c>
      <c r="T1338">
        <f>--($J1338=IF('الداشبورد'!$B$8="الكل",$J1338,IF('الداشبورد'!$B$8="AL","A","C")))</f>
        <v/>
      </c>
      <c r="U1338">
        <f>--($I1338=IF('الداشبورد'!$B$9="الكل",$I1338,IF('الداشبورد'!$B$9="بدون حالة","P",'الداشبورد'!$B$9)))</f>
        <v/>
      </c>
      <c r="V1338">
        <f>--($D1338=IF('الداشبورد'!$B$10="الكل",$D1338,'الداشبورد'!$B$10))</f>
        <v/>
      </c>
      <c r="W1338">
        <f>--($G1338=IF('الداشبورد'!$B$11="الكل",$G1338,'الداشبورد'!$B$11))</f>
        <v/>
      </c>
      <c r="X1338">
        <f>Q1338*R1338*S1338*T1338*U1338*V1338*W1338*--($C1338&lt;&gt;"")</f>
        <v/>
      </c>
    </row>
    <row r="1339">
      <c r="Q1339">
        <f>--($A1339=IF('الداشبورد'!$B$5="الكل",$A1339,'الداشبورد'!$B$5))</f>
        <v/>
      </c>
      <c r="R1339">
        <f>--($E1339=IF('الداشبورد'!$B$6="الكل",$E1339,'الداشبورد'!$B$6))</f>
        <v/>
      </c>
      <c r="S1339">
        <f>--($K1339=IF('الداشبورد'!$B$7="الكل",$K1339,IF('الداشبورد'!$B$7="تصدير","Y","N")))</f>
        <v/>
      </c>
      <c r="T1339">
        <f>--($J1339=IF('الداشبورد'!$B$8="الكل",$J1339,IF('الداشبورد'!$B$8="AL","A","C")))</f>
        <v/>
      </c>
      <c r="U1339">
        <f>--($I1339=IF('الداشبورد'!$B$9="الكل",$I1339,IF('الداشبورد'!$B$9="بدون حالة","P",'الداشبورد'!$B$9)))</f>
        <v/>
      </c>
      <c r="V1339">
        <f>--($D1339=IF('الداشبورد'!$B$10="الكل",$D1339,'الداشبورد'!$B$10))</f>
        <v/>
      </c>
      <c r="W1339">
        <f>--($G1339=IF('الداشبورد'!$B$11="الكل",$G1339,'الداشبورد'!$B$11))</f>
        <v/>
      </c>
      <c r="X1339">
        <f>Q1339*R1339*S1339*T1339*U1339*V1339*W1339*--($C1339&lt;&gt;"")</f>
        <v/>
      </c>
    </row>
    <row r="1340">
      <c r="Q1340">
        <f>--($A1340=IF('الداشبورد'!$B$5="الكل",$A1340,'الداشبورد'!$B$5))</f>
        <v/>
      </c>
      <c r="R1340">
        <f>--($E1340=IF('الداشبورد'!$B$6="الكل",$E1340,'الداشبورد'!$B$6))</f>
        <v/>
      </c>
      <c r="S1340">
        <f>--($K1340=IF('الداشبورد'!$B$7="الكل",$K1340,IF('الداشبورد'!$B$7="تصدير","Y","N")))</f>
        <v/>
      </c>
      <c r="T1340">
        <f>--($J1340=IF('الداشبورد'!$B$8="الكل",$J1340,IF('الداشبورد'!$B$8="AL","A","C")))</f>
        <v/>
      </c>
      <c r="U1340">
        <f>--($I1340=IF('الداشبورد'!$B$9="الكل",$I1340,IF('الداشبورد'!$B$9="بدون حالة","P",'الداشبورد'!$B$9)))</f>
        <v/>
      </c>
      <c r="V1340">
        <f>--($D1340=IF('الداشبورد'!$B$10="الكل",$D1340,'الداشبورد'!$B$10))</f>
        <v/>
      </c>
      <c r="W1340">
        <f>--($G1340=IF('الداشبورد'!$B$11="الكل",$G1340,'الداشبورد'!$B$11))</f>
        <v/>
      </c>
      <c r="X1340">
        <f>Q1340*R1340*S1340*T1340*U1340*V1340*W1340*--($C1340&lt;&gt;"")</f>
        <v/>
      </c>
    </row>
    <row r="1341">
      <c r="Q1341">
        <f>--($A1341=IF('الداشبورد'!$B$5="الكل",$A1341,'الداشبورد'!$B$5))</f>
        <v/>
      </c>
      <c r="R1341">
        <f>--($E1341=IF('الداشبورد'!$B$6="الكل",$E1341,'الداشبورد'!$B$6))</f>
        <v/>
      </c>
      <c r="S1341">
        <f>--($K1341=IF('الداشبورد'!$B$7="الكل",$K1341,IF('الداشبورد'!$B$7="تصدير","Y","N")))</f>
        <v/>
      </c>
      <c r="T1341">
        <f>--($J1341=IF('الداشبورد'!$B$8="الكل",$J1341,IF('الداشبورد'!$B$8="AL","A","C")))</f>
        <v/>
      </c>
      <c r="U1341">
        <f>--($I1341=IF('الداشبورد'!$B$9="الكل",$I1341,IF('الداشبورد'!$B$9="بدون حالة","P",'الداشبورد'!$B$9)))</f>
        <v/>
      </c>
      <c r="V1341">
        <f>--($D1341=IF('الداشبورد'!$B$10="الكل",$D1341,'الداشبورد'!$B$10))</f>
        <v/>
      </c>
      <c r="W1341">
        <f>--($G1341=IF('الداشبورد'!$B$11="الكل",$G1341,'الداشبورد'!$B$11))</f>
        <v/>
      </c>
      <c r="X1341">
        <f>Q1341*R1341*S1341*T1341*U1341*V1341*W1341*--($C1341&lt;&gt;"")</f>
        <v/>
      </c>
    </row>
    <row r="1342">
      <c r="Q1342">
        <f>--($A1342=IF('الداشبورد'!$B$5="الكل",$A1342,'الداشبورد'!$B$5))</f>
        <v/>
      </c>
      <c r="R1342">
        <f>--($E1342=IF('الداشبورد'!$B$6="الكل",$E1342,'الداشبورد'!$B$6))</f>
        <v/>
      </c>
      <c r="S1342">
        <f>--($K1342=IF('الداشبورد'!$B$7="الكل",$K1342,IF('الداشبورد'!$B$7="تصدير","Y","N")))</f>
        <v/>
      </c>
      <c r="T1342">
        <f>--($J1342=IF('الداشبورد'!$B$8="الكل",$J1342,IF('الداشبورد'!$B$8="AL","A","C")))</f>
        <v/>
      </c>
      <c r="U1342">
        <f>--($I1342=IF('الداشبورد'!$B$9="الكل",$I1342,IF('الداشبورد'!$B$9="بدون حالة","P",'الداشبورد'!$B$9)))</f>
        <v/>
      </c>
      <c r="V1342">
        <f>--($D1342=IF('الداشبورد'!$B$10="الكل",$D1342,'الداشبورد'!$B$10))</f>
        <v/>
      </c>
      <c r="W1342">
        <f>--($G1342=IF('الداشبورد'!$B$11="الكل",$G1342,'الداشبورد'!$B$11))</f>
        <v/>
      </c>
      <c r="X1342">
        <f>Q1342*R1342*S1342*T1342*U1342*V1342*W1342*--($C1342&lt;&gt;"")</f>
        <v/>
      </c>
    </row>
    <row r="1343">
      <c r="Q1343">
        <f>--($A1343=IF('الداشبورد'!$B$5="الكل",$A1343,'الداشبورد'!$B$5))</f>
        <v/>
      </c>
      <c r="R1343">
        <f>--($E1343=IF('الداشبورد'!$B$6="الكل",$E1343,'الداشبورد'!$B$6))</f>
        <v/>
      </c>
      <c r="S1343">
        <f>--($K1343=IF('الداشبورد'!$B$7="الكل",$K1343,IF('الداشبورد'!$B$7="تصدير","Y","N")))</f>
        <v/>
      </c>
      <c r="T1343">
        <f>--($J1343=IF('الداشبورد'!$B$8="الكل",$J1343,IF('الداشبورد'!$B$8="AL","A","C")))</f>
        <v/>
      </c>
      <c r="U1343">
        <f>--($I1343=IF('الداشبورد'!$B$9="الكل",$I1343,IF('الداشبورد'!$B$9="بدون حالة","P",'الداشبورد'!$B$9)))</f>
        <v/>
      </c>
      <c r="V1343">
        <f>--($D1343=IF('الداشبورد'!$B$10="الكل",$D1343,'الداشبورد'!$B$10))</f>
        <v/>
      </c>
      <c r="W1343">
        <f>--($G1343=IF('الداشبورد'!$B$11="الكل",$G1343,'الداشبورد'!$B$11))</f>
        <v/>
      </c>
      <c r="X1343">
        <f>Q1343*R1343*S1343*T1343*U1343*V1343*W1343*--($C1343&lt;&gt;"")</f>
        <v/>
      </c>
    </row>
    <row r="1344">
      <c r="Q1344">
        <f>--($A1344=IF('الداشبورد'!$B$5="الكل",$A1344,'الداشبورد'!$B$5))</f>
        <v/>
      </c>
      <c r="R1344">
        <f>--($E1344=IF('الداشبورد'!$B$6="الكل",$E1344,'الداشبورد'!$B$6))</f>
        <v/>
      </c>
      <c r="S1344">
        <f>--($K1344=IF('الداشبورد'!$B$7="الكل",$K1344,IF('الداشبورد'!$B$7="تصدير","Y","N")))</f>
        <v/>
      </c>
      <c r="T1344">
        <f>--($J1344=IF('الداشبورد'!$B$8="الكل",$J1344,IF('الداشبورد'!$B$8="AL","A","C")))</f>
        <v/>
      </c>
      <c r="U1344">
        <f>--($I1344=IF('الداشبورد'!$B$9="الكل",$I1344,IF('الداشبورد'!$B$9="بدون حالة","P",'الداشبورد'!$B$9)))</f>
        <v/>
      </c>
      <c r="V1344">
        <f>--($D1344=IF('الداشبورد'!$B$10="الكل",$D1344,'الداشبورد'!$B$10))</f>
        <v/>
      </c>
      <c r="W1344">
        <f>--($G1344=IF('الداشبورد'!$B$11="الكل",$G1344,'الداشبورد'!$B$11))</f>
        <v/>
      </c>
      <c r="X1344">
        <f>Q1344*R1344*S1344*T1344*U1344*V1344*W1344*--($C1344&lt;&gt;"")</f>
        <v/>
      </c>
    </row>
    <row r="1345">
      <c r="Q1345">
        <f>--($A1345=IF('الداشبورد'!$B$5="الكل",$A1345,'الداشبورد'!$B$5))</f>
        <v/>
      </c>
      <c r="R1345">
        <f>--($E1345=IF('الداشبورد'!$B$6="الكل",$E1345,'الداشبورد'!$B$6))</f>
        <v/>
      </c>
      <c r="S1345">
        <f>--($K1345=IF('الداشبورد'!$B$7="الكل",$K1345,IF('الداشبورد'!$B$7="تصدير","Y","N")))</f>
        <v/>
      </c>
      <c r="T1345">
        <f>--($J1345=IF('الداشبورد'!$B$8="الكل",$J1345,IF('الداشبورد'!$B$8="AL","A","C")))</f>
        <v/>
      </c>
      <c r="U1345">
        <f>--($I1345=IF('الداشبورد'!$B$9="الكل",$I1345,IF('الداشبورد'!$B$9="بدون حالة","P",'الداشبورد'!$B$9)))</f>
        <v/>
      </c>
      <c r="V1345">
        <f>--($D1345=IF('الداشبورد'!$B$10="الكل",$D1345,'الداشبورد'!$B$10))</f>
        <v/>
      </c>
      <c r="W1345">
        <f>--($G1345=IF('الداشبورد'!$B$11="الكل",$G1345,'الداشبورد'!$B$11))</f>
        <v/>
      </c>
      <c r="X1345">
        <f>Q1345*R1345*S1345*T1345*U1345*V1345*W1345*--($C1345&lt;&gt;"")</f>
        <v/>
      </c>
    </row>
    <row r="1346">
      <c r="Q1346">
        <f>--($A1346=IF('الداشبورد'!$B$5="الكل",$A1346,'الداشبورد'!$B$5))</f>
        <v/>
      </c>
      <c r="R1346">
        <f>--($E1346=IF('الداشبورد'!$B$6="الكل",$E1346,'الداشبورد'!$B$6))</f>
        <v/>
      </c>
      <c r="S1346">
        <f>--($K1346=IF('الداشبورد'!$B$7="الكل",$K1346,IF('الداشبورد'!$B$7="تصدير","Y","N")))</f>
        <v/>
      </c>
      <c r="T1346">
        <f>--($J1346=IF('الداشبورد'!$B$8="الكل",$J1346,IF('الداشبورد'!$B$8="AL","A","C")))</f>
        <v/>
      </c>
      <c r="U1346">
        <f>--($I1346=IF('الداشبورد'!$B$9="الكل",$I1346,IF('الداشبورد'!$B$9="بدون حالة","P",'الداشبورد'!$B$9)))</f>
        <v/>
      </c>
      <c r="V1346">
        <f>--($D1346=IF('الداشبورد'!$B$10="الكل",$D1346,'الداشبورد'!$B$10))</f>
        <v/>
      </c>
      <c r="W1346">
        <f>--($G1346=IF('الداشبورد'!$B$11="الكل",$G1346,'الداشبورد'!$B$11))</f>
        <v/>
      </c>
      <c r="X1346">
        <f>Q1346*R1346*S1346*T1346*U1346*V1346*W1346*--($C1346&lt;&gt;"")</f>
        <v/>
      </c>
    </row>
    <row r="1347">
      <c r="Q1347">
        <f>--($A1347=IF('الداشبورد'!$B$5="الكل",$A1347,'الداشبورد'!$B$5))</f>
        <v/>
      </c>
      <c r="R1347">
        <f>--($E1347=IF('الداشبورد'!$B$6="الكل",$E1347,'الداشبورد'!$B$6))</f>
        <v/>
      </c>
      <c r="S1347">
        <f>--($K1347=IF('الداشبورد'!$B$7="الكل",$K1347,IF('الداشبورد'!$B$7="تصدير","Y","N")))</f>
        <v/>
      </c>
      <c r="T1347">
        <f>--($J1347=IF('الداشبورد'!$B$8="الكل",$J1347,IF('الداشبورد'!$B$8="AL","A","C")))</f>
        <v/>
      </c>
      <c r="U1347">
        <f>--($I1347=IF('الداشبورد'!$B$9="الكل",$I1347,IF('الداشبورد'!$B$9="بدون حالة","P",'الداشبورد'!$B$9)))</f>
        <v/>
      </c>
      <c r="V1347">
        <f>--($D1347=IF('الداشبورد'!$B$10="الكل",$D1347,'الداشبورد'!$B$10))</f>
        <v/>
      </c>
      <c r="W1347">
        <f>--($G1347=IF('الداشبورد'!$B$11="الكل",$G1347,'الداشبورد'!$B$11))</f>
        <v/>
      </c>
      <c r="X1347">
        <f>Q1347*R1347*S1347*T1347*U1347*V1347*W1347*--($C1347&lt;&gt;"")</f>
        <v/>
      </c>
    </row>
    <row r="1348">
      <c r="Q1348">
        <f>--($A1348=IF('الداشبورد'!$B$5="الكل",$A1348,'الداشبورد'!$B$5))</f>
        <v/>
      </c>
      <c r="R1348">
        <f>--($E1348=IF('الداشبورد'!$B$6="الكل",$E1348,'الداشبورد'!$B$6))</f>
        <v/>
      </c>
      <c r="S1348">
        <f>--($K1348=IF('الداشبورد'!$B$7="الكل",$K1348,IF('الداشبورد'!$B$7="تصدير","Y","N")))</f>
        <v/>
      </c>
      <c r="T1348">
        <f>--($J1348=IF('الداشبورد'!$B$8="الكل",$J1348,IF('الداشبورد'!$B$8="AL","A","C")))</f>
        <v/>
      </c>
      <c r="U1348">
        <f>--($I1348=IF('الداشبورد'!$B$9="الكل",$I1348,IF('الداشبورد'!$B$9="بدون حالة","P",'الداشبورد'!$B$9)))</f>
        <v/>
      </c>
      <c r="V1348">
        <f>--($D1348=IF('الداشبورد'!$B$10="الكل",$D1348,'الداشبورد'!$B$10))</f>
        <v/>
      </c>
      <c r="W1348">
        <f>--($G1348=IF('الداشبورد'!$B$11="الكل",$G1348,'الداشبورد'!$B$11))</f>
        <v/>
      </c>
      <c r="X1348">
        <f>Q1348*R1348*S1348*T1348*U1348*V1348*W1348*--($C1348&lt;&gt;"")</f>
        <v/>
      </c>
    </row>
    <row r="1349">
      <c r="Q1349">
        <f>--($A1349=IF('الداشبورد'!$B$5="الكل",$A1349,'الداشبورد'!$B$5))</f>
        <v/>
      </c>
      <c r="R1349">
        <f>--($E1349=IF('الداشبورد'!$B$6="الكل",$E1349,'الداشبورد'!$B$6))</f>
        <v/>
      </c>
      <c r="S1349">
        <f>--($K1349=IF('الداشبورد'!$B$7="الكل",$K1349,IF('الداشبورد'!$B$7="تصدير","Y","N")))</f>
        <v/>
      </c>
      <c r="T1349">
        <f>--($J1349=IF('الداشبورد'!$B$8="الكل",$J1349,IF('الداشبورد'!$B$8="AL","A","C")))</f>
        <v/>
      </c>
      <c r="U1349">
        <f>--($I1349=IF('الداشبورد'!$B$9="الكل",$I1349,IF('الداشبورد'!$B$9="بدون حالة","P",'الداشبورد'!$B$9)))</f>
        <v/>
      </c>
      <c r="V1349">
        <f>--($D1349=IF('الداشبورد'!$B$10="الكل",$D1349,'الداشبورد'!$B$10))</f>
        <v/>
      </c>
      <c r="W1349">
        <f>--($G1349=IF('الداشبورد'!$B$11="الكل",$G1349,'الداشبورد'!$B$11))</f>
        <v/>
      </c>
      <c r="X1349">
        <f>Q1349*R1349*S1349*T1349*U1349*V1349*W1349*--($C1349&lt;&gt;"")</f>
        <v/>
      </c>
    </row>
    <row r="1350">
      <c r="Q1350">
        <f>--($A1350=IF('الداشبورد'!$B$5="الكل",$A1350,'الداشبورد'!$B$5))</f>
        <v/>
      </c>
      <c r="R1350">
        <f>--($E1350=IF('الداشبورد'!$B$6="الكل",$E1350,'الداشبورد'!$B$6))</f>
        <v/>
      </c>
      <c r="S1350">
        <f>--($K1350=IF('الداشبورد'!$B$7="الكل",$K1350,IF('الداشبورد'!$B$7="تصدير","Y","N")))</f>
        <v/>
      </c>
      <c r="T1350">
        <f>--($J1350=IF('الداشبورد'!$B$8="الكل",$J1350,IF('الداشبورد'!$B$8="AL","A","C")))</f>
        <v/>
      </c>
      <c r="U1350">
        <f>--($I1350=IF('الداشبورد'!$B$9="الكل",$I1350,IF('الداشبورد'!$B$9="بدون حالة","P",'الداشبورد'!$B$9)))</f>
        <v/>
      </c>
      <c r="V1350">
        <f>--($D1350=IF('الداشبورد'!$B$10="الكل",$D1350,'الداشبورد'!$B$10))</f>
        <v/>
      </c>
      <c r="W1350">
        <f>--($G1350=IF('الداشبورد'!$B$11="الكل",$G1350,'الداشبورد'!$B$11))</f>
        <v/>
      </c>
      <c r="X1350">
        <f>Q1350*R1350*S1350*T1350*U1350*V1350*W1350*--($C1350&lt;&gt;"")</f>
        <v/>
      </c>
    </row>
    <row r="1351">
      <c r="Q1351">
        <f>--($A1351=IF('الداشبورد'!$B$5="الكل",$A1351,'الداشبورد'!$B$5))</f>
        <v/>
      </c>
      <c r="R1351">
        <f>--($E1351=IF('الداشبورد'!$B$6="الكل",$E1351,'الداشبورد'!$B$6))</f>
        <v/>
      </c>
      <c r="S1351">
        <f>--($K1351=IF('الداشبورد'!$B$7="الكل",$K1351,IF('الداشبورد'!$B$7="تصدير","Y","N")))</f>
        <v/>
      </c>
      <c r="T1351">
        <f>--($J1351=IF('الداشبورد'!$B$8="الكل",$J1351,IF('الداشبورد'!$B$8="AL","A","C")))</f>
        <v/>
      </c>
      <c r="U1351">
        <f>--($I1351=IF('الداشبورد'!$B$9="الكل",$I1351,IF('الداشبورد'!$B$9="بدون حالة","P",'الداشبورد'!$B$9)))</f>
        <v/>
      </c>
      <c r="V1351">
        <f>--($D1351=IF('الداشبورد'!$B$10="الكل",$D1351,'الداشبورد'!$B$10))</f>
        <v/>
      </c>
      <c r="W1351">
        <f>--($G1351=IF('الداشبورد'!$B$11="الكل",$G1351,'الداشبورد'!$B$11))</f>
        <v/>
      </c>
      <c r="X1351">
        <f>Q1351*R1351*S1351*T1351*U1351*V1351*W1351*--($C1351&lt;&gt;"")</f>
        <v/>
      </c>
    </row>
    <row r="1352">
      <c r="Q1352">
        <f>--($A1352=IF('الداشبورد'!$B$5="الكل",$A1352,'الداشبورد'!$B$5))</f>
        <v/>
      </c>
      <c r="R1352">
        <f>--($E1352=IF('الداشبورد'!$B$6="الكل",$E1352,'الداشبورد'!$B$6))</f>
        <v/>
      </c>
      <c r="S1352">
        <f>--($K1352=IF('الداشبورد'!$B$7="الكل",$K1352,IF('الداشبورد'!$B$7="تصدير","Y","N")))</f>
        <v/>
      </c>
      <c r="T1352">
        <f>--($J1352=IF('الداشبورد'!$B$8="الكل",$J1352,IF('الداشبورد'!$B$8="AL","A","C")))</f>
        <v/>
      </c>
      <c r="U1352">
        <f>--($I1352=IF('الداشبورد'!$B$9="الكل",$I1352,IF('الداشبورد'!$B$9="بدون حالة","P",'الداشبورد'!$B$9)))</f>
        <v/>
      </c>
      <c r="V1352">
        <f>--($D1352=IF('الداشبورد'!$B$10="الكل",$D1352,'الداشبورد'!$B$10))</f>
        <v/>
      </c>
      <c r="W1352">
        <f>--($G1352=IF('الداشبورد'!$B$11="الكل",$G1352,'الداشبورد'!$B$11))</f>
        <v/>
      </c>
      <c r="X1352">
        <f>Q1352*R1352*S1352*T1352*U1352*V1352*W1352*--($C1352&lt;&gt;"")</f>
        <v/>
      </c>
    </row>
    <row r="1353">
      <c r="Q1353">
        <f>--($A1353=IF('الداشبورد'!$B$5="الكل",$A1353,'الداشبورد'!$B$5))</f>
        <v/>
      </c>
      <c r="R1353">
        <f>--($E1353=IF('الداشبورد'!$B$6="الكل",$E1353,'الداشبورد'!$B$6))</f>
        <v/>
      </c>
      <c r="S1353">
        <f>--($K1353=IF('الداشبورد'!$B$7="الكل",$K1353,IF('الداشبورد'!$B$7="تصدير","Y","N")))</f>
        <v/>
      </c>
      <c r="T1353">
        <f>--($J1353=IF('الداشبورد'!$B$8="الكل",$J1353,IF('الداشبورد'!$B$8="AL","A","C")))</f>
        <v/>
      </c>
      <c r="U1353">
        <f>--($I1353=IF('الداشبورد'!$B$9="الكل",$I1353,IF('الداشبورد'!$B$9="بدون حالة","P",'الداشبورد'!$B$9)))</f>
        <v/>
      </c>
      <c r="V1353">
        <f>--($D1353=IF('الداشبورد'!$B$10="الكل",$D1353,'الداشبورد'!$B$10))</f>
        <v/>
      </c>
      <c r="W1353">
        <f>--($G1353=IF('الداشبورد'!$B$11="الكل",$G1353,'الداشبورد'!$B$11))</f>
        <v/>
      </c>
      <c r="X1353">
        <f>Q1353*R1353*S1353*T1353*U1353*V1353*W1353*--($C1353&lt;&gt;"")</f>
        <v/>
      </c>
    </row>
    <row r="1354">
      <c r="Q1354">
        <f>--($A1354=IF('الداشبورد'!$B$5="الكل",$A1354,'الداشبورد'!$B$5))</f>
        <v/>
      </c>
      <c r="R1354">
        <f>--($E1354=IF('الداشبورد'!$B$6="الكل",$E1354,'الداشبورد'!$B$6))</f>
        <v/>
      </c>
      <c r="S1354">
        <f>--($K1354=IF('الداشبورد'!$B$7="الكل",$K1354,IF('الداشبورد'!$B$7="تصدير","Y","N")))</f>
        <v/>
      </c>
      <c r="T1354">
        <f>--($J1354=IF('الداشبورد'!$B$8="الكل",$J1354,IF('الداشبورد'!$B$8="AL","A","C")))</f>
        <v/>
      </c>
      <c r="U1354">
        <f>--($I1354=IF('الداشبورد'!$B$9="الكل",$I1354,IF('الداشبورد'!$B$9="بدون حالة","P",'الداشبورد'!$B$9)))</f>
        <v/>
      </c>
      <c r="V1354">
        <f>--($D1354=IF('الداشبورد'!$B$10="الكل",$D1354,'الداشبورد'!$B$10))</f>
        <v/>
      </c>
      <c r="W1354">
        <f>--($G1354=IF('الداشبورد'!$B$11="الكل",$G1354,'الداشبورد'!$B$11))</f>
        <v/>
      </c>
      <c r="X1354">
        <f>Q1354*R1354*S1354*T1354*U1354*V1354*W1354*--($C1354&lt;&gt;"")</f>
        <v/>
      </c>
    </row>
    <row r="1355">
      <c r="Q1355">
        <f>--($A1355=IF('الداشبورد'!$B$5="الكل",$A1355,'الداشبورد'!$B$5))</f>
        <v/>
      </c>
      <c r="R1355">
        <f>--($E1355=IF('الداشبورد'!$B$6="الكل",$E1355,'الداشبورد'!$B$6))</f>
        <v/>
      </c>
      <c r="S1355">
        <f>--($K1355=IF('الداشبورد'!$B$7="الكل",$K1355,IF('الداشبورد'!$B$7="تصدير","Y","N")))</f>
        <v/>
      </c>
      <c r="T1355">
        <f>--($J1355=IF('الداشبورد'!$B$8="الكل",$J1355,IF('الداشبورد'!$B$8="AL","A","C")))</f>
        <v/>
      </c>
      <c r="U1355">
        <f>--($I1355=IF('الداشبورد'!$B$9="الكل",$I1355,IF('الداشبورد'!$B$9="بدون حالة","P",'الداشبورد'!$B$9)))</f>
        <v/>
      </c>
      <c r="V1355">
        <f>--($D1355=IF('الداشبورد'!$B$10="الكل",$D1355,'الداشبورد'!$B$10))</f>
        <v/>
      </c>
      <c r="W1355">
        <f>--($G1355=IF('الداشبورد'!$B$11="الكل",$G1355,'الداشبورد'!$B$11))</f>
        <v/>
      </c>
      <c r="X1355">
        <f>Q1355*R1355*S1355*T1355*U1355*V1355*W1355*--($C1355&lt;&gt;"")</f>
        <v/>
      </c>
    </row>
    <row r="1356">
      <c r="Q1356">
        <f>--($A1356=IF('الداشبورد'!$B$5="الكل",$A1356,'الداشبورد'!$B$5))</f>
        <v/>
      </c>
      <c r="R1356">
        <f>--($E1356=IF('الداشبورد'!$B$6="الكل",$E1356,'الداشبورد'!$B$6))</f>
        <v/>
      </c>
      <c r="S1356">
        <f>--($K1356=IF('الداشبورد'!$B$7="الكل",$K1356,IF('الداشبورد'!$B$7="تصدير","Y","N")))</f>
        <v/>
      </c>
      <c r="T1356">
        <f>--($J1356=IF('الداشبورد'!$B$8="الكل",$J1356,IF('الداشبورد'!$B$8="AL","A","C")))</f>
        <v/>
      </c>
      <c r="U1356">
        <f>--($I1356=IF('الداشبورد'!$B$9="الكل",$I1356,IF('الداشبورد'!$B$9="بدون حالة","P",'الداشبورد'!$B$9)))</f>
        <v/>
      </c>
      <c r="V1356">
        <f>--($D1356=IF('الداشبورد'!$B$10="الكل",$D1356,'الداشبورد'!$B$10))</f>
        <v/>
      </c>
      <c r="W1356">
        <f>--($G1356=IF('الداشبورد'!$B$11="الكل",$G1356,'الداشبورد'!$B$11))</f>
        <v/>
      </c>
      <c r="X1356">
        <f>Q1356*R1356*S1356*T1356*U1356*V1356*W1356*--($C1356&lt;&gt;"")</f>
        <v/>
      </c>
    </row>
    <row r="1357">
      <c r="Q1357">
        <f>--($A1357=IF('الداشبورد'!$B$5="الكل",$A1357,'الداشبورد'!$B$5))</f>
        <v/>
      </c>
      <c r="R1357">
        <f>--($E1357=IF('الداشبورد'!$B$6="الكل",$E1357,'الداشبورد'!$B$6))</f>
        <v/>
      </c>
      <c r="S1357">
        <f>--($K1357=IF('الداشبورد'!$B$7="الكل",$K1357,IF('الداشبورد'!$B$7="تصدير","Y","N")))</f>
        <v/>
      </c>
      <c r="T1357">
        <f>--($J1357=IF('الداشبورد'!$B$8="الكل",$J1357,IF('الداشبورد'!$B$8="AL","A","C")))</f>
        <v/>
      </c>
      <c r="U1357">
        <f>--($I1357=IF('الداشبورد'!$B$9="الكل",$I1357,IF('الداشبورد'!$B$9="بدون حالة","P",'الداشبورد'!$B$9)))</f>
        <v/>
      </c>
      <c r="V1357">
        <f>--($D1357=IF('الداشبورد'!$B$10="الكل",$D1357,'الداشبورد'!$B$10))</f>
        <v/>
      </c>
      <c r="W1357">
        <f>--($G1357=IF('الداشبورد'!$B$11="الكل",$G1357,'الداشبورد'!$B$11))</f>
        <v/>
      </c>
      <c r="X1357">
        <f>Q1357*R1357*S1357*T1357*U1357*V1357*W1357*--($C1357&lt;&gt;"")</f>
        <v/>
      </c>
    </row>
    <row r="1358">
      <c r="Q1358">
        <f>--($A1358=IF('الداشبورد'!$B$5="الكل",$A1358,'الداشبورد'!$B$5))</f>
        <v/>
      </c>
      <c r="R1358">
        <f>--($E1358=IF('الداشبورد'!$B$6="الكل",$E1358,'الداشبورد'!$B$6))</f>
        <v/>
      </c>
      <c r="S1358">
        <f>--($K1358=IF('الداشبورد'!$B$7="الكل",$K1358,IF('الداشبورد'!$B$7="تصدير","Y","N")))</f>
        <v/>
      </c>
      <c r="T1358">
        <f>--($J1358=IF('الداشبورد'!$B$8="الكل",$J1358,IF('الداشبورد'!$B$8="AL","A","C")))</f>
        <v/>
      </c>
      <c r="U1358">
        <f>--($I1358=IF('الداشبورد'!$B$9="الكل",$I1358,IF('الداشبورد'!$B$9="بدون حالة","P",'الداشبورد'!$B$9)))</f>
        <v/>
      </c>
      <c r="V1358">
        <f>--($D1358=IF('الداشبورد'!$B$10="الكل",$D1358,'الداشبورد'!$B$10))</f>
        <v/>
      </c>
      <c r="W1358">
        <f>--($G1358=IF('الداشبورد'!$B$11="الكل",$G1358,'الداشبورد'!$B$11))</f>
        <v/>
      </c>
      <c r="X1358">
        <f>Q1358*R1358*S1358*T1358*U1358*V1358*W1358*--($C1358&lt;&gt;"")</f>
        <v/>
      </c>
    </row>
    <row r="1359">
      <c r="Q1359">
        <f>--($A1359=IF('الداشبورد'!$B$5="الكل",$A1359,'الداشبورد'!$B$5))</f>
        <v/>
      </c>
      <c r="R1359">
        <f>--($E1359=IF('الداشبورد'!$B$6="الكل",$E1359,'الداشبورد'!$B$6))</f>
        <v/>
      </c>
      <c r="S1359">
        <f>--($K1359=IF('الداشبورد'!$B$7="الكل",$K1359,IF('الداشبورد'!$B$7="تصدير","Y","N")))</f>
        <v/>
      </c>
      <c r="T1359">
        <f>--($J1359=IF('الداشبورد'!$B$8="الكل",$J1359,IF('الداشبورد'!$B$8="AL","A","C")))</f>
        <v/>
      </c>
      <c r="U1359">
        <f>--($I1359=IF('الداشبورد'!$B$9="الكل",$I1359,IF('الداشبورد'!$B$9="بدون حالة","P",'الداشبورد'!$B$9)))</f>
        <v/>
      </c>
      <c r="V1359">
        <f>--($D1359=IF('الداشبورد'!$B$10="الكل",$D1359,'الداشبورد'!$B$10))</f>
        <v/>
      </c>
      <c r="W1359">
        <f>--($G1359=IF('الداشبورد'!$B$11="الكل",$G1359,'الداشبورد'!$B$11))</f>
        <v/>
      </c>
      <c r="X1359">
        <f>Q1359*R1359*S1359*T1359*U1359*V1359*W1359*--($C1359&lt;&gt;"")</f>
        <v/>
      </c>
    </row>
    <row r="1360">
      <c r="Q1360">
        <f>--($A1360=IF('الداشبورد'!$B$5="الكل",$A1360,'الداشبورد'!$B$5))</f>
        <v/>
      </c>
      <c r="R1360">
        <f>--($E1360=IF('الداشبورد'!$B$6="الكل",$E1360,'الداشبورد'!$B$6))</f>
        <v/>
      </c>
      <c r="S1360">
        <f>--($K1360=IF('الداشبورد'!$B$7="الكل",$K1360,IF('الداشبورد'!$B$7="تصدير","Y","N")))</f>
        <v/>
      </c>
      <c r="T1360">
        <f>--($J1360=IF('الداشبورد'!$B$8="الكل",$J1360,IF('الداشبورد'!$B$8="AL","A","C")))</f>
        <v/>
      </c>
      <c r="U1360">
        <f>--($I1360=IF('الداشبورد'!$B$9="الكل",$I1360,IF('الداشبورد'!$B$9="بدون حالة","P",'الداشبورد'!$B$9)))</f>
        <v/>
      </c>
      <c r="V1360">
        <f>--($D1360=IF('الداشبورد'!$B$10="الكل",$D1360,'الداشبورد'!$B$10))</f>
        <v/>
      </c>
      <c r="W1360">
        <f>--($G1360=IF('الداشبورد'!$B$11="الكل",$G1360,'الداشبورد'!$B$11))</f>
        <v/>
      </c>
      <c r="X1360">
        <f>Q1360*R1360*S1360*T1360*U1360*V1360*W1360*--($C1360&lt;&gt;"")</f>
        <v/>
      </c>
    </row>
    <row r="1361">
      <c r="Q1361">
        <f>--($A1361=IF('الداشبورد'!$B$5="الكل",$A1361,'الداشبورد'!$B$5))</f>
        <v/>
      </c>
      <c r="R1361">
        <f>--($E1361=IF('الداشبورد'!$B$6="الكل",$E1361,'الداشبورد'!$B$6))</f>
        <v/>
      </c>
      <c r="S1361">
        <f>--($K1361=IF('الداشبورد'!$B$7="الكل",$K1361,IF('الداشبورد'!$B$7="تصدير","Y","N")))</f>
        <v/>
      </c>
      <c r="T1361">
        <f>--($J1361=IF('الداشبورد'!$B$8="الكل",$J1361,IF('الداشبورد'!$B$8="AL","A","C")))</f>
        <v/>
      </c>
      <c r="U1361">
        <f>--($I1361=IF('الداشبورد'!$B$9="الكل",$I1361,IF('الداشبورد'!$B$9="بدون حالة","P",'الداشبورد'!$B$9)))</f>
        <v/>
      </c>
      <c r="V1361">
        <f>--($D1361=IF('الداشبورد'!$B$10="الكل",$D1361,'الداشبورد'!$B$10))</f>
        <v/>
      </c>
      <c r="W1361">
        <f>--($G1361=IF('الداشبورد'!$B$11="الكل",$G1361,'الداشبورد'!$B$11))</f>
        <v/>
      </c>
      <c r="X1361">
        <f>Q1361*R1361*S1361*T1361*U1361*V1361*W1361*--($C1361&lt;&gt;"")</f>
        <v/>
      </c>
    </row>
    <row r="1362">
      <c r="Q1362">
        <f>--($A1362=IF('الداشبورد'!$B$5="الكل",$A1362,'الداشبورد'!$B$5))</f>
        <v/>
      </c>
      <c r="R1362">
        <f>--($E1362=IF('الداشبورد'!$B$6="الكل",$E1362,'الداشبورد'!$B$6))</f>
        <v/>
      </c>
      <c r="S1362">
        <f>--($K1362=IF('الداشبورد'!$B$7="الكل",$K1362,IF('الداشبورد'!$B$7="تصدير","Y","N")))</f>
        <v/>
      </c>
      <c r="T1362">
        <f>--($J1362=IF('الداشبورد'!$B$8="الكل",$J1362,IF('الداشبورد'!$B$8="AL","A","C")))</f>
        <v/>
      </c>
      <c r="U1362">
        <f>--($I1362=IF('الداشبورد'!$B$9="الكل",$I1362,IF('الداشبورد'!$B$9="بدون حالة","P",'الداشبورد'!$B$9)))</f>
        <v/>
      </c>
      <c r="V1362">
        <f>--($D1362=IF('الداشبورد'!$B$10="الكل",$D1362,'الداشبورد'!$B$10))</f>
        <v/>
      </c>
      <c r="W1362">
        <f>--($G1362=IF('الداشبورد'!$B$11="الكل",$G1362,'الداشبورد'!$B$11))</f>
        <v/>
      </c>
      <c r="X1362">
        <f>Q1362*R1362*S1362*T1362*U1362*V1362*W1362*--($C1362&lt;&gt;"")</f>
        <v/>
      </c>
    </row>
    <row r="1363">
      <c r="Q1363">
        <f>--($A1363=IF('الداشبورد'!$B$5="الكل",$A1363,'الداشبورد'!$B$5))</f>
        <v/>
      </c>
      <c r="R1363">
        <f>--($E1363=IF('الداشبورد'!$B$6="الكل",$E1363,'الداشبورد'!$B$6))</f>
        <v/>
      </c>
      <c r="S1363">
        <f>--($K1363=IF('الداشبورد'!$B$7="الكل",$K1363,IF('الداشبورد'!$B$7="تصدير","Y","N")))</f>
        <v/>
      </c>
      <c r="T1363">
        <f>--($J1363=IF('الداشبورد'!$B$8="الكل",$J1363,IF('الداشبورد'!$B$8="AL","A","C")))</f>
        <v/>
      </c>
      <c r="U1363">
        <f>--($I1363=IF('الداشبورد'!$B$9="الكل",$I1363,IF('الداشبورد'!$B$9="بدون حالة","P",'الداشبورد'!$B$9)))</f>
        <v/>
      </c>
      <c r="V1363">
        <f>--($D1363=IF('الداشبورد'!$B$10="الكل",$D1363,'الداشبورد'!$B$10))</f>
        <v/>
      </c>
      <c r="W1363">
        <f>--($G1363=IF('الداشبورد'!$B$11="الكل",$G1363,'الداشبورد'!$B$11))</f>
        <v/>
      </c>
      <c r="X1363">
        <f>Q1363*R1363*S1363*T1363*U1363*V1363*W1363*--($C1363&lt;&gt;"")</f>
        <v/>
      </c>
    </row>
    <row r="1364">
      <c r="Q1364">
        <f>--($A1364=IF('الداشبورد'!$B$5="الكل",$A1364,'الداشبورد'!$B$5))</f>
        <v/>
      </c>
      <c r="R1364">
        <f>--($E1364=IF('الداشبورد'!$B$6="الكل",$E1364,'الداشبورد'!$B$6))</f>
        <v/>
      </c>
      <c r="S1364">
        <f>--($K1364=IF('الداشبورد'!$B$7="الكل",$K1364,IF('الداشبورد'!$B$7="تصدير","Y","N")))</f>
        <v/>
      </c>
      <c r="T1364">
        <f>--($J1364=IF('الداشبورد'!$B$8="الكل",$J1364,IF('الداشبورد'!$B$8="AL","A","C")))</f>
        <v/>
      </c>
      <c r="U1364">
        <f>--($I1364=IF('الداشبورد'!$B$9="الكل",$I1364,IF('الداشبورد'!$B$9="بدون حالة","P",'الداشبورد'!$B$9)))</f>
        <v/>
      </c>
      <c r="V1364">
        <f>--($D1364=IF('الداشبورد'!$B$10="الكل",$D1364,'الداشبورد'!$B$10))</f>
        <v/>
      </c>
      <c r="W1364">
        <f>--($G1364=IF('الداشبورد'!$B$11="الكل",$G1364,'الداشبورد'!$B$11))</f>
        <v/>
      </c>
      <c r="X1364">
        <f>Q1364*R1364*S1364*T1364*U1364*V1364*W1364*--($C1364&lt;&gt;"")</f>
        <v/>
      </c>
    </row>
    <row r="1365">
      <c r="Q1365">
        <f>--($A1365=IF('الداشبورد'!$B$5="الكل",$A1365,'الداشبورد'!$B$5))</f>
        <v/>
      </c>
      <c r="R1365">
        <f>--($E1365=IF('الداشبورد'!$B$6="الكل",$E1365,'الداشبورد'!$B$6))</f>
        <v/>
      </c>
      <c r="S1365">
        <f>--($K1365=IF('الداشبورد'!$B$7="الكل",$K1365,IF('الداشبورد'!$B$7="تصدير","Y","N")))</f>
        <v/>
      </c>
      <c r="T1365">
        <f>--($J1365=IF('الداشبورد'!$B$8="الكل",$J1365,IF('الداشبورد'!$B$8="AL","A","C")))</f>
        <v/>
      </c>
      <c r="U1365">
        <f>--($I1365=IF('الداشبورد'!$B$9="الكل",$I1365,IF('الداشبورد'!$B$9="بدون حالة","P",'الداشبورد'!$B$9)))</f>
        <v/>
      </c>
      <c r="V1365">
        <f>--($D1365=IF('الداشبورد'!$B$10="الكل",$D1365,'الداشبورد'!$B$10))</f>
        <v/>
      </c>
      <c r="W1365">
        <f>--($G1365=IF('الداشبورد'!$B$11="الكل",$G1365,'الداشبورد'!$B$11))</f>
        <v/>
      </c>
      <c r="X1365">
        <f>Q1365*R1365*S1365*T1365*U1365*V1365*W1365*--($C1365&lt;&gt;"")</f>
        <v/>
      </c>
    </row>
    <row r="1366">
      <c r="Q1366">
        <f>--($A1366=IF('الداشبورد'!$B$5="الكل",$A1366,'الداشبورد'!$B$5))</f>
        <v/>
      </c>
      <c r="R1366">
        <f>--($E1366=IF('الداشبورد'!$B$6="الكل",$E1366,'الداشبورد'!$B$6))</f>
        <v/>
      </c>
      <c r="S1366">
        <f>--($K1366=IF('الداشبورد'!$B$7="الكل",$K1366,IF('الداشبورد'!$B$7="تصدير","Y","N")))</f>
        <v/>
      </c>
      <c r="T1366">
        <f>--($J1366=IF('الداشبورد'!$B$8="الكل",$J1366,IF('الداشبورد'!$B$8="AL","A","C")))</f>
        <v/>
      </c>
      <c r="U1366">
        <f>--($I1366=IF('الداشبورد'!$B$9="الكل",$I1366,IF('الداشبورد'!$B$9="بدون حالة","P",'الداشبورد'!$B$9)))</f>
        <v/>
      </c>
      <c r="V1366">
        <f>--($D1366=IF('الداشبورد'!$B$10="الكل",$D1366,'الداشبورد'!$B$10))</f>
        <v/>
      </c>
      <c r="W1366">
        <f>--($G1366=IF('الداشبورد'!$B$11="الكل",$G1366,'الداشبورد'!$B$11))</f>
        <v/>
      </c>
      <c r="X1366">
        <f>Q1366*R1366*S1366*T1366*U1366*V1366*W1366*--($C1366&lt;&gt;"")</f>
        <v/>
      </c>
    </row>
    <row r="1367">
      <c r="Q1367">
        <f>--($A1367=IF('الداشبورد'!$B$5="الكل",$A1367,'الداشبورد'!$B$5))</f>
        <v/>
      </c>
      <c r="R1367">
        <f>--($E1367=IF('الداشبورد'!$B$6="الكل",$E1367,'الداشبورد'!$B$6))</f>
        <v/>
      </c>
      <c r="S1367">
        <f>--($K1367=IF('الداشبورد'!$B$7="الكل",$K1367,IF('الداشبورد'!$B$7="تصدير","Y","N")))</f>
        <v/>
      </c>
      <c r="T1367">
        <f>--($J1367=IF('الداشبورد'!$B$8="الكل",$J1367,IF('الداشبورد'!$B$8="AL","A","C")))</f>
        <v/>
      </c>
      <c r="U1367">
        <f>--($I1367=IF('الداشبورد'!$B$9="الكل",$I1367,IF('الداشبورد'!$B$9="بدون حالة","P",'الداشبورد'!$B$9)))</f>
        <v/>
      </c>
      <c r="V1367">
        <f>--($D1367=IF('الداشبورد'!$B$10="الكل",$D1367,'الداشبورد'!$B$10))</f>
        <v/>
      </c>
      <c r="W1367">
        <f>--($G1367=IF('الداشبورد'!$B$11="الكل",$G1367,'الداشبورد'!$B$11))</f>
        <v/>
      </c>
      <c r="X1367">
        <f>Q1367*R1367*S1367*T1367*U1367*V1367*W1367*--($C1367&lt;&gt;"")</f>
        <v/>
      </c>
    </row>
    <row r="1368">
      <c r="Q1368">
        <f>--($A1368=IF('الداشبورد'!$B$5="الكل",$A1368,'الداشبورد'!$B$5))</f>
        <v/>
      </c>
      <c r="R1368">
        <f>--($E1368=IF('الداشبورد'!$B$6="الكل",$E1368,'الداشبورد'!$B$6))</f>
        <v/>
      </c>
      <c r="S1368">
        <f>--($K1368=IF('الداشبورد'!$B$7="الكل",$K1368,IF('الداشبورد'!$B$7="تصدير","Y","N")))</f>
        <v/>
      </c>
      <c r="T1368">
        <f>--($J1368=IF('الداشبورد'!$B$8="الكل",$J1368,IF('الداشبورد'!$B$8="AL","A","C")))</f>
        <v/>
      </c>
      <c r="U1368">
        <f>--($I1368=IF('الداشبورد'!$B$9="الكل",$I1368,IF('الداشبورد'!$B$9="بدون حالة","P",'الداشبورد'!$B$9)))</f>
        <v/>
      </c>
      <c r="V1368">
        <f>--($D1368=IF('الداشبورد'!$B$10="الكل",$D1368,'الداشبورد'!$B$10))</f>
        <v/>
      </c>
      <c r="W1368">
        <f>--($G1368=IF('الداشبورد'!$B$11="الكل",$G1368,'الداشبورد'!$B$11))</f>
        <v/>
      </c>
      <c r="X1368">
        <f>Q1368*R1368*S1368*T1368*U1368*V1368*W1368*--($C1368&lt;&gt;"")</f>
        <v/>
      </c>
    </row>
    <row r="1369">
      <c r="Q1369">
        <f>--($A1369=IF('الداشبورد'!$B$5="الكل",$A1369,'الداشبورد'!$B$5))</f>
        <v/>
      </c>
      <c r="R1369">
        <f>--($E1369=IF('الداشبورد'!$B$6="الكل",$E1369,'الداشبورد'!$B$6))</f>
        <v/>
      </c>
      <c r="S1369">
        <f>--($K1369=IF('الداشبورد'!$B$7="الكل",$K1369,IF('الداشبورد'!$B$7="تصدير","Y","N")))</f>
        <v/>
      </c>
      <c r="T1369">
        <f>--($J1369=IF('الداشبورد'!$B$8="الكل",$J1369,IF('الداشبورد'!$B$8="AL","A","C")))</f>
        <v/>
      </c>
      <c r="U1369">
        <f>--($I1369=IF('الداشبورد'!$B$9="الكل",$I1369,IF('الداشبورد'!$B$9="بدون حالة","P",'الداشبورد'!$B$9)))</f>
        <v/>
      </c>
      <c r="V1369">
        <f>--($D1369=IF('الداشبورد'!$B$10="الكل",$D1369,'الداشبورد'!$B$10))</f>
        <v/>
      </c>
      <c r="W1369">
        <f>--($G1369=IF('الداشبورد'!$B$11="الكل",$G1369,'الداشبورد'!$B$11))</f>
        <v/>
      </c>
      <c r="X1369">
        <f>Q1369*R1369*S1369*T1369*U1369*V1369*W1369*--($C1369&lt;&gt;"")</f>
        <v/>
      </c>
    </row>
    <row r="1370">
      <c r="Q1370">
        <f>--($A1370=IF('الداشبورد'!$B$5="الكل",$A1370,'الداشبورد'!$B$5))</f>
        <v/>
      </c>
      <c r="R1370">
        <f>--($E1370=IF('الداشبورد'!$B$6="الكل",$E1370,'الداشبورد'!$B$6))</f>
        <v/>
      </c>
      <c r="S1370">
        <f>--($K1370=IF('الداشبورد'!$B$7="الكل",$K1370,IF('الداشبورد'!$B$7="تصدير","Y","N")))</f>
        <v/>
      </c>
      <c r="T1370">
        <f>--($J1370=IF('الداشبورد'!$B$8="الكل",$J1370,IF('الداشبورد'!$B$8="AL","A","C")))</f>
        <v/>
      </c>
      <c r="U1370">
        <f>--($I1370=IF('الداشبورد'!$B$9="الكل",$I1370,IF('الداشبورد'!$B$9="بدون حالة","P",'الداشبورد'!$B$9)))</f>
        <v/>
      </c>
      <c r="V1370">
        <f>--($D1370=IF('الداشبورد'!$B$10="الكل",$D1370,'الداشبورد'!$B$10))</f>
        <v/>
      </c>
      <c r="W1370">
        <f>--($G1370=IF('الداشبورد'!$B$11="الكل",$G1370,'الداشبورد'!$B$11))</f>
        <v/>
      </c>
      <c r="X1370">
        <f>Q1370*R1370*S1370*T1370*U1370*V1370*W1370*--($C1370&lt;&gt;"")</f>
        <v/>
      </c>
    </row>
    <row r="1371">
      <c r="Q1371">
        <f>--($A1371=IF('الداشبورد'!$B$5="الكل",$A1371,'الداشبورد'!$B$5))</f>
        <v/>
      </c>
      <c r="R1371">
        <f>--($E1371=IF('الداشبورد'!$B$6="الكل",$E1371,'الداشبورد'!$B$6))</f>
        <v/>
      </c>
      <c r="S1371">
        <f>--($K1371=IF('الداشبورد'!$B$7="الكل",$K1371,IF('الداشبورد'!$B$7="تصدير","Y","N")))</f>
        <v/>
      </c>
      <c r="T1371">
        <f>--($J1371=IF('الداشبورد'!$B$8="الكل",$J1371,IF('الداشبورد'!$B$8="AL","A","C")))</f>
        <v/>
      </c>
      <c r="U1371">
        <f>--($I1371=IF('الداشبورد'!$B$9="الكل",$I1371,IF('الداشبورد'!$B$9="بدون حالة","P",'الداشبورد'!$B$9)))</f>
        <v/>
      </c>
      <c r="V1371">
        <f>--($D1371=IF('الداشبورد'!$B$10="الكل",$D1371,'الداشبورد'!$B$10))</f>
        <v/>
      </c>
      <c r="W1371">
        <f>--($G1371=IF('الداشبورد'!$B$11="الكل",$G1371,'الداشبورد'!$B$11))</f>
        <v/>
      </c>
      <c r="X1371">
        <f>Q1371*R1371*S1371*T1371*U1371*V1371*W1371*--($C1371&lt;&gt;"")</f>
        <v/>
      </c>
    </row>
    <row r="1372">
      <c r="Q1372">
        <f>--($A1372=IF('الداشبورد'!$B$5="الكل",$A1372,'الداشبورد'!$B$5))</f>
        <v/>
      </c>
      <c r="R1372">
        <f>--($E1372=IF('الداشبورد'!$B$6="الكل",$E1372,'الداشبورد'!$B$6))</f>
        <v/>
      </c>
      <c r="S1372">
        <f>--($K1372=IF('الداشبورد'!$B$7="الكل",$K1372,IF('الداشبورد'!$B$7="تصدير","Y","N")))</f>
        <v/>
      </c>
      <c r="T1372">
        <f>--($J1372=IF('الداشبورد'!$B$8="الكل",$J1372,IF('الداشبورد'!$B$8="AL","A","C")))</f>
        <v/>
      </c>
      <c r="U1372">
        <f>--($I1372=IF('الداشبورد'!$B$9="الكل",$I1372,IF('الداشبورد'!$B$9="بدون حالة","P",'الداشبورد'!$B$9)))</f>
        <v/>
      </c>
      <c r="V1372">
        <f>--($D1372=IF('الداشبورد'!$B$10="الكل",$D1372,'الداشبورد'!$B$10))</f>
        <v/>
      </c>
      <c r="W1372">
        <f>--($G1372=IF('الداشبورد'!$B$11="الكل",$G1372,'الداشبورد'!$B$11))</f>
        <v/>
      </c>
      <c r="X1372">
        <f>Q1372*R1372*S1372*T1372*U1372*V1372*W1372*--($C1372&lt;&gt;"")</f>
        <v/>
      </c>
    </row>
    <row r="1373">
      <c r="Q1373">
        <f>--($A1373=IF('الداشبورد'!$B$5="الكل",$A1373,'الداشبورد'!$B$5))</f>
        <v/>
      </c>
      <c r="R1373">
        <f>--($E1373=IF('الداشبورد'!$B$6="الكل",$E1373,'الداشبورد'!$B$6))</f>
        <v/>
      </c>
      <c r="S1373">
        <f>--($K1373=IF('الداشبورد'!$B$7="الكل",$K1373,IF('الداشبورد'!$B$7="تصدير","Y","N")))</f>
        <v/>
      </c>
      <c r="T1373">
        <f>--($J1373=IF('الداشبورد'!$B$8="الكل",$J1373,IF('الداشبورد'!$B$8="AL","A","C")))</f>
        <v/>
      </c>
      <c r="U1373">
        <f>--($I1373=IF('الداشبورد'!$B$9="الكل",$I1373,IF('الداشبورد'!$B$9="بدون حالة","P",'الداشبورد'!$B$9)))</f>
        <v/>
      </c>
      <c r="V1373">
        <f>--($D1373=IF('الداشبورد'!$B$10="الكل",$D1373,'الداشبورد'!$B$10))</f>
        <v/>
      </c>
      <c r="W1373">
        <f>--($G1373=IF('الداشبورد'!$B$11="الكل",$G1373,'الداشبورد'!$B$11))</f>
        <v/>
      </c>
      <c r="X1373">
        <f>Q1373*R1373*S1373*T1373*U1373*V1373*W1373*--($C1373&lt;&gt;"")</f>
        <v/>
      </c>
    </row>
    <row r="1374">
      <c r="Q1374">
        <f>--($A1374=IF('الداشبورد'!$B$5="الكل",$A1374,'الداشبورد'!$B$5))</f>
        <v/>
      </c>
      <c r="R1374">
        <f>--($E1374=IF('الداشبورد'!$B$6="الكل",$E1374,'الداشبورد'!$B$6))</f>
        <v/>
      </c>
      <c r="S1374">
        <f>--($K1374=IF('الداشبورد'!$B$7="الكل",$K1374,IF('الداشبورد'!$B$7="تصدير","Y","N")))</f>
        <v/>
      </c>
      <c r="T1374">
        <f>--($J1374=IF('الداشبورد'!$B$8="الكل",$J1374,IF('الداشبورد'!$B$8="AL","A","C")))</f>
        <v/>
      </c>
      <c r="U1374">
        <f>--($I1374=IF('الداشبورد'!$B$9="الكل",$I1374,IF('الداشبورد'!$B$9="بدون حالة","P",'الداشبورد'!$B$9)))</f>
        <v/>
      </c>
      <c r="V1374">
        <f>--($D1374=IF('الداشبورد'!$B$10="الكل",$D1374,'الداشبورد'!$B$10))</f>
        <v/>
      </c>
      <c r="W1374">
        <f>--($G1374=IF('الداشبورد'!$B$11="الكل",$G1374,'الداشبورد'!$B$11))</f>
        <v/>
      </c>
      <c r="X1374">
        <f>Q1374*R1374*S1374*T1374*U1374*V1374*W1374*--($C1374&lt;&gt;"")</f>
        <v/>
      </c>
    </row>
    <row r="1375">
      <c r="Q1375">
        <f>--($A1375=IF('الداشبورد'!$B$5="الكل",$A1375,'الداشبورد'!$B$5))</f>
        <v/>
      </c>
      <c r="R1375">
        <f>--($E1375=IF('الداشبورد'!$B$6="الكل",$E1375,'الداشبورد'!$B$6))</f>
        <v/>
      </c>
      <c r="S1375">
        <f>--($K1375=IF('الداشبورد'!$B$7="الكل",$K1375,IF('الداشبورد'!$B$7="تصدير","Y","N")))</f>
        <v/>
      </c>
      <c r="T1375">
        <f>--($J1375=IF('الداشبورد'!$B$8="الكل",$J1375,IF('الداشبورد'!$B$8="AL","A","C")))</f>
        <v/>
      </c>
      <c r="U1375">
        <f>--($I1375=IF('الداشبورد'!$B$9="الكل",$I1375,IF('الداشبورد'!$B$9="بدون حالة","P",'الداشبورد'!$B$9)))</f>
        <v/>
      </c>
      <c r="V1375">
        <f>--($D1375=IF('الداشبورد'!$B$10="الكل",$D1375,'الداشبورد'!$B$10))</f>
        <v/>
      </c>
      <c r="W1375">
        <f>--($G1375=IF('الداشبورد'!$B$11="الكل",$G1375,'الداشبورد'!$B$11))</f>
        <v/>
      </c>
      <c r="X1375">
        <f>Q1375*R1375*S1375*T1375*U1375*V1375*W1375*--($C1375&lt;&gt;"")</f>
        <v/>
      </c>
    </row>
    <row r="1376">
      <c r="Q1376">
        <f>--($A1376=IF('الداشبورد'!$B$5="الكل",$A1376,'الداشبورد'!$B$5))</f>
        <v/>
      </c>
      <c r="R1376">
        <f>--($E1376=IF('الداشبورد'!$B$6="الكل",$E1376,'الداشبورد'!$B$6))</f>
        <v/>
      </c>
      <c r="S1376">
        <f>--($K1376=IF('الداشبورد'!$B$7="الكل",$K1376,IF('الداشبورد'!$B$7="تصدير","Y","N")))</f>
        <v/>
      </c>
      <c r="T1376">
        <f>--($J1376=IF('الداشبورد'!$B$8="الكل",$J1376,IF('الداشبورد'!$B$8="AL","A","C")))</f>
        <v/>
      </c>
      <c r="U1376">
        <f>--($I1376=IF('الداشبورد'!$B$9="الكل",$I1376,IF('الداشبورد'!$B$9="بدون حالة","P",'الداشبورد'!$B$9)))</f>
        <v/>
      </c>
      <c r="V1376">
        <f>--($D1376=IF('الداشبورد'!$B$10="الكل",$D1376,'الداشبورد'!$B$10))</f>
        <v/>
      </c>
      <c r="W1376">
        <f>--($G1376=IF('الداشبورد'!$B$11="الكل",$G1376,'الداشبورد'!$B$11))</f>
        <v/>
      </c>
      <c r="X1376">
        <f>Q1376*R1376*S1376*T1376*U1376*V1376*W1376*--($C1376&lt;&gt;"")</f>
        <v/>
      </c>
    </row>
    <row r="1377">
      <c r="Q1377">
        <f>--($A1377=IF('الداشبورد'!$B$5="الكل",$A1377,'الداشبورد'!$B$5))</f>
        <v/>
      </c>
      <c r="R1377">
        <f>--($E1377=IF('الداشبورد'!$B$6="الكل",$E1377,'الداشبورد'!$B$6))</f>
        <v/>
      </c>
      <c r="S1377">
        <f>--($K1377=IF('الداشبورد'!$B$7="الكل",$K1377,IF('الداشبورد'!$B$7="تصدير","Y","N")))</f>
        <v/>
      </c>
      <c r="T1377">
        <f>--($J1377=IF('الداشبورد'!$B$8="الكل",$J1377,IF('الداشبورد'!$B$8="AL","A","C")))</f>
        <v/>
      </c>
      <c r="U1377">
        <f>--($I1377=IF('الداشبورد'!$B$9="الكل",$I1377,IF('الداشبورد'!$B$9="بدون حالة","P",'الداشبورد'!$B$9)))</f>
        <v/>
      </c>
      <c r="V1377">
        <f>--($D1377=IF('الداشبورد'!$B$10="الكل",$D1377,'الداشبورد'!$B$10))</f>
        <v/>
      </c>
      <c r="W1377">
        <f>--($G1377=IF('الداشبورد'!$B$11="الكل",$G1377,'الداشبورد'!$B$11))</f>
        <v/>
      </c>
      <c r="X1377">
        <f>Q1377*R1377*S1377*T1377*U1377*V1377*W1377*--($C1377&lt;&gt;"")</f>
        <v/>
      </c>
    </row>
    <row r="1378">
      <c r="Q1378">
        <f>--($A1378=IF('الداشبورد'!$B$5="الكل",$A1378,'الداشبورد'!$B$5))</f>
        <v/>
      </c>
      <c r="R1378">
        <f>--($E1378=IF('الداشبورد'!$B$6="الكل",$E1378,'الداشبورد'!$B$6))</f>
        <v/>
      </c>
      <c r="S1378">
        <f>--($K1378=IF('الداشبورد'!$B$7="الكل",$K1378,IF('الداشبورد'!$B$7="تصدير","Y","N")))</f>
        <v/>
      </c>
      <c r="T1378">
        <f>--($J1378=IF('الداشبورد'!$B$8="الكل",$J1378,IF('الداشبورد'!$B$8="AL","A","C")))</f>
        <v/>
      </c>
      <c r="U1378">
        <f>--($I1378=IF('الداشبورد'!$B$9="الكل",$I1378,IF('الداشبورد'!$B$9="بدون حالة","P",'الداشبورد'!$B$9)))</f>
        <v/>
      </c>
      <c r="V1378">
        <f>--($D1378=IF('الداشبورد'!$B$10="الكل",$D1378,'الداشبورد'!$B$10))</f>
        <v/>
      </c>
      <c r="W1378">
        <f>--($G1378=IF('الداشبورد'!$B$11="الكل",$G1378,'الداشبورد'!$B$11))</f>
        <v/>
      </c>
      <c r="X1378">
        <f>Q1378*R1378*S1378*T1378*U1378*V1378*W1378*--($C1378&lt;&gt;"")</f>
        <v/>
      </c>
    </row>
    <row r="1379">
      <c r="Q1379">
        <f>--($A1379=IF('الداشبورد'!$B$5="الكل",$A1379,'الداشبورد'!$B$5))</f>
        <v/>
      </c>
      <c r="R1379">
        <f>--($E1379=IF('الداشبورد'!$B$6="الكل",$E1379,'الداشبورد'!$B$6))</f>
        <v/>
      </c>
      <c r="S1379">
        <f>--($K1379=IF('الداشبورد'!$B$7="الكل",$K1379,IF('الداشبورد'!$B$7="تصدير","Y","N")))</f>
        <v/>
      </c>
      <c r="T1379">
        <f>--($J1379=IF('الداشبورد'!$B$8="الكل",$J1379,IF('الداشبورد'!$B$8="AL","A","C")))</f>
        <v/>
      </c>
      <c r="U1379">
        <f>--($I1379=IF('الداشبورد'!$B$9="الكل",$I1379,IF('الداشبورد'!$B$9="بدون حالة","P",'الداشبورد'!$B$9)))</f>
        <v/>
      </c>
      <c r="V1379">
        <f>--($D1379=IF('الداشبورد'!$B$10="الكل",$D1379,'الداشبورد'!$B$10))</f>
        <v/>
      </c>
      <c r="W1379">
        <f>--($G1379=IF('الداشبورد'!$B$11="الكل",$G1379,'الداشبورد'!$B$11))</f>
        <v/>
      </c>
      <c r="X1379">
        <f>Q1379*R1379*S1379*T1379*U1379*V1379*W1379*--($C1379&lt;&gt;"")</f>
        <v/>
      </c>
    </row>
    <row r="1380">
      <c r="Q1380">
        <f>--($A1380=IF('الداشبورد'!$B$5="الكل",$A1380,'الداشبورد'!$B$5))</f>
        <v/>
      </c>
      <c r="R1380">
        <f>--($E1380=IF('الداشبورد'!$B$6="الكل",$E1380,'الداشبورد'!$B$6))</f>
        <v/>
      </c>
      <c r="S1380">
        <f>--($K1380=IF('الداشبورد'!$B$7="الكل",$K1380,IF('الداشبورد'!$B$7="تصدير","Y","N")))</f>
        <v/>
      </c>
      <c r="T1380">
        <f>--($J1380=IF('الداشبورد'!$B$8="الكل",$J1380,IF('الداشبورد'!$B$8="AL","A","C")))</f>
        <v/>
      </c>
      <c r="U1380">
        <f>--($I1380=IF('الداشبورد'!$B$9="الكل",$I1380,IF('الداشبورد'!$B$9="بدون حالة","P",'الداشبورد'!$B$9)))</f>
        <v/>
      </c>
      <c r="V1380">
        <f>--($D1380=IF('الداشبورد'!$B$10="الكل",$D1380,'الداشبورد'!$B$10))</f>
        <v/>
      </c>
      <c r="W1380">
        <f>--($G1380=IF('الداشبورد'!$B$11="الكل",$G1380,'الداشبورد'!$B$11))</f>
        <v/>
      </c>
      <c r="X1380">
        <f>Q1380*R1380*S1380*T1380*U1380*V1380*W1380*--($C1380&lt;&gt;"")</f>
        <v/>
      </c>
    </row>
    <row r="1381">
      <c r="Q1381">
        <f>--($A1381=IF('الداشبورد'!$B$5="الكل",$A1381,'الداشبورد'!$B$5))</f>
        <v/>
      </c>
      <c r="R1381">
        <f>--($E1381=IF('الداشبورد'!$B$6="الكل",$E1381,'الداشبورد'!$B$6))</f>
        <v/>
      </c>
      <c r="S1381">
        <f>--($K1381=IF('الداشبورد'!$B$7="الكل",$K1381,IF('الداشبورد'!$B$7="تصدير","Y","N")))</f>
        <v/>
      </c>
      <c r="T1381">
        <f>--($J1381=IF('الداشبورد'!$B$8="الكل",$J1381,IF('الداشبورد'!$B$8="AL","A","C")))</f>
        <v/>
      </c>
      <c r="U1381">
        <f>--($I1381=IF('الداشبورد'!$B$9="الكل",$I1381,IF('الداشبورد'!$B$9="بدون حالة","P",'الداشبورد'!$B$9)))</f>
        <v/>
      </c>
      <c r="V1381">
        <f>--($D1381=IF('الداشبورد'!$B$10="الكل",$D1381,'الداشبورد'!$B$10))</f>
        <v/>
      </c>
      <c r="W1381">
        <f>--($G1381=IF('الداشبورد'!$B$11="الكل",$G1381,'الداشبورد'!$B$11))</f>
        <v/>
      </c>
      <c r="X1381">
        <f>Q1381*R1381*S1381*T1381*U1381*V1381*W1381*--($C1381&lt;&gt;"")</f>
        <v/>
      </c>
    </row>
    <row r="1382">
      <c r="Q1382">
        <f>--($A1382=IF('الداشبورد'!$B$5="الكل",$A1382,'الداشبورد'!$B$5))</f>
        <v/>
      </c>
      <c r="R1382">
        <f>--($E1382=IF('الداشبورد'!$B$6="الكل",$E1382,'الداشبورد'!$B$6))</f>
        <v/>
      </c>
      <c r="S1382">
        <f>--($K1382=IF('الداشبورد'!$B$7="الكل",$K1382,IF('الداشبورد'!$B$7="تصدير","Y","N")))</f>
        <v/>
      </c>
      <c r="T1382">
        <f>--($J1382=IF('الداشبورد'!$B$8="الكل",$J1382,IF('الداشبورد'!$B$8="AL","A","C")))</f>
        <v/>
      </c>
      <c r="U1382">
        <f>--($I1382=IF('الداشبورد'!$B$9="الكل",$I1382,IF('الداشبورد'!$B$9="بدون حالة","P",'الداشبورد'!$B$9)))</f>
        <v/>
      </c>
      <c r="V1382">
        <f>--($D1382=IF('الداشبورد'!$B$10="الكل",$D1382,'الداشبورد'!$B$10))</f>
        <v/>
      </c>
      <c r="W1382">
        <f>--($G1382=IF('الداشبورد'!$B$11="الكل",$G1382,'الداشبورد'!$B$11))</f>
        <v/>
      </c>
      <c r="X1382">
        <f>Q1382*R1382*S1382*T1382*U1382*V1382*W1382*--($C1382&lt;&gt;"")</f>
        <v/>
      </c>
    </row>
    <row r="1383">
      <c r="Q1383">
        <f>--($A1383=IF('الداشبورد'!$B$5="الكل",$A1383,'الداشبورد'!$B$5))</f>
        <v/>
      </c>
      <c r="R1383">
        <f>--($E1383=IF('الداشبورد'!$B$6="الكل",$E1383,'الداشبورد'!$B$6))</f>
        <v/>
      </c>
      <c r="S1383">
        <f>--($K1383=IF('الداشبورد'!$B$7="الكل",$K1383,IF('الداشبورد'!$B$7="تصدير","Y","N")))</f>
        <v/>
      </c>
      <c r="T1383">
        <f>--($J1383=IF('الداشبورد'!$B$8="الكل",$J1383,IF('الداشبورد'!$B$8="AL","A","C")))</f>
        <v/>
      </c>
      <c r="U1383">
        <f>--($I1383=IF('الداشبورد'!$B$9="الكل",$I1383,IF('الداشبورد'!$B$9="بدون حالة","P",'الداشبورد'!$B$9)))</f>
        <v/>
      </c>
      <c r="V1383">
        <f>--($D1383=IF('الداشبورد'!$B$10="الكل",$D1383,'الداشبورد'!$B$10))</f>
        <v/>
      </c>
      <c r="W1383">
        <f>--($G1383=IF('الداشبورد'!$B$11="الكل",$G1383,'الداشبورد'!$B$11))</f>
        <v/>
      </c>
      <c r="X1383">
        <f>Q1383*R1383*S1383*T1383*U1383*V1383*W1383*--($C1383&lt;&gt;"")</f>
        <v/>
      </c>
    </row>
    <row r="1384">
      <c r="Q1384">
        <f>--($A1384=IF('الداشبورد'!$B$5="الكل",$A1384,'الداشبورد'!$B$5))</f>
        <v/>
      </c>
      <c r="R1384">
        <f>--($E1384=IF('الداشبورد'!$B$6="الكل",$E1384,'الداشبورد'!$B$6))</f>
        <v/>
      </c>
      <c r="S1384">
        <f>--($K1384=IF('الداشبورد'!$B$7="الكل",$K1384,IF('الداشبورد'!$B$7="تصدير","Y","N")))</f>
        <v/>
      </c>
      <c r="T1384">
        <f>--($J1384=IF('الداشبورد'!$B$8="الكل",$J1384,IF('الداشبورد'!$B$8="AL","A","C")))</f>
        <v/>
      </c>
      <c r="U1384">
        <f>--($I1384=IF('الداشبورد'!$B$9="الكل",$I1384,IF('الداشبورد'!$B$9="بدون حالة","P",'الداشبورد'!$B$9)))</f>
        <v/>
      </c>
      <c r="V1384">
        <f>--($D1384=IF('الداشبورد'!$B$10="الكل",$D1384,'الداشبورد'!$B$10))</f>
        <v/>
      </c>
      <c r="W1384">
        <f>--($G1384=IF('الداشبورد'!$B$11="الكل",$G1384,'الداشبورد'!$B$11))</f>
        <v/>
      </c>
      <c r="X1384">
        <f>Q1384*R1384*S1384*T1384*U1384*V1384*W1384*--($C1384&lt;&gt;"")</f>
        <v/>
      </c>
    </row>
    <row r="1385">
      <c r="Q1385">
        <f>--($A1385=IF('الداشبورد'!$B$5="الكل",$A1385,'الداشبورد'!$B$5))</f>
        <v/>
      </c>
      <c r="R1385">
        <f>--($E1385=IF('الداشبورد'!$B$6="الكل",$E1385,'الداشبورد'!$B$6))</f>
        <v/>
      </c>
      <c r="S1385">
        <f>--($K1385=IF('الداشبورد'!$B$7="الكل",$K1385,IF('الداشبورد'!$B$7="تصدير","Y","N")))</f>
        <v/>
      </c>
      <c r="T1385">
        <f>--($J1385=IF('الداشبورد'!$B$8="الكل",$J1385,IF('الداشبورد'!$B$8="AL","A","C")))</f>
        <v/>
      </c>
      <c r="U1385">
        <f>--($I1385=IF('الداشبورد'!$B$9="الكل",$I1385,IF('الداشبورد'!$B$9="بدون حالة","P",'الداشبورد'!$B$9)))</f>
        <v/>
      </c>
      <c r="V1385">
        <f>--($D1385=IF('الداشبورد'!$B$10="الكل",$D1385,'الداشبورد'!$B$10))</f>
        <v/>
      </c>
      <c r="W1385">
        <f>--($G1385=IF('الداشبورد'!$B$11="الكل",$G1385,'الداشبورد'!$B$11))</f>
        <v/>
      </c>
      <c r="X1385">
        <f>Q1385*R1385*S1385*T1385*U1385*V1385*W1385*--($C1385&lt;&gt;"")</f>
        <v/>
      </c>
    </row>
    <row r="1386">
      <c r="Q1386">
        <f>--($A1386=IF('الداشبورد'!$B$5="الكل",$A1386,'الداشبورد'!$B$5))</f>
        <v/>
      </c>
      <c r="R1386">
        <f>--($E1386=IF('الداشبورد'!$B$6="الكل",$E1386,'الداشبورد'!$B$6))</f>
        <v/>
      </c>
      <c r="S1386">
        <f>--($K1386=IF('الداشبورد'!$B$7="الكل",$K1386,IF('الداشبورد'!$B$7="تصدير","Y","N")))</f>
        <v/>
      </c>
      <c r="T1386">
        <f>--($J1386=IF('الداشبورد'!$B$8="الكل",$J1386,IF('الداشبورد'!$B$8="AL","A","C")))</f>
        <v/>
      </c>
      <c r="U1386">
        <f>--($I1386=IF('الداشبورد'!$B$9="الكل",$I1386,IF('الداشبورد'!$B$9="بدون حالة","P",'الداشبورد'!$B$9)))</f>
        <v/>
      </c>
      <c r="V1386">
        <f>--($D1386=IF('الداشبورد'!$B$10="الكل",$D1386,'الداشبورد'!$B$10))</f>
        <v/>
      </c>
      <c r="W1386">
        <f>--($G1386=IF('الداشبورد'!$B$11="الكل",$G1386,'الداشبورد'!$B$11))</f>
        <v/>
      </c>
      <c r="X1386">
        <f>Q1386*R1386*S1386*T1386*U1386*V1386*W1386*--($C1386&lt;&gt;"")</f>
        <v/>
      </c>
    </row>
    <row r="1387">
      <c r="Q1387">
        <f>--($A1387=IF('الداشبورد'!$B$5="الكل",$A1387,'الداشبورد'!$B$5))</f>
        <v/>
      </c>
      <c r="R1387">
        <f>--($E1387=IF('الداشبورد'!$B$6="الكل",$E1387,'الداشبورد'!$B$6))</f>
        <v/>
      </c>
      <c r="S1387">
        <f>--($K1387=IF('الداشبورد'!$B$7="الكل",$K1387,IF('الداشبورد'!$B$7="تصدير","Y","N")))</f>
        <v/>
      </c>
      <c r="T1387">
        <f>--($J1387=IF('الداشبورد'!$B$8="الكل",$J1387,IF('الداشبورد'!$B$8="AL","A","C")))</f>
        <v/>
      </c>
      <c r="U1387">
        <f>--($I1387=IF('الداشبورد'!$B$9="الكل",$I1387,IF('الداشبورد'!$B$9="بدون حالة","P",'الداشبورد'!$B$9)))</f>
        <v/>
      </c>
      <c r="V1387">
        <f>--($D1387=IF('الداشبورد'!$B$10="الكل",$D1387,'الداشبورد'!$B$10))</f>
        <v/>
      </c>
      <c r="W1387">
        <f>--($G1387=IF('الداشبورد'!$B$11="الكل",$G1387,'الداشبورد'!$B$11))</f>
        <v/>
      </c>
      <c r="X1387">
        <f>Q1387*R1387*S1387*T1387*U1387*V1387*W1387*--($C1387&lt;&gt;"")</f>
        <v/>
      </c>
    </row>
    <row r="1388">
      <c r="Q1388">
        <f>--($A1388=IF('الداشبورد'!$B$5="الكل",$A1388,'الداشبورد'!$B$5))</f>
        <v/>
      </c>
      <c r="R1388">
        <f>--($E1388=IF('الداشبورد'!$B$6="الكل",$E1388,'الداشبورد'!$B$6))</f>
        <v/>
      </c>
      <c r="S1388">
        <f>--($K1388=IF('الداشبورد'!$B$7="الكل",$K1388,IF('الداشبورد'!$B$7="تصدير","Y","N")))</f>
        <v/>
      </c>
      <c r="T1388">
        <f>--($J1388=IF('الداشبورد'!$B$8="الكل",$J1388,IF('الداشبورد'!$B$8="AL","A","C")))</f>
        <v/>
      </c>
      <c r="U1388">
        <f>--($I1388=IF('الداشبورد'!$B$9="الكل",$I1388,IF('الداشبورد'!$B$9="بدون حالة","P",'الداشبورد'!$B$9)))</f>
        <v/>
      </c>
      <c r="V1388">
        <f>--($D1388=IF('الداشبورد'!$B$10="الكل",$D1388,'الداشبورد'!$B$10))</f>
        <v/>
      </c>
      <c r="W1388">
        <f>--($G1388=IF('الداشبورد'!$B$11="الكل",$G1388,'الداشبورد'!$B$11))</f>
        <v/>
      </c>
      <c r="X1388">
        <f>Q1388*R1388*S1388*T1388*U1388*V1388*W1388*--($C1388&lt;&gt;"")</f>
        <v/>
      </c>
    </row>
    <row r="1389">
      <c r="Q1389">
        <f>--($A1389=IF('الداشبورد'!$B$5="الكل",$A1389,'الداشبورد'!$B$5))</f>
        <v/>
      </c>
      <c r="R1389">
        <f>--($E1389=IF('الداشبورد'!$B$6="الكل",$E1389,'الداشبورد'!$B$6))</f>
        <v/>
      </c>
      <c r="S1389">
        <f>--($K1389=IF('الداشبورد'!$B$7="الكل",$K1389,IF('الداشبورد'!$B$7="تصدير","Y","N")))</f>
        <v/>
      </c>
      <c r="T1389">
        <f>--($J1389=IF('الداشبورد'!$B$8="الكل",$J1389,IF('الداشبورد'!$B$8="AL","A","C")))</f>
        <v/>
      </c>
      <c r="U1389">
        <f>--($I1389=IF('الداشبورد'!$B$9="الكل",$I1389,IF('الداشبورد'!$B$9="بدون حالة","P",'الداشبورد'!$B$9)))</f>
        <v/>
      </c>
      <c r="V1389">
        <f>--($D1389=IF('الداشبورد'!$B$10="الكل",$D1389,'الداشبورد'!$B$10))</f>
        <v/>
      </c>
      <c r="W1389">
        <f>--($G1389=IF('الداشبورد'!$B$11="الكل",$G1389,'الداشبورد'!$B$11))</f>
        <v/>
      </c>
      <c r="X1389">
        <f>Q1389*R1389*S1389*T1389*U1389*V1389*W1389*--($C1389&lt;&gt;"")</f>
        <v/>
      </c>
    </row>
    <row r="1390">
      <c r="Q1390">
        <f>--($A1390=IF('الداشبورد'!$B$5="الكل",$A1390,'الداشبورد'!$B$5))</f>
        <v/>
      </c>
      <c r="R1390">
        <f>--($E1390=IF('الداشبورد'!$B$6="الكل",$E1390,'الداشبورد'!$B$6))</f>
        <v/>
      </c>
      <c r="S1390">
        <f>--($K1390=IF('الداشبورد'!$B$7="الكل",$K1390,IF('الداشبورد'!$B$7="تصدير","Y","N")))</f>
        <v/>
      </c>
      <c r="T1390">
        <f>--($J1390=IF('الداشبورد'!$B$8="الكل",$J1390,IF('الداشبورد'!$B$8="AL","A","C")))</f>
        <v/>
      </c>
      <c r="U1390">
        <f>--($I1390=IF('الداشبورد'!$B$9="الكل",$I1390,IF('الداشبورد'!$B$9="بدون حالة","P",'الداشبورد'!$B$9)))</f>
        <v/>
      </c>
      <c r="V1390">
        <f>--($D1390=IF('الداشبورد'!$B$10="الكل",$D1390,'الداشبورد'!$B$10))</f>
        <v/>
      </c>
      <c r="W1390">
        <f>--($G1390=IF('الداشبورد'!$B$11="الكل",$G1390,'الداشبورد'!$B$11))</f>
        <v/>
      </c>
      <c r="X1390">
        <f>Q1390*R1390*S1390*T1390*U1390*V1390*W1390*--($C1390&lt;&gt;"")</f>
        <v/>
      </c>
    </row>
    <row r="1391">
      <c r="Q1391">
        <f>--($A1391=IF('الداشبورد'!$B$5="الكل",$A1391,'الداشبورد'!$B$5))</f>
        <v/>
      </c>
      <c r="R1391">
        <f>--($E1391=IF('الداشبورد'!$B$6="الكل",$E1391,'الداشبورد'!$B$6))</f>
        <v/>
      </c>
      <c r="S1391">
        <f>--($K1391=IF('الداشبورد'!$B$7="الكل",$K1391,IF('الداشبورد'!$B$7="تصدير","Y","N")))</f>
        <v/>
      </c>
      <c r="T1391">
        <f>--($J1391=IF('الداشبورد'!$B$8="الكل",$J1391,IF('الداشبورد'!$B$8="AL","A","C")))</f>
        <v/>
      </c>
      <c r="U1391">
        <f>--($I1391=IF('الداشبورد'!$B$9="الكل",$I1391,IF('الداشبورد'!$B$9="بدون حالة","P",'الداشبورد'!$B$9)))</f>
        <v/>
      </c>
      <c r="V1391">
        <f>--($D1391=IF('الداشبورد'!$B$10="الكل",$D1391,'الداشبورد'!$B$10))</f>
        <v/>
      </c>
      <c r="W1391">
        <f>--($G1391=IF('الداشبورد'!$B$11="الكل",$G1391,'الداشبورد'!$B$11))</f>
        <v/>
      </c>
      <c r="X1391">
        <f>Q1391*R1391*S1391*T1391*U1391*V1391*W1391*--($C1391&lt;&gt;"")</f>
        <v/>
      </c>
    </row>
    <row r="1392">
      <c r="Q1392">
        <f>--($A1392=IF('الداشبورد'!$B$5="الكل",$A1392,'الداشبورد'!$B$5))</f>
        <v/>
      </c>
      <c r="R1392">
        <f>--($E1392=IF('الداشبورد'!$B$6="الكل",$E1392,'الداشبورد'!$B$6))</f>
        <v/>
      </c>
      <c r="S1392">
        <f>--($K1392=IF('الداشبورد'!$B$7="الكل",$K1392,IF('الداشبورد'!$B$7="تصدير","Y","N")))</f>
        <v/>
      </c>
      <c r="T1392">
        <f>--($J1392=IF('الداشبورد'!$B$8="الكل",$J1392,IF('الداشبورد'!$B$8="AL","A","C")))</f>
        <v/>
      </c>
      <c r="U1392">
        <f>--($I1392=IF('الداشبورد'!$B$9="الكل",$I1392,IF('الداشبورد'!$B$9="بدون حالة","P",'الداشبورد'!$B$9)))</f>
        <v/>
      </c>
      <c r="V1392">
        <f>--($D1392=IF('الداشبورد'!$B$10="الكل",$D1392,'الداشبورد'!$B$10))</f>
        <v/>
      </c>
      <c r="W1392">
        <f>--($G1392=IF('الداشبورد'!$B$11="الكل",$G1392,'الداشبورد'!$B$11))</f>
        <v/>
      </c>
      <c r="X1392">
        <f>Q1392*R1392*S1392*T1392*U1392*V1392*W1392*--($C1392&lt;&gt;"")</f>
        <v/>
      </c>
    </row>
    <row r="1393">
      <c r="Q1393">
        <f>--($A1393=IF('الداشبورد'!$B$5="الكل",$A1393,'الداشبورد'!$B$5))</f>
        <v/>
      </c>
      <c r="R1393">
        <f>--($E1393=IF('الداشبورد'!$B$6="الكل",$E1393,'الداشبورد'!$B$6))</f>
        <v/>
      </c>
      <c r="S1393">
        <f>--($K1393=IF('الداشبورد'!$B$7="الكل",$K1393,IF('الداشبورد'!$B$7="تصدير","Y","N")))</f>
        <v/>
      </c>
      <c r="T1393">
        <f>--($J1393=IF('الداشبورد'!$B$8="الكل",$J1393,IF('الداشبورد'!$B$8="AL","A","C")))</f>
        <v/>
      </c>
      <c r="U1393">
        <f>--($I1393=IF('الداشبورد'!$B$9="الكل",$I1393,IF('الداشبورد'!$B$9="بدون حالة","P",'الداشبورد'!$B$9)))</f>
        <v/>
      </c>
      <c r="V1393">
        <f>--($D1393=IF('الداشبورد'!$B$10="الكل",$D1393,'الداشبورد'!$B$10))</f>
        <v/>
      </c>
      <c r="W1393">
        <f>--($G1393=IF('الداشبورد'!$B$11="الكل",$G1393,'الداشبورد'!$B$11))</f>
        <v/>
      </c>
      <c r="X1393">
        <f>Q1393*R1393*S1393*T1393*U1393*V1393*W1393*--($C1393&lt;&gt;"")</f>
        <v/>
      </c>
    </row>
    <row r="1394">
      <c r="Q1394">
        <f>--($A1394=IF('الداشبورد'!$B$5="الكل",$A1394,'الداشبورد'!$B$5))</f>
        <v/>
      </c>
      <c r="R1394">
        <f>--($E1394=IF('الداشبورد'!$B$6="الكل",$E1394,'الداشبورد'!$B$6))</f>
        <v/>
      </c>
      <c r="S1394">
        <f>--($K1394=IF('الداشبورد'!$B$7="الكل",$K1394,IF('الداشبورد'!$B$7="تصدير","Y","N")))</f>
        <v/>
      </c>
      <c r="T1394">
        <f>--($J1394=IF('الداشبورد'!$B$8="الكل",$J1394,IF('الداشبورد'!$B$8="AL","A","C")))</f>
        <v/>
      </c>
      <c r="U1394">
        <f>--($I1394=IF('الداشبورد'!$B$9="الكل",$I1394,IF('الداشبورد'!$B$9="بدون حالة","P",'الداشبورد'!$B$9)))</f>
        <v/>
      </c>
      <c r="V1394">
        <f>--($D1394=IF('الداشبورد'!$B$10="الكل",$D1394,'الداشبورد'!$B$10))</f>
        <v/>
      </c>
      <c r="W1394">
        <f>--($G1394=IF('الداشبورد'!$B$11="الكل",$G1394,'الداشبورد'!$B$11))</f>
        <v/>
      </c>
      <c r="X1394">
        <f>Q1394*R1394*S1394*T1394*U1394*V1394*W1394*--($C1394&lt;&gt;"")</f>
        <v/>
      </c>
    </row>
    <row r="1395">
      <c r="Q1395">
        <f>--($A1395=IF('الداشبورد'!$B$5="الكل",$A1395,'الداشبورد'!$B$5))</f>
        <v/>
      </c>
      <c r="R1395">
        <f>--($E1395=IF('الداشبورد'!$B$6="الكل",$E1395,'الداشبورد'!$B$6))</f>
        <v/>
      </c>
      <c r="S1395">
        <f>--($K1395=IF('الداشبورد'!$B$7="الكل",$K1395,IF('الداشبورد'!$B$7="تصدير","Y","N")))</f>
        <v/>
      </c>
      <c r="T1395">
        <f>--($J1395=IF('الداشبورد'!$B$8="الكل",$J1395,IF('الداشبورد'!$B$8="AL","A","C")))</f>
        <v/>
      </c>
      <c r="U1395">
        <f>--($I1395=IF('الداشبورد'!$B$9="الكل",$I1395,IF('الداشبورد'!$B$9="بدون حالة","P",'الداشبورد'!$B$9)))</f>
        <v/>
      </c>
      <c r="V1395">
        <f>--($D1395=IF('الداشبورد'!$B$10="الكل",$D1395,'الداشبورد'!$B$10))</f>
        <v/>
      </c>
      <c r="W1395">
        <f>--($G1395=IF('الداشبورد'!$B$11="الكل",$G1395,'الداشبورد'!$B$11))</f>
        <v/>
      </c>
      <c r="X1395">
        <f>Q1395*R1395*S1395*T1395*U1395*V1395*W1395*--($C1395&lt;&gt;"")</f>
        <v/>
      </c>
    </row>
    <row r="1396">
      <c r="Q1396">
        <f>--($A1396=IF('الداشبورد'!$B$5="الكل",$A1396,'الداشبورد'!$B$5))</f>
        <v/>
      </c>
      <c r="R1396">
        <f>--($E1396=IF('الداشبورد'!$B$6="الكل",$E1396,'الداشبورد'!$B$6))</f>
        <v/>
      </c>
      <c r="S1396">
        <f>--($K1396=IF('الداشبورد'!$B$7="الكل",$K1396,IF('الداشبورد'!$B$7="تصدير","Y","N")))</f>
        <v/>
      </c>
      <c r="T1396">
        <f>--($J1396=IF('الداشبورد'!$B$8="الكل",$J1396,IF('الداشبورد'!$B$8="AL","A","C")))</f>
        <v/>
      </c>
      <c r="U1396">
        <f>--($I1396=IF('الداشبورد'!$B$9="الكل",$I1396,IF('الداشبورد'!$B$9="بدون حالة","P",'الداشبورد'!$B$9)))</f>
        <v/>
      </c>
      <c r="V1396">
        <f>--($D1396=IF('الداشبورد'!$B$10="الكل",$D1396,'الداشبورد'!$B$10))</f>
        <v/>
      </c>
      <c r="W1396">
        <f>--($G1396=IF('الداشبورد'!$B$11="الكل",$G1396,'الداشبورد'!$B$11))</f>
        <v/>
      </c>
      <c r="X1396">
        <f>Q1396*R1396*S1396*T1396*U1396*V1396*W1396*--($C1396&lt;&gt;"")</f>
        <v/>
      </c>
    </row>
    <row r="1397">
      <c r="Q1397">
        <f>--($A1397=IF('الداشبورد'!$B$5="الكل",$A1397,'الداشبورد'!$B$5))</f>
        <v/>
      </c>
      <c r="R1397">
        <f>--($E1397=IF('الداشبورد'!$B$6="الكل",$E1397,'الداشبورد'!$B$6))</f>
        <v/>
      </c>
      <c r="S1397">
        <f>--($K1397=IF('الداشبورد'!$B$7="الكل",$K1397,IF('الداشبورد'!$B$7="تصدير","Y","N")))</f>
        <v/>
      </c>
      <c r="T1397">
        <f>--($J1397=IF('الداشبورد'!$B$8="الكل",$J1397,IF('الداشبورد'!$B$8="AL","A","C")))</f>
        <v/>
      </c>
      <c r="U1397">
        <f>--($I1397=IF('الداشبورد'!$B$9="الكل",$I1397,IF('الداشبورد'!$B$9="بدون حالة","P",'الداشبورد'!$B$9)))</f>
        <v/>
      </c>
      <c r="V1397">
        <f>--($D1397=IF('الداشبورد'!$B$10="الكل",$D1397,'الداشبورد'!$B$10))</f>
        <v/>
      </c>
      <c r="W1397">
        <f>--($G1397=IF('الداشبورد'!$B$11="الكل",$G1397,'الداشبورد'!$B$11))</f>
        <v/>
      </c>
      <c r="X1397">
        <f>Q1397*R1397*S1397*T1397*U1397*V1397*W1397*--($C1397&lt;&gt;"")</f>
        <v/>
      </c>
    </row>
    <row r="1398">
      <c r="Q1398">
        <f>--($A1398=IF('الداشبورد'!$B$5="الكل",$A1398,'الداشبورد'!$B$5))</f>
        <v/>
      </c>
      <c r="R1398">
        <f>--($E1398=IF('الداشبورد'!$B$6="الكل",$E1398,'الداشبورد'!$B$6))</f>
        <v/>
      </c>
      <c r="S1398">
        <f>--($K1398=IF('الداشبورد'!$B$7="الكل",$K1398,IF('الداشبورد'!$B$7="تصدير","Y","N")))</f>
        <v/>
      </c>
      <c r="T1398">
        <f>--($J1398=IF('الداشبورد'!$B$8="الكل",$J1398,IF('الداشبورد'!$B$8="AL","A","C")))</f>
        <v/>
      </c>
      <c r="U1398">
        <f>--($I1398=IF('الداشبورد'!$B$9="الكل",$I1398,IF('الداشبورد'!$B$9="بدون حالة","P",'الداشبورد'!$B$9)))</f>
        <v/>
      </c>
      <c r="V1398">
        <f>--($D1398=IF('الداشبورد'!$B$10="الكل",$D1398,'الداشبورد'!$B$10))</f>
        <v/>
      </c>
      <c r="W1398">
        <f>--($G1398=IF('الداشبورد'!$B$11="الكل",$G1398,'الداشبورد'!$B$11))</f>
        <v/>
      </c>
      <c r="X1398">
        <f>Q1398*R1398*S1398*T1398*U1398*V1398*W1398*--($C1398&lt;&gt;"")</f>
        <v/>
      </c>
    </row>
    <row r="1399">
      <c r="Q1399">
        <f>--($A1399=IF('الداشبورد'!$B$5="الكل",$A1399,'الداشبورد'!$B$5))</f>
        <v/>
      </c>
      <c r="R1399">
        <f>--($E1399=IF('الداشبورد'!$B$6="الكل",$E1399,'الداشبورد'!$B$6))</f>
        <v/>
      </c>
      <c r="S1399">
        <f>--($K1399=IF('الداشبورد'!$B$7="الكل",$K1399,IF('الداشبورد'!$B$7="تصدير","Y","N")))</f>
        <v/>
      </c>
      <c r="T1399">
        <f>--($J1399=IF('الداشبورد'!$B$8="الكل",$J1399,IF('الداشبورد'!$B$8="AL","A","C")))</f>
        <v/>
      </c>
      <c r="U1399">
        <f>--($I1399=IF('الداشبورد'!$B$9="الكل",$I1399,IF('الداشبورد'!$B$9="بدون حالة","P",'الداشبورد'!$B$9)))</f>
        <v/>
      </c>
      <c r="V1399">
        <f>--($D1399=IF('الداشبورد'!$B$10="الكل",$D1399,'الداشبورد'!$B$10))</f>
        <v/>
      </c>
      <c r="W1399">
        <f>--($G1399=IF('الداشبورد'!$B$11="الكل",$G1399,'الداشبورد'!$B$11))</f>
        <v/>
      </c>
      <c r="X1399">
        <f>Q1399*R1399*S1399*T1399*U1399*V1399*W1399*--($C1399&lt;&gt;"")</f>
        <v/>
      </c>
    </row>
    <row r="1400">
      <c r="Q1400">
        <f>--($A1400=IF('الداشبورد'!$B$5="الكل",$A1400,'الداشبورد'!$B$5))</f>
        <v/>
      </c>
      <c r="R1400">
        <f>--($E1400=IF('الداشبورد'!$B$6="الكل",$E1400,'الداشبورد'!$B$6))</f>
        <v/>
      </c>
      <c r="S1400">
        <f>--($K1400=IF('الداشبورد'!$B$7="الكل",$K1400,IF('الداشبورد'!$B$7="تصدير","Y","N")))</f>
        <v/>
      </c>
      <c r="T1400">
        <f>--($J1400=IF('الداشبورد'!$B$8="الكل",$J1400,IF('الداشبورد'!$B$8="AL","A","C")))</f>
        <v/>
      </c>
      <c r="U1400">
        <f>--($I1400=IF('الداشبورد'!$B$9="الكل",$I1400,IF('الداشبورد'!$B$9="بدون حالة","P",'الداشبورد'!$B$9)))</f>
        <v/>
      </c>
      <c r="V1400">
        <f>--($D1400=IF('الداشبورد'!$B$10="الكل",$D1400,'الداشبورد'!$B$10))</f>
        <v/>
      </c>
      <c r="W1400">
        <f>--($G1400=IF('الداشبورد'!$B$11="الكل",$G1400,'الداشبورد'!$B$11))</f>
        <v/>
      </c>
      <c r="X1400">
        <f>Q1400*R1400*S1400*T1400*U1400*V1400*W1400*--($C1400&lt;&gt;"")</f>
        <v/>
      </c>
    </row>
    <row r="1401">
      <c r="Q1401">
        <f>--($A1401=IF('الداشبورد'!$B$5="الكل",$A1401,'الداشبورد'!$B$5))</f>
        <v/>
      </c>
      <c r="R1401">
        <f>--($E1401=IF('الداشبورد'!$B$6="الكل",$E1401,'الداشبورد'!$B$6))</f>
        <v/>
      </c>
      <c r="S1401">
        <f>--($K1401=IF('الداشبورد'!$B$7="الكل",$K1401,IF('الداشبورد'!$B$7="تصدير","Y","N")))</f>
        <v/>
      </c>
      <c r="T1401">
        <f>--($J1401=IF('الداشبورد'!$B$8="الكل",$J1401,IF('الداشبورد'!$B$8="AL","A","C")))</f>
        <v/>
      </c>
      <c r="U1401">
        <f>--($I1401=IF('الداشبورد'!$B$9="الكل",$I1401,IF('الداشبورد'!$B$9="بدون حالة","P",'الداشبورد'!$B$9)))</f>
        <v/>
      </c>
      <c r="V1401">
        <f>--($D1401=IF('الداشبورد'!$B$10="الكل",$D1401,'الداشبورد'!$B$10))</f>
        <v/>
      </c>
      <c r="W1401">
        <f>--($G1401=IF('الداشبورد'!$B$11="الكل",$G1401,'الداشبورد'!$B$11))</f>
        <v/>
      </c>
      <c r="X1401">
        <f>Q1401*R1401*S1401*T1401*U1401*V1401*W1401*--($C1401&lt;&gt;"")</f>
        <v/>
      </c>
    </row>
    <row r="1402">
      <c r="Q1402">
        <f>--($A1402=IF('الداشبورد'!$B$5="الكل",$A1402,'الداشبورد'!$B$5))</f>
        <v/>
      </c>
      <c r="R1402">
        <f>--($E1402=IF('الداشبورد'!$B$6="الكل",$E1402,'الداشبورد'!$B$6))</f>
        <v/>
      </c>
      <c r="S1402">
        <f>--($K1402=IF('الداشبورد'!$B$7="الكل",$K1402,IF('الداشبورد'!$B$7="تصدير","Y","N")))</f>
        <v/>
      </c>
      <c r="T1402">
        <f>--($J1402=IF('الداشبورد'!$B$8="الكل",$J1402,IF('الداشبورد'!$B$8="AL","A","C")))</f>
        <v/>
      </c>
      <c r="U1402">
        <f>--($I1402=IF('الداشبورد'!$B$9="الكل",$I1402,IF('الداشبورد'!$B$9="بدون حالة","P",'الداشبورد'!$B$9)))</f>
        <v/>
      </c>
      <c r="V1402">
        <f>--($D1402=IF('الداشبورد'!$B$10="الكل",$D1402,'الداشبورد'!$B$10))</f>
        <v/>
      </c>
      <c r="W1402">
        <f>--($G1402=IF('الداشبورد'!$B$11="الكل",$G1402,'الداشبورد'!$B$11))</f>
        <v/>
      </c>
      <c r="X1402">
        <f>Q1402*R1402*S1402*T1402*U1402*V1402*W1402*--($C1402&lt;&gt;"")</f>
        <v/>
      </c>
    </row>
    <row r="1403">
      <c r="Q1403">
        <f>--($A1403=IF('الداشبورد'!$B$5="الكل",$A1403,'الداشبورد'!$B$5))</f>
        <v/>
      </c>
      <c r="R1403">
        <f>--($E1403=IF('الداشبورد'!$B$6="الكل",$E1403,'الداشبورد'!$B$6))</f>
        <v/>
      </c>
      <c r="S1403">
        <f>--($K1403=IF('الداشبورد'!$B$7="الكل",$K1403,IF('الداشبورد'!$B$7="تصدير","Y","N")))</f>
        <v/>
      </c>
      <c r="T1403">
        <f>--($J1403=IF('الداشبورد'!$B$8="الكل",$J1403,IF('الداشبورد'!$B$8="AL","A","C")))</f>
        <v/>
      </c>
      <c r="U1403">
        <f>--($I1403=IF('الداشبورد'!$B$9="الكل",$I1403,IF('الداشبورد'!$B$9="بدون حالة","P",'الداشبورد'!$B$9)))</f>
        <v/>
      </c>
      <c r="V1403">
        <f>--($D1403=IF('الداشبورد'!$B$10="الكل",$D1403,'الداشبورد'!$B$10))</f>
        <v/>
      </c>
      <c r="W1403">
        <f>--($G1403=IF('الداشبورد'!$B$11="الكل",$G1403,'الداشبورد'!$B$11))</f>
        <v/>
      </c>
      <c r="X1403">
        <f>Q1403*R1403*S1403*T1403*U1403*V1403*W1403*--($C1403&lt;&gt;"")</f>
        <v/>
      </c>
    </row>
    <row r="1404">
      <c r="Q1404">
        <f>--($A1404=IF('الداشبورد'!$B$5="الكل",$A1404,'الداشبورد'!$B$5))</f>
        <v/>
      </c>
      <c r="R1404">
        <f>--($E1404=IF('الداشبورد'!$B$6="الكل",$E1404,'الداشبورد'!$B$6))</f>
        <v/>
      </c>
      <c r="S1404">
        <f>--($K1404=IF('الداشبورد'!$B$7="الكل",$K1404,IF('الداشبورد'!$B$7="تصدير","Y","N")))</f>
        <v/>
      </c>
      <c r="T1404">
        <f>--($J1404=IF('الداشبورد'!$B$8="الكل",$J1404,IF('الداشبورد'!$B$8="AL","A","C")))</f>
        <v/>
      </c>
      <c r="U1404">
        <f>--($I1404=IF('الداشبورد'!$B$9="الكل",$I1404,IF('الداشبورد'!$B$9="بدون حالة","P",'الداشبورد'!$B$9)))</f>
        <v/>
      </c>
      <c r="V1404">
        <f>--($D1404=IF('الداشبورد'!$B$10="الكل",$D1404,'الداشبورد'!$B$10))</f>
        <v/>
      </c>
      <c r="W1404">
        <f>--($G1404=IF('الداشبورد'!$B$11="الكل",$G1404,'الداشبورد'!$B$11))</f>
        <v/>
      </c>
      <c r="X1404">
        <f>Q1404*R1404*S1404*T1404*U1404*V1404*W1404*--($C1404&lt;&gt;"")</f>
        <v/>
      </c>
    </row>
    <row r="1405">
      <c r="Q1405">
        <f>--($A1405=IF('الداشبورد'!$B$5="الكل",$A1405,'الداشبورد'!$B$5))</f>
        <v/>
      </c>
      <c r="R1405">
        <f>--($E1405=IF('الداشبورد'!$B$6="الكل",$E1405,'الداشبورد'!$B$6))</f>
        <v/>
      </c>
      <c r="S1405">
        <f>--($K1405=IF('الداشبورد'!$B$7="الكل",$K1405,IF('الداشبورد'!$B$7="تصدير","Y","N")))</f>
        <v/>
      </c>
      <c r="T1405">
        <f>--($J1405=IF('الداشبورد'!$B$8="الكل",$J1405,IF('الداشبورد'!$B$8="AL","A","C")))</f>
        <v/>
      </c>
      <c r="U1405">
        <f>--($I1405=IF('الداشبورد'!$B$9="الكل",$I1405,IF('الداشبورد'!$B$9="بدون حالة","P",'الداشبورد'!$B$9)))</f>
        <v/>
      </c>
      <c r="V1405">
        <f>--($D1405=IF('الداشبورد'!$B$10="الكل",$D1405,'الداشبورد'!$B$10))</f>
        <v/>
      </c>
      <c r="W1405">
        <f>--($G1405=IF('الداشبورد'!$B$11="الكل",$G1405,'الداشبورد'!$B$11))</f>
        <v/>
      </c>
      <c r="X1405">
        <f>Q1405*R1405*S1405*T1405*U1405*V1405*W1405*--($C1405&lt;&gt;"")</f>
        <v/>
      </c>
    </row>
    <row r="1406">
      <c r="Q1406">
        <f>--($A1406=IF('الداشبورد'!$B$5="الكل",$A1406,'الداشبورد'!$B$5))</f>
        <v/>
      </c>
      <c r="R1406">
        <f>--($E1406=IF('الداشبورد'!$B$6="الكل",$E1406,'الداشبورد'!$B$6))</f>
        <v/>
      </c>
      <c r="S1406">
        <f>--($K1406=IF('الداشبورد'!$B$7="الكل",$K1406,IF('الداشبورد'!$B$7="تصدير","Y","N")))</f>
        <v/>
      </c>
      <c r="T1406">
        <f>--($J1406=IF('الداشبورد'!$B$8="الكل",$J1406,IF('الداشبورد'!$B$8="AL","A","C")))</f>
        <v/>
      </c>
      <c r="U1406">
        <f>--($I1406=IF('الداشبورد'!$B$9="الكل",$I1406,IF('الداشبورد'!$B$9="بدون حالة","P",'الداشبورد'!$B$9)))</f>
        <v/>
      </c>
      <c r="V1406">
        <f>--($D1406=IF('الداشبورد'!$B$10="الكل",$D1406,'الداشبورد'!$B$10))</f>
        <v/>
      </c>
      <c r="W1406">
        <f>--($G1406=IF('الداشبورد'!$B$11="الكل",$G1406,'الداشبورد'!$B$11))</f>
        <v/>
      </c>
      <c r="X1406">
        <f>Q1406*R1406*S1406*T1406*U1406*V1406*W1406*--($C1406&lt;&gt;"")</f>
        <v/>
      </c>
    </row>
    <row r="1407">
      <c r="Q1407">
        <f>--($A1407=IF('الداشبورد'!$B$5="الكل",$A1407,'الداشبورد'!$B$5))</f>
        <v/>
      </c>
      <c r="R1407">
        <f>--($E1407=IF('الداشبورد'!$B$6="الكل",$E1407,'الداشبورد'!$B$6))</f>
        <v/>
      </c>
      <c r="S1407">
        <f>--($K1407=IF('الداشبورد'!$B$7="الكل",$K1407,IF('الداشبورد'!$B$7="تصدير","Y","N")))</f>
        <v/>
      </c>
      <c r="T1407">
        <f>--($J1407=IF('الداشبورد'!$B$8="الكل",$J1407,IF('الداشبورد'!$B$8="AL","A","C")))</f>
        <v/>
      </c>
      <c r="U1407">
        <f>--($I1407=IF('الداشبورد'!$B$9="الكل",$I1407,IF('الداشبورد'!$B$9="بدون حالة","P",'الداشبورد'!$B$9)))</f>
        <v/>
      </c>
      <c r="V1407">
        <f>--($D1407=IF('الداشبورد'!$B$10="الكل",$D1407,'الداشبورد'!$B$10))</f>
        <v/>
      </c>
      <c r="W1407">
        <f>--($G1407=IF('الداشبورد'!$B$11="الكل",$G1407,'الداشبورد'!$B$11))</f>
        <v/>
      </c>
      <c r="X1407">
        <f>Q1407*R1407*S1407*T1407*U1407*V1407*W1407*--($C1407&lt;&gt;"")</f>
        <v/>
      </c>
    </row>
    <row r="1408">
      <c r="Q1408">
        <f>--($A1408=IF('الداشبورد'!$B$5="الكل",$A1408,'الداشبورد'!$B$5))</f>
        <v/>
      </c>
      <c r="R1408">
        <f>--($E1408=IF('الداشبورد'!$B$6="الكل",$E1408,'الداشبورد'!$B$6))</f>
        <v/>
      </c>
      <c r="S1408">
        <f>--($K1408=IF('الداشبورد'!$B$7="الكل",$K1408,IF('الداشبورد'!$B$7="تصدير","Y","N")))</f>
        <v/>
      </c>
      <c r="T1408">
        <f>--($J1408=IF('الداشبورد'!$B$8="الكل",$J1408,IF('الداشبورد'!$B$8="AL","A","C")))</f>
        <v/>
      </c>
      <c r="U1408">
        <f>--($I1408=IF('الداشبورد'!$B$9="الكل",$I1408,IF('الداشبورد'!$B$9="بدون حالة","P",'الداشبورد'!$B$9)))</f>
        <v/>
      </c>
      <c r="V1408">
        <f>--($D1408=IF('الداشبورد'!$B$10="الكل",$D1408,'الداشبورد'!$B$10))</f>
        <v/>
      </c>
      <c r="W1408">
        <f>--($G1408=IF('الداشبورد'!$B$11="الكل",$G1408,'الداشبورد'!$B$11))</f>
        <v/>
      </c>
      <c r="X1408">
        <f>Q1408*R1408*S1408*T1408*U1408*V1408*W1408*--($C1408&lt;&gt;"")</f>
        <v/>
      </c>
    </row>
    <row r="1409">
      <c r="Q1409">
        <f>--($A1409=IF('الداشبورد'!$B$5="الكل",$A1409,'الداشبورد'!$B$5))</f>
        <v/>
      </c>
      <c r="R1409">
        <f>--($E1409=IF('الداشبورد'!$B$6="الكل",$E1409,'الداشبورد'!$B$6))</f>
        <v/>
      </c>
      <c r="S1409">
        <f>--($K1409=IF('الداشبورد'!$B$7="الكل",$K1409,IF('الداشبورد'!$B$7="تصدير","Y","N")))</f>
        <v/>
      </c>
      <c r="T1409">
        <f>--($J1409=IF('الداشبورد'!$B$8="الكل",$J1409,IF('الداشبورد'!$B$8="AL","A","C")))</f>
        <v/>
      </c>
      <c r="U1409">
        <f>--($I1409=IF('الداشبورد'!$B$9="الكل",$I1409,IF('الداشبورد'!$B$9="بدون حالة","P",'الداشبورد'!$B$9)))</f>
        <v/>
      </c>
      <c r="V1409">
        <f>--($D1409=IF('الداشبورد'!$B$10="الكل",$D1409,'الداشبورد'!$B$10))</f>
        <v/>
      </c>
      <c r="W1409">
        <f>--($G1409=IF('الداشبورد'!$B$11="الكل",$G1409,'الداشبورد'!$B$11))</f>
        <v/>
      </c>
      <c r="X1409">
        <f>Q1409*R1409*S1409*T1409*U1409*V1409*W1409*--($C1409&lt;&gt;"")</f>
        <v/>
      </c>
    </row>
    <row r="1410">
      <c r="Q1410">
        <f>--($A1410=IF('الداشبورد'!$B$5="الكل",$A1410,'الداشبورد'!$B$5))</f>
        <v/>
      </c>
      <c r="R1410">
        <f>--($E1410=IF('الداشبورد'!$B$6="الكل",$E1410,'الداشبورد'!$B$6))</f>
        <v/>
      </c>
      <c r="S1410">
        <f>--($K1410=IF('الداشبورد'!$B$7="الكل",$K1410,IF('الداشبورد'!$B$7="تصدير","Y","N")))</f>
        <v/>
      </c>
      <c r="T1410">
        <f>--($J1410=IF('الداشبورد'!$B$8="الكل",$J1410,IF('الداشبورد'!$B$8="AL","A","C")))</f>
        <v/>
      </c>
      <c r="U1410">
        <f>--($I1410=IF('الداشبورد'!$B$9="الكل",$I1410,IF('الداشبورد'!$B$9="بدون حالة","P",'الداشبورد'!$B$9)))</f>
        <v/>
      </c>
      <c r="V1410">
        <f>--($D1410=IF('الداشبورد'!$B$10="الكل",$D1410,'الداشبورد'!$B$10))</f>
        <v/>
      </c>
      <c r="W1410">
        <f>--($G1410=IF('الداشبورد'!$B$11="الكل",$G1410,'الداشبورد'!$B$11))</f>
        <v/>
      </c>
      <c r="X1410">
        <f>Q1410*R1410*S1410*T1410*U1410*V1410*W1410*--($C1410&lt;&gt;"")</f>
        <v/>
      </c>
    </row>
    <row r="1411">
      <c r="Q1411">
        <f>--($A1411=IF('الداشبورد'!$B$5="الكل",$A1411,'الداشبورد'!$B$5))</f>
        <v/>
      </c>
      <c r="R1411">
        <f>--($E1411=IF('الداشبورد'!$B$6="الكل",$E1411,'الداشبورد'!$B$6))</f>
        <v/>
      </c>
      <c r="S1411">
        <f>--($K1411=IF('الداشبورد'!$B$7="الكل",$K1411,IF('الداشبورد'!$B$7="تصدير","Y","N")))</f>
        <v/>
      </c>
      <c r="T1411">
        <f>--($J1411=IF('الداشبورد'!$B$8="الكل",$J1411,IF('الداشبورد'!$B$8="AL","A","C")))</f>
        <v/>
      </c>
      <c r="U1411">
        <f>--($I1411=IF('الداشبورد'!$B$9="الكل",$I1411,IF('الداشبورد'!$B$9="بدون حالة","P",'الداشبورد'!$B$9)))</f>
        <v/>
      </c>
      <c r="V1411">
        <f>--($D1411=IF('الداشبورد'!$B$10="الكل",$D1411,'الداشبورد'!$B$10))</f>
        <v/>
      </c>
      <c r="W1411">
        <f>--($G1411=IF('الداشبورد'!$B$11="الكل",$G1411,'الداشبورد'!$B$11))</f>
        <v/>
      </c>
      <c r="X1411">
        <f>Q1411*R1411*S1411*T1411*U1411*V1411*W1411*--($C1411&lt;&gt;"")</f>
        <v/>
      </c>
    </row>
    <row r="1412">
      <c r="Q1412">
        <f>--($A1412=IF('الداشبورد'!$B$5="الكل",$A1412,'الداشبورد'!$B$5))</f>
        <v/>
      </c>
      <c r="R1412">
        <f>--($E1412=IF('الداشبورد'!$B$6="الكل",$E1412,'الداشبورد'!$B$6))</f>
        <v/>
      </c>
      <c r="S1412">
        <f>--($K1412=IF('الداشبورد'!$B$7="الكل",$K1412,IF('الداشبورد'!$B$7="تصدير","Y","N")))</f>
        <v/>
      </c>
      <c r="T1412">
        <f>--($J1412=IF('الداشبورد'!$B$8="الكل",$J1412,IF('الداشبورد'!$B$8="AL","A","C")))</f>
        <v/>
      </c>
      <c r="U1412">
        <f>--($I1412=IF('الداشبورد'!$B$9="الكل",$I1412,IF('الداشبورد'!$B$9="بدون حالة","P",'الداشبورد'!$B$9)))</f>
        <v/>
      </c>
      <c r="V1412">
        <f>--($D1412=IF('الداشبورد'!$B$10="الكل",$D1412,'الداشبورد'!$B$10))</f>
        <v/>
      </c>
      <c r="W1412">
        <f>--($G1412=IF('الداشبورد'!$B$11="الكل",$G1412,'الداشبورد'!$B$11))</f>
        <v/>
      </c>
      <c r="X1412">
        <f>Q1412*R1412*S1412*T1412*U1412*V1412*W1412*--($C1412&lt;&gt;"")</f>
        <v/>
      </c>
    </row>
    <row r="1413">
      <c r="Q1413">
        <f>--($A1413=IF('الداشبورد'!$B$5="الكل",$A1413,'الداشبورد'!$B$5))</f>
        <v/>
      </c>
      <c r="R1413">
        <f>--($E1413=IF('الداشبورد'!$B$6="الكل",$E1413,'الداشبورد'!$B$6))</f>
        <v/>
      </c>
      <c r="S1413">
        <f>--($K1413=IF('الداشبورد'!$B$7="الكل",$K1413,IF('الداشبورد'!$B$7="تصدير","Y","N")))</f>
        <v/>
      </c>
      <c r="T1413">
        <f>--($J1413=IF('الداشبورد'!$B$8="الكل",$J1413,IF('الداشبورد'!$B$8="AL","A","C")))</f>
        <v/>
      </c>
      <c r="U1413">
        <f>--($I1413=IF('الداشبورد'!$B$9="الكل",$I1413,IF('الداشبورد'!$B$9="بدون حالة","P",'الداشبورد'!$B$9)))</f>
        <v/>
      </c>
      <c r="V1413">
        <f>--($D1413=IF('الداشبورد'!$B$10="الكل",$D1413,'الداشبورد'!$B$10))</f>
        <v/>
      </c>
      <c r="W1413">
        <f>--($G1413=IF('الداشبورد'!$B$11="الكل",$G1413,'الداشبورد'!$B$11))</f>
        <v/>
      </c>
      <c r="X1413">
        <f>Q1413*R1413*S1413*T1413*U1413*V1413*W1413*--($C1413&lt;&gt;"")</f>
        <v/>
      </c>
    </row>
    <row r="1414">
      <c r="Q1414">
        <f>--($A1414=IF('الداشبورد'!$B$5="الكل",$A1414,'الداشبورد'!$B$5))</f>
        <v/>
      </c>
      <c r="R1414">
        <f>--($E1414=IF('الداشبورد'!$B$6="الكل",$E1414,'الداشبورد'!$B$6))</f>
        <v/>
      </c>
      <c r="S1414">
        <f>--($K1414=IF('الداشبورد'!$B$7="الكل",$K1414,IF('الداشبورد'!$B$7="تصدير","Y","N")))</f>
        <v/>
      </c>
      <c r="T1414">
        <f>--($J1414=IF('الداشبورد'!$B$8="الكل",$J1414,IF('الداشبورد'!$B$8="AL","A","C")))</f>
        <v/>
      </c>
      <c r="U1414">
        <f>--($I1414=IF('الداشبورد'!$B$9="الكل",$I1414,IF('الداشبورد'!$B$9="بدون حالة","P",'الداشبورد'!$B$9)))</f>
        <v/>
      </c>
      <c r="V1414">
        <f>--($D1414=IF('الداشبورد'!$B$10="الكل",$D1414,'الداشبورد'!$B$10))</f>
        <v/>
      </c>
      <c r="W1414">
        <f>--($G1414=IF('الداشبورد'!$B$11="الكل",$G1414,'الداشبورد'!$B$11))</f>
        <v/>
      </c>
      <c r="X1414">
        <f>Q1414*R1414*S1414*T1414*U1414*V1414*W1414*--($C1414&lt;&gt;"")</f>
        <v/>
      </c>
    </row>
    <row r="1415">
      <c r="Q1415">
        <f>--($A1415=IF('الداشبورد'!$B$5="الكل",$A1415,'الداشبورد'!$B$5))</f>
        <v/>
      </c>
      <c r="R1415">
        <f>--($E1415=IF('الداشبورد'!$B$6="الكل",$E1415,'الداشبورد'!$B$6))</f>
        <v/>
      </c>
      <c r="S1415">
        <f>--($K1415=IF('الداشبورد'!$B$7="الكل",$K1415,IF('الداشبورد'!$B$7="تصدير","Y","N")))</f>
        <v/>
      </c>
      <c r="T1415">
        <f>--($J1415=IF('الداشبورد'!$B$8="الكل",$J1415,IF('الداشبورد'!$B$8="AL","A","C")))</f>
        <v/>
      </c>
      <c r="U1415">
        <f>--($I1415=IF('الداشبورد'!$B$9="الكل",$I1415,IF('الداشبورد'!$B$9="بدون حالة","P",'الداشبورد'!$B$9)))</f>
        <v/>
      </c>
      <c r="V1415">
        <f>--($D1415=IF('الداشبورد'!$B$10="الكل",$D1415,'الداشبورد'!$B$10))</f>
        <v/>
      </c>
      <c r="W1415">
        <f>--($G1415=IF('الداشبورد'!$B$11="الكل",$G1415,'الداشبورد'!$B$11))</f>
        <v/>
      </c>
      <c r="X1415">
        <f>Q1415*R1415*S1415*T1415*U1415*V1415*W1415*--($C1415&lt;&gt;"")</f>
        <v/>
      </c>
    </row>
    <row r="1416">
      <c r="Q1416">
        <f>--($A1416=IF('الداشبورد'!$B$5="الكل",$A1416,'الداشبورد'!$B$5))</f>
        <v/>
      </c>
      <c r="R1416">
        <f>--($E1416=IF('الداشبورد'!$B$6="الكل",$E1416,'الداشبورد'!$B$6))</f>
        <v/>
      </c>
      <c r="S1416">
        <f>--($K1416=IF('الداشبورد'!$B$7="الكل",$K1416,IF('الداشبورد'!$B$7="تصدير","Y","N")))</f>
        <v/>
      </c>
      <c r="T1416">
        <f>--($J1416=IF('الداشبورد'!$B$8="الكل",$J1416,IF('الداشبورد'!$B$8="AL","A","C")))</f>
        <v/>
      </c>
      <c r="U1416">
        <f>--($I1416=IF('الداشبورد'!$B$9="الكل",$I1416,IF('الداشبورد'!$B$9="بدون حالة","P",'الداشبورد'!$B$9)))</f>
        <v/>
      </c>
      <c r="V1416">
        <f>--($D1416=IF('الداشبورد'!$B$10="الكل",$D1416,'الداشبورد'!$B$10))</f>
        <v/>
      </c>
      <c r="W1416">
        <f>--($G1416=IF('الداشبورد'!$B$11="الكل",$G1416,'الداشبورد'!$B$11))</f>
        <v/>
      </c>
      <c r="X1416">
        <f>Q1416*R1416*S1416*T1416*U1416*V1416*W1416*--($C1416&lt;&gt;"")</f>
        <v/>
      </c>
    </row>
    <row r="1417">
      <c r="Q1417">
        <f>--($A1417=IF('الداشبورد'!$B$5="الكل",$A1417,'الداشبورد'!$B$5))</f>
        <v/>
      </c>
      <c r="R1417">
        <f>--($E1417=IF('الداشبورد'!$B$6="الكل",$E1417,'الداشبورد'!$B$6))</f>
        <v/>
      </c>
      <c r="S1417">
        <f>--($K1417=IF('الداشبورد'!$B$7="الكل",$K1417,IF('الداشبورد'!$B$7="تصدير","Y","N")))</f>
        <v/>
      </c>
      <c r="T1417">
        <f>--($J1417=IF('الداشبورد'!$B$8="الكل",$J1417,IF('الداشبورد'!$B$8="AL","A","C")))</f>
        <v/>
      </c>
      <c r="U1417">
        <f>--($I1417=IF('الداشبورد'!$B$9="الكل",$I1417,IF('الداشبورد'!$B$9="بدون حالة","P",'الداشبورد'!$B$9)))</f>
        <v/>
      </c>
      <c r="V1417">
        <f>--($D1417=IF('الداشبورد'!$B$10="الكل",$D1417,'الداشبورد'!$B$10))</f>
        <v/>
      </c>
      <c r="W1417">
        <f>--($G1417=IF('الداشبورد'!$B$11="الكل",$G1417,'الداشبورد'!$B$11))</f>
        <v/>
      </c>
      <c r="X1417">
        <f>Q1417*R1417*S1417*T1417*U1417*V1417*W1417*--($C1417&lt;&gt;"")</f>
        <v/>
      </c>
    </row>
    <row r="1418">
      <c r="Q1418">
        <f>--($A1418=IF('الداشبورد'!$B$5="الكل",$A1418,'الداشبورد'!$B$5))</f>
        <v/>
      </c>
      <c r="R1418">
        <f>--($E1418=IF('الداشبورد'!$B$6="الكل",$E1418,'الداشبورد'!$B$6))</f>
        <v/>
      </c>
      <c r="S1418">
        <f>--($K1418=IF('الداشبورد'!$B$7="الكل",$K1418,IF('الداشبورد'!$B$7="تصدير","Y","N")))</f>
        <v/>
      </c>
      <c r="T1418">
        <f>--($J1418=IF('الداشبورد'!$B$8="الكل",$J1418,IF('الداشبورد'!$B$8="AL","A","C")))</f>
        <v/>
      </c>
      <c r="U1418">
        <f>--($I1418=IF('الداشبورد'!$B$9="الكل",$I1418,IF('الداشبورد'!$B$9="بدون حالة","P",'الداشبورد'!$B$9)))</f>
        <v/>
      </c>
      <c r="V1418">
        <f>--($D1418=IF('الداشبورد'!$B$10="الكل",$D1418,'الداشبورد'!$B$10))</f>
        <v/>
      </c>
      <c r="W1418">
        <f>--($G1418=IF('الداشبورد'!$B$11="الكل",$G1418,'الداشبورد'!$B$11))</f>
        <v/>
      </c>
      <c r="X1418">
        <f>Q1418*R1418*S1418*T1418*U1418*V1418*W1418*--($C1418&lt;&gt;"")</f>
        <v/>
      </c>
    </row>
    <row r="1419">
      <c r="Q1419">
        <f>--($A1419=IF('الداشبورد'!$B$5="الكل",$A1419,'الداشبورد'!$B$5))</f>
        <v/>
      </c>
      <c r="R1419">
        <f>--($E1419=IF('الداشبورد'!$B$6="الكل",$E1419,'الداشبورد'!$B$6))</f>
        <v/>
      </c>
      <c r="S1419">
        <f>--($K1419=IF('الداشبورد'!$B$7="الكل",$K1419,IF('الداشبورد'!$B$7="تصدير","Y","N")))</f>
        <v/>
      </c>
      <c r="T1419">
        <f>--($J1419=IF('الداشبورد'!$B$8="الكل",$J1419,IF('الداشبورد'!$B$8="AL","A","C")))</f>
        <v/>
      </c>
      <c r="U1419">
        <f>--($I1419=IF('الداشبورد'!$B$9="الكل",$I1419,IF('الداشبورد'!$B$9="بدون حالة","P",'الداشبورد'!$B$9)))</f>
        <v/>
      </c>
      <c r="V1419">
        <f>--($D1419=IF('الداشبورد'!$B$10="الكل",$D1419,'الداشبورد'!$B$10))</f>
        <v/>
      </c>
      <c r="W1419">
        <f>--($G1419=IF('الداشبورد'!$B$11="الكل",$G1419,'الداشبورد'!$B$11))</f>
        <v/>
      </c>
      <c r="X1419">
        <f>Q1419*R1419*S1419*T1419*U1419*V1419*W1419*--($C1419&lt;&gt;"")</f>
        <v/>
      </c>
    </row>
    <row r="1420">
      <c r="Q1420">
        <f>--($A1420=IF('الداشبورد'!$B$5="الكل",$A1420,'الداشبورد'!$B$5))</f>
        <v/>
      </c>
      <c r="R1420">
        <f>--($E1420=IF('الداشبورد'!$B$6="الكل",$E1420,'الداشبورد'!$B$6))</f>
        <v/>
      </c>
      <c r="S1420">
        <f>--($K1420=IF('الداشبورد'!$B$7="الكل",$K1420,IF('الداشبورد'!$B$7="تصدير","Y","N")))</f>
        <v/>
      </c>
      <c r="T1420">
        <f>--($J1420=IF('الداشبورد'!$B$8="الكل",$J1420,IF('الداشبورد'!$B$8="AL","A","C")))</f>
        <v/>
      </c>
      <c r="U1420">
        <f>--($I1420=IF('الداشبورد'!$B$9="الكل",$I1420,IF('الداشبورد'!$B$9="بدون حالة","P",'الداشبورد'!$B$9)))</f>
        <v/>
      </c>
      <c r="V1420">
        <f>--($D1420=IF('الداشبورد'!$B$10="الكل",$D1420,'الداشبورد'!$B$10))</f>
        <v/>
      </c>
      <c r="W1420">
        <f>--($G1420=IF('الداشبورد'!$B$11="الكل",$G1420,'الداشبورد'!$B$11))</f>
        <v/>
      </c>
      <c r="X1420">
        <f>Q1420*R1420*S1420*T1420*U1420*V1420*W1420*--($C1420&lt;&gt;"")</f>
        <v/>
      </c>
    </row>
    <row r="1421">
      <c r="Q1421">
        <f>--($A1421=IF('الداشبورد'!$B$5="الكل",$A1421,'الداشبورد'!$B$5))</f>
        <v/>
      </c>
      <c r="R1421">
        <f>--($E1421=IF('الداشبورد'!$B$6="الكل",$E1421,'الداشبورد'!$B$6))</f>
        <v/>
      </c>
      <c r="S1421">
        <f>--($K1421=IF('الداشبورد'!$B$7="الكل",$K1421,IF('الداشبورد'!$B$7="تصدير","Y","N")))</f>
        <v/>
      </c>
      <c r="T1421">
        <f>--($J1421=IF('الداشبورد'!$B$8="الكل",$J1421,IF('الداشبورد'!$B$8="AL","A","C")))</f>
        <v/>
      </c>
      <c r="U1421">
        <f>--($I1421=IF('الداشبورد'!$B$9="الكل",$I1421,IF('الداشبورد'!$B$9="بدون حالة","P",'الداشبورد'!$B$9)))</f>
        <v/>
      </c>
      <c r="V1421">
        <f>--($D1421=IF('الداشبورد'!$B$10="الكل",$D1421,'الداشبورد'!$B$10))</f>
        <v/>
      </c>
      <c r="W1421">
        <f>--($G1421=IF('الداشبورد'!$B$11="الكل",$G1421,'الداشبورد'!$B$11))</f>
        <v/>
      </c>
      <c r="X1421">
        <f>Q1421*R1421*S1421*T1421*U1421*V1421*W1421*--($C1421&lt;&gt;"")</f>
        <v/>
      </c>
    </row>
    <row r="1422">
      <c r="Q1422">
        <f>--($A1422=IF('الداشبورد'!$B$5="الكل",$A1422,'الداشبورد'!$B$5))</f>
        <v/>
      </c>
      <c r="R1422">
        <f>--($E1422=IF('الداشبورد'!$B$6="الكل",$E1422,'الداشبورد'!$B$6))</f>
        <v/>
      </c>
      <c r="S1422">
        <f>--($K1422=IF('الداشبورد'!$B$7="الكل",$K1422,IF('الداشبورد'!$B$7="تصدير","Y","N")))</f>
        <v/>
      </c>
      <c r="T1422">
        <f>--($J1422=IF('الداشبورد'!$B$8="الكل",$J1422,IF('الداشبورد'!$B$8="AL","A","C")))</f>
        <v/>
      </c>
      <c r="U1422">
        <f>--($I1422=IF('الداشبورد'!$B$9="الكل",$I1422,IF('الداشبورد'!$B$9="بدون حالة","P",'الداشبورد'!$B$9)))</f>
        <v/>
      </c>
      <c r="V1422">
        <f>--($D1422=IF('الداشبورد'!$B$10="الكل",$D1422,'الداشبورد'!$B$10))</f>
        <v/>
      </c>
      <c r="W1422">
        <f>--($G1422=IF('الداشبورد'!$B$11="الكل",$G1422,'الداشبورد'!$B$11))</f>
        <v/>
      </c>
      <c r="X1422">
        <f>Q1422*R1422*S1422*T1422*U1422*V1422*W1422*--($C1422&lt;&gt;"")</f>
        <v/>
      </c>
    </row>
    <row r="1423">
      <c r="Q1423">
        <f>--($A1423=IF('الداشبورد'!$B$5="الكل",$A1423,'الداشبورد'!$B$5))</f>
        <v/>
      </c>
      <c r="R1423">
        <f>--($E1423=IF('الداشبورد'!$B$6="الكل",$E1423,'الداشبورد'!$B$6))</f>
        <v/>
      </c>
      <c r="S1423">
        <f>--($K1423=IF('الداشبورد'!$B$7="الكل",$K1423,IF('الداشبورد'!$B$7="تصدير","Y","N")))</f>
        <v/>
      </c>
      <c r="T1423">
        <f>--($J1423=IF('الداشبورد'!$B$8="الكل",$J1423,IF('الداشبورد'!$B$8="AL","A","C")))</f>
        <v/>
      </c>
      <c r="U1423">
        <f>--($I1423=IF('الداشبورد'!$B$9="الكل",$I1423,IF('الداشبورد'!$B$9="بدون حالة","P",'الداشبورد'!$B$9)))</f>
        <v/>
      </c>
      <c r="V1423">
        <f>--($D1423=IF('الداشبورد'!$B$10="الكل",$D1423,'الداشبورد'!$B$10))</f>
        <v/>
      </c>
      <c r="W1423">
        <f>--($G1423=IF('الداشبورد'!$B$11="الكل",$G1423,'الداشبورد'!$B$11))</f>
        <v/>
      </c>
      <c r="X1423">
        <f>Q1423*R1423*S1423*T1423*U1423*V1423*W1423*--($C1423&lt;&gt;"")</f>
        <v/>
      </c>
    </row>
    <row r="1424">
      <c r="Q1424">
        <f>--($A1424=IF('الداشبورد'!$B$5="الكل",$A1424,'الداشبورد'!$B$5))</f>
        <v/>
      </c>
      <c r="R1424">
        <f>--($E1424=IF('الداشبورد'!$B$6="الكل",$E1424,'الداشبورد'!$B$6))</f>
        <v/>
      </c>
      <c r="S1424">
        <f>--($K1424=IF('الداشبورد'!$B$7="الكل",$K1424,IF('الداشبورد'!$B$7="تصدير","Y","N")))</f>
        <v/>
      </c>
      <c r="T1424">
        <f>--($J1424=IF('الداشبورد'!$B$8="الكل",$J1424,IF('الداشبورد'!$B$8="AL","A","C")))</f>
        <v/>
      </c>
      <c r="U1424">
        <f>--($I1424=IF('الداشبورد'!$B$9="الكل",$I1424,IF('الداشبورد'!$B$9="بدون حالة","P",'الداشبورد'!$B$9)))</f>
        <v/>
      </c>
      <c r="V1424">
        <f>--($D1424=IF('الداشبورد'!$B$10="الكل",$D1424,'الداشبورد'!$B$10))</f>
        <v/>
      </c>
      <c r="W1424">
        <f>--($G1424=IF('الداشبورد'!$B$11="الكل",$G1424,'الداشبورد'!$B$11))</f>
        <v/>
      </c>
      <c r="X1424">
        <f>Q1424*R1424*S1424*T1424*U1424*V1424*W1424*--($C1424&lt;&gt;"")</f>
        <v/>
      </c>
    </row>
    <row r="1425">
      <c r="Q1425">
        <f>--($A1425=IF('الداشبورد'!$B$5="الكل",$A1425,'الداشبورد'!$B$5))</f>
        <v/>
      </c>
      <c r="R1425">
        <f>--($E1425=IF('الداشبورد'!$B$6="الكل",$E1425,'الداشبورد'!$B$6))</f>
        <v/>
      </c>
      <c r="S1425">
        <f>--($K1425=IF('الداشبورد'!$B$7="الكل",$K1425,IF('الداشبورد'!$B$7="تصدير","Y","N")))</f>
        <v/>
      </c>
      <c r="T1425">
        <f>--($J1425=IF('الداشبورد'!$B$8="الكل",$J1425,IF('الداشبورد'!$B$8="AL","A","C")))</f>
        <v/>
      </c>
      <c r="U1425">
        <f>--($I1425=IF('الداشبورد'!$B$9="الكل",$I1425,IF('الداشبورد'!$B$9="بدون حالة","P",'الداشبورد'!$B$9)))</f>
        <v/>
      </c>
      <c r="V1425">
        <f>--($D1425=IF('الداشبورد'!$B$10="الكل",$D1425,'الداشبورد'!$B$10))</f>
        <v/>
      </c>
      <c r="W1425">
        <f>--($G1425=IF('الداشبورد'!$B$11="الكل",$G1425,'الداشبورد'!$B$11))</f>
        <v/>
      </c>
      <c r="X1425">
        <f>Q1425*R1425*S1425*T1425*U1425*V1425*W1425*--($C1425&lt;&gt;"")</f>
        <v/>
      </c>
    </row>
    <row r="1426">
      <c r="Q1426">
        <f>--($A1426=IF('الداشبورد'!$B$5="الكل",$A1426,'الداشبورد'!$B$5))</f>
        <v/>
      </c>
      <c r="R1426">
        <f>--($E1426=IF('الداشبورد'!$B$6="الكل",$E1426,'الداشبورد'!$B$6))</f>
        <v/>
      </c>
      <c r="S1426">
        <f>--($K1426=IF('الداشبورد'!$B$7="الكل",$K1426,IF('الداشبورد'!$B$7="تصدير","Y","N")))</f>
        <v/>
      </c>
      <c r="T1426">
        <f>--($J1426=IF('الداشبورد'!$B$8="الكل",$J1426,IF('الداشبورد'!$B$8="AL","A","C")))</f>
        <v/>
      </c>
      <c r="U1426">
        <f>--($I1426=IF('الداشبورد'!$B$9="الكل",$I1426,IF('الداشبورد'!$B$9="بدون حالة","P",'الداشبورد'!$B$9)))</f>
        <v/>
      </c>
      <c r="V1426">
        <f>--($D1426=IF('الداشبورد'!$B$10="الكل",$D1426,'الداشبورد'!$B$10))</f>
        <v/>
      </c>
      <c r="W1426">
        <f>--($G1426=IF('الداشبورد'!$B$11="الكل",$G1426,'الداشبورد'!$B$11))</f>
        <v/>
      </c>
      <c r="X1426">
        <f>Q1426*R1426*S1426*T1426*U1426*V1426*W1426*--($C1426&lt;&gt;"")</f>
        <v/>
      </c>
    </row>
    <row r="1427">
      <c r="Q1427">
        <f>--($A1427=IF('الداشبورد'!$B$5="الكل",$A1427,'الداشبورد'!$B$5))</f>
        <v/>
      </c>
      <c r="R1427">
        <f>--($E1427=IF('الداشبورد'!$B$6="الكل",$E1427,'الداشبورد'!$B$6))</f>
        <v/>
      </c>
      <c r="S1427">
        <f>--($K1427=IF('الداشبورد'!$B$7="الكل",$K1427,IF('الداشبورد'!$B$7="تصدير","Y","N")))</f>
        <v/>
      </c>
      <c r="T1427">
        <f>--($J1427=IF('الداشبورد'!$B$8="الكل",$J1427,IF('الداشبورد'!$B$8="AL","A","C")))</f>
        <v/>
      </c>
      <c r="U1427">
        <f>--($I1427=IF('الداشبورد'!$B$9="الكل",$I1427,IF('الداشبورد'!$B$9="بدون حالة","P",'الداشبورد'!$B$9)))</f>
        <v/>
      </c>
      <c r="V1427">
        <f>--($D1427=IF('الداشبورد'!$B$10="الكل",$D1427,'الداشبورد'!$B$10))</f>
        <v/>
      </c>
      <c r="W1427">
        <f>--($G1427=IF('الداشبورد'!$B$11="الكل",$G1427,'الداشبورد'!$B$11))</f>
        <v/>
      </c>
      <c r="X1427">
        <f>Q1427*R1427*S1427*T1427*U1427*V1427*W1427*--($C1427&lt;&gt;"")</f>
        <v/>
      </c>
    </row>
    <row r="1428">
      <c r="Q1428">
        <f>--($A1428=IF('الداشبورد'!$B$5="الكل",$A1428,'الداشبورد'!$B$5))</f>
        <v/>
      </c>
      <c r="R1428">
        <f>--($E1428=IF('الداشبورد'!$B$6="الكل",$E1428,'الداشبورد'!$B$6))</f>
        <v/>
      </c>
      <c r="S1428">
        <f>--($K1428=IF('الداشبورد'!$B$7="الكل",$K1428,IF('الداشبورد'!$B$7="تصدير","Y","N")))</f>
        <v/>
      </c>
      <c r="T1428">
        <f>--($J1428=IF('الداشبورد'!$B$8="الكل",$J1428,IF('الداشبورد'!$B$8="AL","A","C")))</f>
        <v/>
      </c>
      <c r="U1428">
        <f>--($I1428=IF('الداشبورد'!$B$9="الكل",$I1428,IF('الداشبورد'!$B$9="بدون حالة","P",'الداشبورد'!$B$9)))</f>
        <v/>
      </c>
      <c r="V1428">
        <f>--($D1428=IF('الداشبورد'!$B$10="الكل",$D1428,'الداشبورد'!$B$10))</f>
        <v/>
      </c>
      <c r="W1428">
        <f>--($G1428=IF('الداشبورد'!$B$11="الكل",$G1428,'الداشبورد'!$B$11))</f>
        <v/>
      </c>
      <c r="X1428">
        <f>Q1428*R1428*S1428*T1428*U1428*V1428*W1428*--($C1428&lt;&gt;"")</f>
        <v/>
      </c>
    </row>
    <row r="1429">
      <c r="Q1429">
        <f>--($A1429=IF('الداشبورد'!$B$5="الكل",$A1429,'الداشبورد'!$B$5))</f>
        <v/>
      </c>
      <c r="R1429">
        <f>--($E1429=IF('الداشبورد'!$B$6="الكل",$E1429,'الداشبورد'!$B$6))</f>
        <v/>
      </c>
      <c r="S1429">
        <f>--($K1429=IF('الداشبورد'!$B$7="الكل",$K1429,IF('الداشبورد'!$B$7="تصدير","Y","N")))</f>
        <v/>
      </c>
      <c r="T1429">
        <f>--($J1429=IF('الداشبورد'!$B$8="الكل",$J1429,IF('الداشبورد'!$B$8="AL","A","C")))</f>
        <v/>
      </c>
      <c r="U1429">
        <f>--($I1429=IF('الداشبورد'!$B$9="الكل",$I1429,IF('الداشبورد'!$B$9="بدون حالة","P",'الداشبورد'!$B$9)))</f>
        <v/>
      </c>
      <c r="V1429">
        <f>--($D1429=IF('الداشبورد'!$B$10="الكل",$D1429,'الداشبورد'!$B$10))</f>
        <v/>
      </c>
      <c r="W1429">
        <f>--($G1429=IF('الداشبورد'!$B$11="الكل",$G1429,'الداشبورد'!$B$11))</f>
        <v/>
      </c>
      <c r="X1429">
        <f>Q1429*R1429*S1429*T1429*U1429*V1429*W1429*--($C1429&lt;&gt;"")</f>
        <v/>
      </c>
    </row>
    <row r="1430">
      <c r="Q1430">
        <f>--($A1430=IF('الداشبورد'!$B$5="الكل",$A1430,'الداشبورد'!$B$5))</f>
        <v/>
      </c>
      <c r="R1430">
        <f>--($E1430=IF('الداشبورد'!$B$6="الكل",$E1430,'الداشبورد'!$B$6))</f>
        <v/>
      </c>
      <c r="S1430">
        <f>--($K1430=IF('الداشبورد'!$B$7="الكل",$K1430,IF('الداشبورد'!$B$7="تصدير","Y","N")))</f>
        <v/>
      </c>
      <c r="T1430">
        <f>--($J1430=IF('الداشبورد'!$B$8="الكل",$J1430,IF('الداشبورد'!$B$8="AL","A","C")))</f>
        <v/>
      </c>
      <c r="U1430">
        <f>--($I1430=IF('الداشبورد'!$B$9="الكل",$I1430,IF('الداشبورد'!$B$9="بدون حالة","P",'الداشبورد'!$B$9)))</f>
        <v/>
      </c>
      <c r="V1430">
        <f>--($D1430=IF('الداشبورد'!$B$10="الكل",$D1430,'الداشبورد'!$B$10))</f>
        <v/>
      </c>
      <c r="W1430">
        <f>--($G1430=IF('الداشبورد'!$B$11="الكل",$G1430,'الداشبورد'!$B$11))</f>
        <v/>
      </c>
      <c r="X1430">
        <f>Q1430*R1430*S1430*T1430*U1430*V1430*W1430*--($C1430&lt;&gt;"")</f>
        <v/>
      </c>
    </row>
    <row r="1431">
      <c r="Q1431">
        <f>--($A1431=IF('الداشبورد'!$B$5="الكل",$A1431,'الداشبورد'!$B$5))</f>
        <v/>
      </c>
      <c r="R1431">
        <f>--($E1431=IF('الداشبورد'!$B$6="الكل",$E1431,'الداشبورد'!$B$6))</f>
        <v/>
      </c>
      <c r="S1431">
        <f>--($K1431=IF('الداشبورد'!$B$7="الكل",$K1431,IF('الداشبورد'!$B$7="تصدير","Y","N")))</f>
        <v/>
      </c>
      <c r="T1431">
        <f>--($J1431=IF('الداشبورد'!$B$8="الكل",$J1431,IF('الداشبورد'!$B$8="AL","A","C")))</f>
        <v/>
      </c>
      <c r="U1431">
        <f>--($I1431=IF('الداشبورد'!$B$9="الكل",$I1431,IF('الداشبورد'!$B$9="بدون حالة","P",'الداشبورد'!$B$9)))</f>
        <v/>
      </c>
      <c r="V1431">
        <f>--($D1431=IF('الداشبورد'!$B$10="الكل",$D1431,'الداشبورد'!$B$10))</f>
        <v/>
      </c>
      <c r="W1431">
        <f>--($G1431=IF('الداشبورد'!$B$11="الكل",$G1431,'الداشبورد'!$B$11))</f>
        <v/>
      </c>
      <c r="X1431">
        <f>Q1431*R1431*S1431*T1431*U1431*V1431*W1431*--($C1431&lt;&gt;"")</f>
        <v/>
      </c>
    </row>
    <row r="1432">
      <c r="Q1432">
        <f>--($A1432=IF('الداشبورد'!$B$5="الكل",$A1432,'الداشبورد'!$B$5))</f>
        <v/>
      </c>
      <c r="R1432">
        <f>--($E1432=IF('الداشبورد'!$B$6="الكل",$E1432,'الداشبورد'!$B$6))</f>
        <v/>
      </c>
      <c r="S1432">
        <f>--($K1432=IF('الداشبورد'!$B$7="الكل",$K1432,IF('الداشبورد'!$B$7="تصدير","Y","N")))</f>
        <v/>
      </c>
      <c r="T1432">
        <f>--($J1432=IF('الداشبورد'!$B$8="الكل",$J1432,IF('الداشبورد'!$B$8="AL","A","C")))</f>
        <v/>
      </c>
      <c r="U1432">
        <f>--($I1432=IF('الداشبورد'!$B$9="الكل",$I1432,IF('الداشبورد'!$B$9="بدون حالة","P",'الداشبورد'!$B$9)))</f>
        <v/>
      </c>
      <c r="V1432">
        <f>--($D1432=IF('الداشبورد'!$B$10="الكل",$D1432,'الداشبورد'!$B$10))</f>
        <v/>
      </c>
      <c r="W1432">
        <f>--($G1432=IF('الداشبورد'!$B$11="الكل",$G1432,'الداشبورد'!$B$11))</f>
        <v/>
      </c>
      <c r="X1432">
        <f>Q1432*R1432*S1432*T1432*U1432*V1432*W1432*--($C1432&lt;&gt;"")</f>
        <v/>
      </c>
    </row>
    <row r="1433">
      <c r="Q1433">
        <f>--($A1433=IF('الداشبورد'!$B$5="الكل",$A1433,'الداشبورد'!$B$5))</f>
        <v/>
      </c>
      <c r="R1433">
        <f>--($E1433=IF('الداشبورد'!$B$6="الكل",$E1433,'الداشبورد'!$B$6))</f>
        <v/>
      </c>
      <c r="S1433">
        <f>--($K1433=IF('الداشبورد'!$B$7="الكل",$K1433,IF('الداشبورد'!$B$7="تصدير","Y","N")))</f>
        <v/>
      </c>
      <c r="T1433">
        <f>--($J1433=IF('الداشبورد'!$B$8="الكل",$J1433,IF('الداشبورد'!$B$8="AL","A","C")))</f>
        <v/>
      </c>
      <c r="U1433">
        <f>--($I1433=IF('الداشبورد'!$B$9="الكل",$I1433,IF('الداشبورد'!$B$9="بدون حالة","P",'الداشبورد'!$B$9)))</f>
        <v/>
      </c>
      <c r="V1433">
        <f>--($D1433=IF('الداشبورد'!$B$10="الكل",$D1433,'الداشبورد'!$B$10))</f>
        <v/>
      </c>
      <c r="W1433">
        <f>--($G1433=IF('الداشبورد'!$B$11="الكل",$G1433,'الداشبورد'!$B$11))</f>
        <v/>
      </c>
      <c r="X1433">
        <f>Q1433*R1433*S1433*T1433*U1433*V1433*W1433*--($C1433&lt;&gt;"")</f>
        <v/>
      </c>
    </row>
    <row r="1434">
      <c r="Q1434">
        <f>--($A1434=IF('الداشبورد'!$B$5="الكل",$A1434,'الداشبورد'!$B$5))</f>
        <v/>
      </c>
      <c r="R1434">
        <f>--($E1434=IF('الداشبورد'!$B$6="الكل",$E1434,'الداشبورد'!$B$6))</f>
        <v/>
      </c>
      <c r="S1434">
        <f>--($K1434=IF('الداشبورد'!$B$7="الكل",$K1434,IF('الداشبورد'!$B$7="تصدير","Y","N")))</f>
        <v/>
      </c>
      <c r="T1434">
        <f>--($J1434=IF('الداشبورد'!$B$8="الكل",$J1434,IF('الداشبورد'!$B$8="AL","A","C")))</f>
        <v/>
      </c>
      <c r="U1434">
        <f>--($I1434=IF('الداشبورد'!$B$9="الكل",$I1434,IF('الداشبورد'!$B$9="بدون حالة","P",'الداشبورد'!$B$9)))</f>
        <v/>
      </c>
      <c r="V1434">
        <f>--($D1434=IF('الداشبورد'!$B$10="الكل",$D1434,'الداشبورد'!$B$10))</f>
        <v/>
      </c>
      <c r="W1434">
        <f>--($G1434=IF('الداشبورد'!$B$11="الكل",$G1434,'الداشبورد'!$B$11))</f>
        <v/>
      </c>
      <c r="X1434">
        <f>Q1434*R1434*S1434*T1434*U1434*V1434*W1434*--($C1434&lt;&gt;"")</f>
        <v/>
      </c>
    </row>
    <row r="1435">
      <c r="Q1435">
        <f>--($A1435=IF('الداشبورد'!$B$5="الكل",$A1435,'الداشبورد'!$B$5))</f>
        <v/>
      </c>
      <c r="R1435">
        <f>--($E1435=IF('الداشبورد'!$B$6="الكل",$E1435,'الداشبورد'!$B$6))</f>
        <v/>
      </c>
      <c r="S1435">
        <f>--($K1435=IF('الداشبورد'!$B$7="الكل",$K1435,IF('الداشبورد'!$B$7="تصدير","Y","N")))</f>
        <v/>
      </c>
      <c r="T1435">
        <f>--($J1435=IF('الداشبورد'!$B$8="الكل",$J1435,IF('الداشبورد'!$B$8="AL","A","C")))</f>
        <v/>
      </c>
      <c r="U1435">
        <f>--($I1435=IF('الداشبورد'!$B$9="الكل",$I1435,IF('الداشبورد'!$B$9="بدون حالة","P",'الداشبورد'!$B$9)))</f>
        <v/>
      </c>
      <c r="V1435">
        <f>--($D1435=IF('الداشبورد'!$B$10="الكل",$D1435,'الداشبورد'!$B$10))</f>
        <v/>
      </c>
      <c r="W1435">
        <f>--($G1435=IF('الداشبورد'!$B$11="الكل",$G1435,'الداشبورد'!$B$11))</f>
        <v/>
      </c>
      <c r="X1435">
        <f>Q1435*R1435*S1435*T1435*U1435*V1435*W1435*--($C1435&lt;&gt;"")</f>
        <v/>
      </c>
    </row>
    <row r="1436">
      <c r="Q1436">
        <f>--($A1436=IF('الداشبورد'!$B$5="الكل",$A1436,'الداشبورد'!$B$5))</f>
        <v/>
      </c>
      <c r="R1436">
        <f>--($E1436=IF('الداشبورد'!$B$6="الكل",$E1436,'الداشبورد'!$B$6))</f>
        <v/>
      </c>
      <c r="S1436">
        <f>--($K1436=IF('الداشبورد'!$B$7="الكل",$K1436,IF('الداشبورد'!$B$7="تصدير","Y","N")))</f>
        <v/>
      </c>
      <c r="T1436">
        <f>--($J1436=IF('الداشبورد'!$B$8="الكل",$J1436,IF('الداشبورد'!$B$8="AL","A","C")))</f>
        <v/>
      </c>
      <c r="U1436">
        <f>--($I1436=IF('الداشبورد'!$B$9="الكل",$I1436,IF('الداشبورد'!$B$9="بدون حالة","P",'الداشبورد'!$B$9)))</f>
        <v/>
      </c>
      <c r="V1436">
        <f>--($D1436=IF('الداشبورد'!$B$10="الكل",$D1436,'الداشبورد'!$B$10))</f>
        <v/>
      </c>
      <c r="W1436">
        <f>--($G1436=IF('الداشبورد'!$B$11="الكل",$G1436,'الداشبورد'!$B$11))</f>
        <v/>
      </c>
      <c r="X1436">
        <f>Q1436*R1436*S1436*T1436*U1436*V1436*W1436*--($C1436&lt;&gt;"")</f>
        <v/>
      </c>
    </row>
    <row r="1437">
      <c r="Q1437">
        <f>--($A1437=IF('الداشبورد'!$B$5="الكل",$A1437,'الداشبورد'!$B$5))</f>
        <v/>
      </c>
      <c r="R1437">
        <f>--($E1437=IF('الداشبورد'!$B$6="الكل",$E1437,'الداشبورد'!$B$6))</f>
        <v/>
      </c>
      <c r="S1437">
        <f>--($K1437=IF('الداشبورد'!$B$7="الكل",$K1437,IF('الداشبورد'!$B$7="تصدير","Y","N")))</f>
        <v/>
      </c>
      <c r="T1437">
        <f>--($J1437=IF('الداشبورد'!$B$8="الكل",$J1437,IF('الداشبورد'!$B$8="AL","A","C")))</f>
        <v/>
      </c>
      <c r="U1437">
        <f>--($I1437=IF('الداشبورد'!$B$9="الكل",$I1437,IF('الداشبورد'!$B$9="بدون حالة","P",'الداشبورد'!$B$9)))</f>
        <v/>
      </c>
      <c r="V1437">
        <f>--($D1437=IF('الداشبورد'!$B$10="الكل",$D1437,'الداشبورد'!$B$10))</f>
        <v/>
      </c>
      <c r="W1437">
        <f>--($G1437=IF('الداشبورد'!$B$11="الكل",$G1437,'الداشبورد'!$B$11))</f>
        <v/>
      </c>
      <c r="X1437">
        <f>Q1437*R1437*S1437*T1437*U1437*V1437*W1437*--($C1437&lt;&gt;"")</f>
        <v/>
      </c>
    </row>
    <row r="1438">
      <c r="Q1438">
        <f>--($A1438=IF('الداشبورد'!$B$5="الكل",$A1438,'الداشبورد'!$B$5))</f>
        <v/>
      </c>
      <c r="R1438">
        <f>--($E1438=IF('الداشبورد'!$B$6="الكل",$E1438,'الداشبورد'!$B$6))</f>
        <v/>
      </c>
      <c r="S1438">
        <f>--($K1438=IF('الداشبورد'!$B$7="الكل",$K1438,IF('الداشبورد'!$B$7="تصدير","Y","N")))</f>
        <v/>
      </c>
      <c r="T1438">
        <f>--($J1438=IF('الداشبورد'!$B$8="الكل",$J1438,IF('الداشبورد'!$B$8="AL","A","C")))</f>
        <v/>
      </c>
      <c r="U1438">
        <f>--($I1438=IF('الداشبورد'!$B$9="الكل",$I1438,IF('الداشبورد'!$B$9="بدون حالة","P",'الداشبورد'!$B$9)))</f>
        <v/>
      </c>
      <c r="V1438">
        <f>--($D1438=IF('الداشبورد'!$B$10="الكل",$D1438,'الداشبورد'!$B$10))</f>
        <v/>
      </c>
      <c r="W1438">
        <f>--($G1438=IF('الداشبورد'!$B$11="الكل",$G1438,'الداشبورد'!$B$11))</f>
        <v/>
      </c>
      <c r="X1438">
        <f>Q1438*R1438*S1438*T1438*U1438*V1438*W1438*--($C1438&lt;&gt;"")</f>
        <v/>
      </c>
    </row>
    <row r="1439">
      <c r="Q1439">
        <f>--($A1439=IF('الداشبورد'!$B$5="الكل",$A1439,'الداشبورد'!$B$5))</f>
        <v/>
      </c>
      <c r="R1439">
        <f>--($E1439=IF('الداشبورد'!$B$6="الكل",$E1439,'الداشبورد'!$B$6))</f>
        <v/>
      </c>
      <c r="S1439">
        <f>--($K1439=IF('الداشبورد'!$B$7="الكل",$K1439,IF('الداشبورد'!$B$7="تصدير","Y","N")))</f>
        <v/>
      </c>
      <c r="T1439">
        <f>--($J1439=IF('الداشبورد'!$B$8="الكل",$J1439,IF('الداشبورد'!$B$8="AL","A","C")))</f>
        <v/>
      </c>
      <c r="U1439">
        <f>--($I1439=IF('الداشبورد'!$B$9="الكل",$I1439,IF('الداشبورد'!$B$9="بدون حالة","P",'الداشبورد'!$B$9)))</f>
        <v/>
      </c>
      <c r="V1439">
        <f>--($D1439=IF('الداشبورد'!$B$10="الكل",$D1439,'الداشبورد'!$B$10))</f>
        <v/>
      </c>
      <c r="W1439">
        <f>--($G1439=IF('الداشبورد'!$B$11="الكل",$G1439,'الداشبورد'!$B$11))</f>
        <v/>
      </c>
      <c r="X1439">
        <f>Q1439*R1439*S1439*T1439*U1439*V1439*W1439*--($C1439&lt;&gt;"")</f>
        <v/>
      </c>
    </row>
    <row r="1440">
      <c r="Q1440">
        <f>--($A1440=IF('الداشبورد'!$B$5="الكل",$A1440,'الداشبورد'!$B$5))</f>
        <v/>
      </c>
      <c r="R1440">
        <f>--($E1440=IF('الداشبورد'!$B$6="الكل",$E1440,'الداشبورد'!$B$6))</f>
        <v/>
      </c>
      <c r="S1440">
        <f>--($K1440=IF('الداشبورد'!$B$7="الكل",$K1440,IF('الداشبورد'!$B$7="تصدير","Y","N")))</f>
        <v/>
      </c>
      <c r="T1440">
        <f>--($J1440=IF('الداشبورد'!$B$8="الكل",$J1440,IF('الداشبورد'!$B$8="AL","A","C")))</f>
        <v/>
      </c>
      <c r="U1440">
        <f>--($I1440=IF('الداشبورد'!$B$9="الكل",$I1440,IF('الداشبورد'!$B$9="بدون حالة","P",'الداشبورد'!$B$9)))</f>
        <v/>
      </c>
      <c r="V1440">
        <f>--($D1440=IF('الداشبورد'!$B$10="الكل",$D1440,'الداشبورد'!$B$10))</f>
        <v/>
      </c>
      <c r="W1440">
        <f>--($G1440=IF('الداشبورد'!$B$11="الكل",$G1440,'الداشبورد'!$B$11))</f>
        <v/>
      </c>
      <c r="X1440">
        <f>Q1440*R1440*S1440*T1440*U1440*V1440*W1440*--($C1440&lt;&gt;"")</f>
        <v/>
      </c>
    </row>
    <row r="1441">
      <c r="Q1441">
        <f>--($A1441=IF('الداشبورد'!$B$5="الكل",$A1441,'الداشبورد'!$B$5))</f>
        <v/>
      </c>
      <c r="R1441">
        <f>--($E1441=IF('الداشبورد'!$B$6="الكل",$E1441,'الداشبورد'!$B$6))</f>
        <v/>
      </c>
      <c r="S1441">
        <f>--($K1441=IF('الداشبورد'!$B$7="الكل",$K1441,IF('الداشبورد'!$B$7="تصدير","Y","N")))</f>
        <v/>
      </c>
      <c r="T1441">
        <f>--($J1441=IF('الداشبورد'!$B$8="الكل",$J1441,IF('الداشبورد'!$B$8="AL","A","C")))</f>
        <v/>
      </c>
      <c r="U1441">
        <f>--($I1441=IF('الداشبورد'!$B$9="الكل",$I1441,IF('الداشبورد'!$B$9="بدون حالة","P",'الداشبورد'!$B$9)))</f>
        <v/>
      </c>
      <c r="V1441">
        <f>--($D1441=IF('الداشبورد'!$B$10="الكل",$D1441,'الداشبورد'!$B$10))</f>
        <v/>
      </c>
      <c r="W1441">
        <f>--($G1441=IF('الداشبورد'!$B$11="الكل",$G1441,'الداشبورد'!$B$11))</f>
        <v/>
      </c>
      <c r="X1441">
        <f>Q1441*R1441*S1441*T1441*U1441*V1441*W1441*--($C1441&lt;&gt;"")</f>
        <v/>
      </c>
    </row>
    <row r="1442">
      <c r="Q1442">
        <f>--($A1442=IF('الداشبورد'!$B$5="الكل",$A1442,'الداشبورد'!$B$5))</f>
        <v/>
      </c>
      <c r="R1442">
        <f>--($E1442=IF('الداشبورد'!$B$6="الكل",$E1442,'الداشبورد'!$B$6))</f>
        <v/>
      </c>
      <c r="S1442">
        <f>--($K1442=IF('الداشبورد'!$B$7="الكل",$K1442,IF('الداشبورد'!$B$7="تصدير","Y","N")))</f>
        <v/>
      </c>
      <c r="T1442">
        <f>--($J1442=IF('الداشبورد'!$B$8="الكل",$J1442,IF('الداشبورد'!$B$8="AL","A","C")))</f>
        <v/>
      </c>
      <c r="U1442">
        <f>--($I1442=IF('الداشبورد'!$B$9="الكل",$I1442,IF('الداشبورد'!$B$9="بدون حالة","P",'الداشبورد'!$B$9)))</f>
        <v/>
      </c>
      <c r="V1442">
        <f>--($D1442=IF('الداشبورد'!$B$10="الكل",$D1442,'الداشبورد'!$B$10))</f>
        <v/>
      </c>
      <c r="W1442">
        <f>--($G1442=IF('الداشبورد'!$B$11="الكل",$G1442,'الداشبورد'!$B$11))</f>
        <v/>
      </c>
      <c r="X1442">
        <f>Q1442*R1442*S1442*T1442*U1442*V1442*W1442*--($C1442&lt;&gt;"")</f>
        <v/>
      </c>
    </row>
    <row r="1443">
      <c r="Q1443">
        <f>--($A1443=IF('الداشبورد'!$B$5="الكل",$A1443,'الداشبورد'!$B$5))</f>
        <v/>
      </c>
      <c r="R1443">
        <f>--($E1443=IF('الداشبورد'!$B$6="الكل",$E1443,'الداشبورد'!$B$6))</f>
        <v/>
      </c>
      <c r="S1443">
        <f>--($K1443=IF('الداشبورد'!$B$7="الكل",$K1443,IF('الداشبورد'!$B$7="تصدير","Y","N")))</f>
        <v/>
      </c>
      <c r="T1443">
        <f>--($J1443=IF('الداشبورد'!$B$8="الكل",$J1443,IF('الداشبورد'!$B$8="AL","A","C")))</f>
        <v/>
      </c>
      <c r="U1443">
        <f>--($I1443=IF('الداشبورد'!$B$9="الكل",$I1443,IF('الداشبورد'!$B$9="بدون حالة","P",'الداشبورد'!$B$9)))</f>
        <v/>
      </c>
      <c r="V1443">
        <f>--($D1443=IF('الداشبورد'!$B$10="الكل",$D1443,'الداشبورد'!$B$10))</f>
        <v/>
      </c>
      <c r="W1443">
        <f>--($G1443=IF('الداشبورد'!$B$11="الكل",$G1443,'الداشبورد'!$B$11))</f>
        <v/>
      </c>
      <c r="X1443">
        <f>Q1443*R1443*S1443*T1443*U1443*V1443*W1443*--($C1443&lt;&gt;"")</f>
        <v/>
      </c>
    </row>
    <row r="1444">
      <c r="Q1444">
        <f>--($A1444=IF('الداشبورد'!$B$5="الكل",$A1444,'الداشبورد'!$B$5))</f>
        <v/>
      </c>
      <c r="R1444">
        <f>--($E1444=IF('الداشبورد'!$B$6="الكل",$E1444,'الداشبورد'!$B$6))</f>
        <v/>
      </c>
      <c r="S1444">
        <f>--($K1444=IF('الداشبورد'!$B$7="الكل",$K1444,IF('الداشبورد'!$B$7="تصدير","Y","N")))</f>
        <v/>
      </c>
      <c r="T1444">
        <f>--($J1444=IF('الداشبورد'!$B$8="الكل",$J1444,IF('الداشبورد'!$B$8="AL","A","C")))</f>
        <v/>
      </c>
      <c r="U1444">
        <f>--($I1444=IF('الداشبورد'!$B$9="الكل",$I1444,IF('الداشبورد'!$B$9="بدون حالة","P",'الداشبورد'!$B$9)))</f>
        <v/>
      </c>
      <c r="V1444">
        <f>--($D1444=IF('الداشبورد'!$B$10="الكل",$D1444,'الداشبورد'!$B$10))</f>
        <v/>
      </c>
      <c r="W1444">
        <f>--($G1444=IF('الداشبورد'!$B$11="الكل",$G1444,'الداشبورد'!$B$11))</f>
        <v/>
      </c>
      <c r="X1444">
        <f>Q1444*R1444*S1444*T1444*U1444*V1444*W1444*--($C1444&lt;&gt;"")</f>
        <v/>
      </c>
    </row>
    <row r="1445">
      <c r="Q1445">
        <f>--($A1445=IF('الداشبورد'!$B$5="الكل",$A1445,'الداشبورد'!$B$5))</f>
        <v/>
      </c>
      <c r="R1445">
        <f>--($E1445=IF('الداشبورد'!$B$6="الكل",$E1445,'الداشبورد'!$B$6))</f>
        <v/>
      </c>
      <c r="S1445">
        <f>--($K1445=IF('الداشبورد'!$B$7="الكل",$K1445,IF('الداشبورد'!$B$7="تصدير","Y","N")))</f>
        <v/>
      </c>
      <c r="T1445">
        <f>--($J1445=IF('الداشبورد'!$B$8="الكل",$J1445,IF('الداشبورد'!$B$8="AL","A","C")))</f>
        <v/>
      </c>
      <c r="U1445">
        <f>--($I1445=IF('الداشبورد'!$B$9="الكل",$I1445,IF('الداشبورد'!$B$9="بدون حالة","P",'الداشبورد'!$B$9)))</f>
        <v/>
      </c>
      <c r="V1445">
        <f>--($D1445=IF('الداشبورد'!$B$10="الكل",$D1445,'الداشبورد'!$B$10))</f>
        <v/>
      </c>
      <c r="W1445">
        <f>--($G1445=IF('الداشبورد'!$B$11="الكل",$G1445,'الداشبورد'!$B$11))</f>
        <v/>
      </c>
      <c r="X1445">
        <f>Q1445*R1445*S1445*T1445*U1445*V1445*W1445*--($C1445&lt;&gt;"")</f>
        <v/>
      </c>
    </row>
    <row r="1446">
      <c r="Q1446">
        <f>--($A1446=IF('الداشبورد'!$B$5="الكل",$A1446,'الداشبورد'!$B$5))</f>
        <v/>
      </c>
      <c r="R1446">
        <f>--($E1446=IF('الداشبورد'!$B$6="الكل",$E1446,'الداشبورد'!$B$6))</f>
        <v/>
      </c>
      <c r="S1446">
        <f>--($K1446=IF('الداشبورد'!$B$7="الكل",$K1446,IF('الداشبورد'!$B$7="تصدير","Y","N")))</f>
        <v/>
      </c>
      <c r="T1446">
        <f>--($J1446=IF('الداشبورد'!$B$8="الكل",$J1446,IF('الداشبورد'!$B$8="AL","A","C")))</f>
        <v/>
      </c>
      <c r="U1446">
        <f>--($I1446=IF('الداشبورد'!$B$9="الكل",$I1446,IF('الداشبورد'!$B$9="بدون حالة","P",'الداشبورد'!$B$9)))</f>
        <v/>
      </c>
      <c r="V1446">
        <f>--($D1446=IF('الداشبورد'!$B$10="الكل",$D1446,'الداشبورد'!$B$10))</f>
        <v/>
      </c>
      <c r="W1446">
        <f>--($G1446=IF('الداشبورد'!$B$11="الكل",$G1446,'الداشبورد'!$B$11))</f>
        <v/>
      </c>
      <c r="X1446">
        <f>Q1446*R1446*S1446*T1446*U1446*V1446*W1446*--($C1446&lt;&gt;"")</f>
        <v/>
      </c>
    </row>
    <row r="1447">
      <c r="Q1447">
        <f>--($A1447=IF('الداشبورد'!$B$5="الكل",$A1447,'الداشبورد'!$B$5))</f>
        <v/>
      </c>
      <c r="R1447">
        <f>--($E1447=IF('الداشبورد'!$B$6="الكل",$E1447,'الداشبورد'!$B$6))</f>
        <v/>
      </c>
      <c r="S1447">
        <f>--($K1447=IF('الداشبورد'!$B$7="الكل",$K1447,IF('الداشبورد'!$B$7="تصدير","Y","N")))</f>
        <v/>
      </c>
      <c r="T1447">
        <f>--($J1447=IF('الداشبورد'!$B$8="الكل",$J1447,IF('الداشبورد'!$B$8="AL","A","C")))</f>
        <v/>
      </c>
      <c r="U1447">
        <f>--($I1447=IF('الداشبورد'!$B$9="الكل",$I1447,IF('الداشبورد'!$B$9="بدون حالة","P",'الداشبورد'!$B$9)))</f>
        <v/>
      </c>
      <c r="V1447">
        <f>--($D1447=IF('الداشبورد'!$B$10="الكل",$D1447,'الداشبورد'!$B$10))</f>
        <v/>
      </c>
      <c r="W1447">
        <f>--($G1447=IF('الداشبورد'!$B$11="الكل",$G1447,'الداشبورد'!$B$11))</f>
        <v/>
      </c>
      <c r="X1447">
        <f>Q1447*R1447*S1447*T1447*U1447*V1447*W1447*--($C1447&lt;&gt;"")</f>
        <v/>
      </c>
    </row>
    <row r="1448">
      <c r="Q1448">
        <f>--($A1448=IF('الداشبورد'!$B$5="الكل",$A1448,'الداشبورد'!$B$5))</f>
        <v/>
      </c>
      <c r="R1448">
        <f>--($E1448=IF('الداشبورد'!$B$6="الكل",$E1448,'الداشبورد'!$B$6))</f>
        <v/>
      </c>
      <c r="S1448">
        <f>--($K1448=IF('الداشبورد'!$B$7="الكل",$K1448,IF('الداشبورد'!$B$7="تصدير","Y","N")))</f>
        <v/>
      </c>
      <c r="T1448">
        <f>--($J1448=IF('الداشبورد'!$B$8="الكل",$J1448,IF('الداشبورد'!$B$8="AL","A","C")))</f>
        <v/>
      </c>
      <c r="U1448">
        <f>--($I1448=IF('الداشبورد'!$B$9="الكل",$I1448,IF('الداشبورد'!$B$9="بدون حالة","P",'الداشبورد'!$B$9)))</f>
        <v/>
      </c>
      <c r="V1448">
        <f>--($D1448=IF('الداشبورد'!$B$10="الكل",$D1448,'الداشبورد'!$B$10))</f>
        <v/>
      </c>
      <c r="W1448">
        <f>--($G1448=IF('الداشبورد'!$B$11="الكل",$G1448,'الداشبورد'!$B$11))</f>
        <v/>
      </c>
      <c r="X1448">
        <f>Q1448*R1448*S1448*T1448*U1448*V1448*W1448*--($C1448&lt;&gt;"")</f>
        <v/>
      </c>
    </row>
    <row r="1449">
      <c r="Q1449">
        <f>--($A1449=IF('الداشبورد'!$B$5="الكل",$A1449,'الداشبورد'!$B$5))</f>
        <v/>
      </c>
      <c r="R1449">
        <f>--($E1449=IF('الداشبورد'!$B$6="الكل",$E1449,'الداشبورد'!$B$6))</f>
        <v/>
      </c>
      <c r="S1449">
        <f>--($K1449=IF('الداشبورد'!$B$7="الكل",$K1449,IF('الداشبورد'!$B$7="تصدير","Y","N")))</f>
        <v/>
      </c>
      <c r="T1449">
        <f>--($J1449=IF('الداشبورد'!$B$8="الكل",$J1449,IF('الداشبورد'!$B$8="AL","A","C")))</f>
        <v/>
      </c>
      <c r="U1449">
        <f>--($I1449=IF('الداشبورد'!$B$9="الكل",$I1449,IF('الداشبورد'!$B$9="بدون حالة","P",'الداشبورد'!$B$9)))</f>
        <v/>
      </c>
      <c r="V1449">
        <f>--($D1449=IF('الداشبورد'!$B$10="الكل",$D1449,'الداشبورد'!$B$10))</f>
        <v/>
      </c>
      <c r="W1449">
        <f>--($G1449=IF('الداشبورد'!$B$11="الكل",$G1449,'الداشبورد'!$B$11))</f>
        <v/>
      </c>
      <c r="X1449">
        <f>Q1449*R1449*S1449*T1449*U1449*V1449*W1449*--($C1449&lt;&gt;"")</f>
        <v/>
      </c>
    </row>
    <row r="1450">
      <c r="Q1450">
        <f>--($A1450=IF('الداشبورد'!$B$5="الكل",$A1450,'الداشبورد'!$B$5))</f>
        <v/>
      </c>
      <c r="R1450">
        <f>--($E1450=IF('الداشبورد'!$B$6="الكل",$E1450,'الداشبورد'!$B$6))</f>
        <v/>
      </c>
      <c r="S1450">
        <f>--($K1450=IF('الداشبورد'!$B$7="الكل",$K1450,IF('الداشبورد'!$B$7="تصدير","Y","N")))</f>
        <v/>
      </c>
      <c r="T1450">
        <f>--($J1450=IF('الداشبورد'!$B$8="الكل",$J1450,IF('الداشبورد'!$B$8="AL","A","C")))</f>
        <v/>
      </c>
      <c r="U1450">
        <f>--($I1450=IF('الداشبورد'!$B$9="الكل",$I1450,IF('الداشبورد'!$B$9="بدون حالة","P",'الداشبورد'!$B$9)))</f>
        <v/>
      </c>
      <c r="V1450">
        <f>--($D1450=IF('الداشبورد'!$B$10="الكل",$D1450,'الداشبورد'!$B$10))</f>
        <v/>
      </c>
      <c r="W1450">
        <f>--($G1450=IF('الداشبورد'!$B$11="الكل",$G1450,'الداشبورد'!$B$11))</f>
        <v/>
      </c>
      <c r="X1450">
        <f>Q1450*R1450*S1450*T1450*U1450*V1450*W1450*--($C1450&lt;&gt;"")</f>
        <v/>
      </c>
    </row>
    <row r="1451">
      <c r="Q1451">
        <f>--($A1451=IF('الداشبورد'!$B$5="الكل",$A1451,'الداشبورد'!$B$5))</f>
        <v/>
      </c>
      <c r="R1451">
        <f>--($E1451=IF('الداشبورد'!$B$6="الكل",$E1451,'الداشبورد'!$B$6))</f>
        <v/>
      </c>
      <c r="S1451">
        <f>--($K1451=IF('الداشبورد'!$B$7="الكل",$K1451,IF('الداشبورد'!$B$7="تصدير","Y","N")))</f>
        <v/>
      </c>
      <c r="T1451">
        <f>--($J1451=IF('الداشبورد'!$B$8="الكل",$J1451,IF('الداشبورد'!$B$8="AL","A","C")))</f>
        <v/>
      </c>
      <c r="U1451">
        <f>--($I1451=IF('الداشبورد'!$B$9="الكل",$I1451,IF('الداشبورد'!$B$9="بدون حالة","P",'الداشبورد'!$B$9)))</f>
        <v/>
      </c>
      <c r="V1451">
        <f>--($D1451=IF('الداشبورد'!$B$10="الكل",$D1451,'الداشبورد'!$B$10))</f>
        <v/>
      </c>
      <c r="W1451">
        <f>--($G1451=IF('الداشبورد'!$B$11="الكل",$G1451,'الداشبورد'!$B$11))</f>
        <v/>
      </c>
      <c r="X1451">
        <f>Q1451*R1451*S1451*T1451*U1451*V1451*W1451*--($C1451&lt;&gt;"")</f>
        <v/>
      </c>
    </row>
    <row r="1452">
      <c r="Q1452">
        <f>--($A1452=IF('الداشبورد'!$B$5="الكل",$A1452,'الداشبورد'!$B$5))</f>
        <v/>
      </c>
      <c r="R1452">
        <f>--($E1452=IF('الداشبورد'!$B$6="الكل",$E1452,'الداشبورد'!$B$6))</f>
        <v/>
      </c>
      <c r="S1452">
        <f>--($K1452=IF('الداشبورد'!$B$7="الكل",$K1452,IF('الداشبورد'!$B$7="تصدير","Y","N")))</f>
        <v/>
      </c>
      <c r="T1452">
        <f>--($J1452=IF('الداشبورد'!$B$8="الكل",$J1452,IF('الداشبورد'!$B$8="AL","A","C")))</f>
        <v/>
      </c>
      <c r="U1452">
        <f>--($I1452=IF('الداشبورد'!$B$9="الكل",$I1452,IF('الداشبورد'!$B$9="بدون حالة","P",'الداشبورد'!$B$9)))</f>
        <v/>
      </c>
      <c r="V1452">
        <f>--($D1452=IF('الداشبورد'!$B$10="الكل",$D1452,'الداشبورد'!$B$10))</f>
        <v/>
      </c>
      <c r="W1452">
        <f>--($G1452=IF('الداشبورد'!$B$11="الكل",$G1452,'الداشبورد'!$B$11))</f>
        <v/>
      </c>
      <c r="X1452">
        <f>Q1452*R1452*S1452*T1452*U1452*V1452*W1452*--($C1452&lt;&gt;"")</f>
        <v/>
      </c>
    </row>
    <row r="1453">
      <c r="Q1453">
        <f>--($A1453=IF('الداشبورد'!$B$5="الكل",$A1453,'الداشبورد'!$B$5))</f>
        <v/>
      </c>
      <c r="R1453">
        <f>--($E1453=IF('الداشبورد'!$B$6="الكل",$E1453,'الداشبورد'!$B$6))</f>
        <v/>
      </c>
      <c r="S1453">
        <f>--($K1453=IF('الداشبورد'!$B$7="الكل",$K1453,IF('الداشبورد'!$B$7="تصدير","Y","N")))</f>
        <v/>
      </c>
      <c r="T1453">
        <f>--($J1453=IF('الداشبورد'!$B$8="الكل",$J1453,IF('الداشبورد'!$B$8="AL","A","C")))</f>
        <v/>
      </c>
      <c r="U1453">
        <f>--($I1453=IF('الداشبورد'!$B$9="الكل",$I1453,IF('الداشبورد'!$B$9="بدون حالة","P",'الداشبورد'!$B$9)))</f>
        <v/>
      </c>
      <c r="V1453">
        <f>--($D1453=IF('الداشبورد'!$B$10="الكل",$D1453,'الداشبورد'!$B$10))</f>
        <v/>
      </c>
      <c r="W1453">
        <f>--($G1453=IF('الداشبورد'!$B$11="الكل",$G1453,'الداشبورد'!$B$11))</f>
        <v/>
      </c>
      <c r="X1453">
        <f>Q1453*R1453*S1453*T1453*U1453*V1453*W1453*--($C1453&lt;&gt;"")</f>
        <v/>
      </c>
    </row>
    <row r="1454">
      <c r="Q1454">
        <f>--($A1454=IF('الداشبورد'!$B$5="الكل",$A1454,'الداشبورد'!$B$5))</f>
        <v/>
      </c>
      <c r="R1454">
        <f>--($E1454=IF('الداشبورد'!$B$6="الكل",$E1454,'الداشبورد'!$B$6))</f>
        <v/>
      </c>
      <c r="S1454">
        <f>--($K1454=IF('الداشبورد'!$B$7="الكل",$K1454,IF('الداشبورد'!$B$7="تصدير","Y","N")))</f>
        <v/>
      </c>
      <c r="T1454">
        <f>--($J1454=IF('الداشبورد'!$B$8="الكل",$J1454,IF('الداشبورد'!$B$8="AL","A","C")))</f>
        <v/>
      </c>
      <c r="U1454">
        <f>--($I1454=IF('الداشبورد'!$B$9="الكل",$I1454,IF('الداشبورد'!$B$9="بدون حالة","P",'الداشبورد'!$B$9)))</f>
        <v/>
      </c>
      <c r="V1454">
        <f>--($D1454=IF('الداشبورد'!$B$10="الكل",$D1454,'الداشبورد'!$B$10))</f>
        <v/>
      </c>
      <c r="W1454">
        <f>--($G1454=IF('الداشبورد'!$B$11="الكل",$G1454,'الداشبورد'!$B$11))</f>
        <v/>
      </c>
      <c r="X1454">
        <f>Q1454*R1454*S1454*T1454*U1454*V1454*W1454*--($C1454&lt;&gt;"")</f>
        <v/>
      </c>
    </row>
    <row r="1455">
      <c r="Q1455">
        <f>--($A1455=IF('الداشبورد'!$B$5="الكل",$A1455,'الداشبورد'!$B$5))</f>
        <v/>
      </c>
      <c r="R1455">
        <f>--($E1455=IF('الداشبورد'!$B$6="الكل",$E1455,'الداشبورد'!$B$6))</f>
        <v/>
      </c>
      <c r="S1455">
        <f>--($K1455=IF('الداشبورد'!$B$7="الكل",$K1455,IF('الداشبورد'!$B$7="تصدير","Y","N")))</f>
        <v/>
      </c>
      <c r="T1455">
        <f>--($J1455=IF('الداشبورد'!$B$8="الكل",$J1455,IF('الداشبورد'!$B$8="AL","A","C")))</f>
        <v/>
      </c>
      <c r="U1455">
        <f>--($I1455=IF('الداشبورد'!$B$9="الكل",$I1455,IF('الداشبورد'!$B$9="بدون حالة","P",'الداشبورد'!$B$9)))</f>
        <v/>
      </c>
      <c r="V1455">
        <f>--($D1455=IF('الداشبورد'!$B$10="الكل",$D1455,'الداشبورد'!$B$10))</f>
        <v/>
      </c>
      <c r="W1455">
        <f>--($G1455=IF('الداشبورد'!$B$11="الكل",$G1455,'الداشبورد'!$B$11))</f>
        <v/>
      </c>
      <c r="X1455">
        <f>Q1455*R1455*S1455*T1455*U1455*V1455*W1455*--($C1455&lt;&gt;"")</f>
        <v/>
      </c>
    </row>
    <row r="1456">
      <c r="Q1456">
        <f>--($A1456=IF('الداشبورد'!$B$5="الكل",$A1456,'الداشبورد'!$B$5))</f>
        <v/>
      </c>
      <c r="R1456">
        <f>--($E1456=IF('الداشبورد'!$B$6="الكل",$E1456,'الداشبورد'!$B$6))</f>
        <v/>
      </c>
      <c r="S1456">
        <f>--($K1456=IF('الداشبورد'!$B$7="الكل",$K1456,IF('الداشبورد'!$B$7="تصدير","Y","N")))</f>
        <v/>
      </c>
      <c r="T1456">
        <f>--($J1456=IF('الداشبورد'!$B$8="الكل",$J1456,IF('الداشبورد'!$B$8="AL","A","C")))</f>
        <v/>
      </c>
      <c r="U1456">
        <f>--($I1456=IF('الداشبورد'!$B$9="الكل",$I1456,IF('الداشبورد'!$B$9="بدون حالة","P",'الداشبورد'!$B$9)))</f>
        <v/>
      </c>
      <c r="V1456">
        <f>--($D1456=IF('الداشبورد'!$B$10="الكل",$D1456,'الداشبورد'!$B$10))</f>
        <v/>
      </c>
      <c r="W1456">
        <f>--($G1456=IF('الداشبورد'!$B$11="الكل",$G1456,'الداشبورد'!$B$11))</f>
        <v/>
      </c>
      <c r="X1456">
        <f>Q1456*R1456*S1456*T1456*U1456*V1456*W1456*--($C1456&lt;&gt;"")</f>
        <v/>
      </c>
    </row>
    <row r="1457">
      <c r="Q1457">
        <f>--($A1457=IF('الداشبورد'!$B$5="الكل",$A1457,'الداشبورد'!$B$5))</f>
        <v/>
      </c>
      <c r="R1457">
        <f>--($E1457=IF('الداشبورد'!$B$6="الكل",$E1457,'الداشبورد'!$B$6))</f>
        <v/>
      </c>
      <c r="S1457">
        <f>--($K1457=IF('الداشبورد'!$B$7="الكل",$K1457,IF('الداشبورد'!$B$7="تصدير","Y","N")))</f>
        <v/>
      </c>
      <c r="T1457">
        <f>--($J1457=IF('الداشبورد'!$B$8="الكل",$J1457,IF('الداشبورد'!$B$8="AL","A","C")))</f>
        <v/>
      </c>
      <c r="U1457">
        <f>--($I1457=IF('الداشبورد'!$B$9="الكل",$I1457,IF('الداشبورد'!$B$9="بدون حالة","P",'الداشبورد'!$B$9)))</f>
        <v/>
      </c>
      <c r="V1457">
        <f>--($D1457=IF('الداشبورد'!$B$10="الكل",$D1457,'الداشبورد'!$B$10))</f>
        <v/>
      </c>
      <c r="W1457">
        <f>--($G1457=IF('الداشبورد'!$B$11="الكل",$G1457,'الداشبورد'!$B$11))</f>
        <v/>
      </c>
      <c r="X1457">
        <f>Q1457*R1457*S1457*T1457*U1457*V1457*W1457*--($C1457&lt;&gt;"")</f>
        <v/>
      </c>
    </row>
    <row r="1458">
      <c r="Q1458">
        <f>--($A1458=IF('الداشبورد'!$B$5="الكل",$A1458,'الداشبورد'!$B$5))</f>
        <v/>
      </c>
      <c r="R1458">
        <f>--($E1458=IF('الداشبورد'!$B$6="الكل",$E1458,'الداشبورد'!$B$6))</f>
        <v/>
      </c>
      <c r="S1458">
        <f>--($K1458=IF('الداشبورد'!$B$7="الكل",$K1458,IF('الداشبورد'!$B$7="تصدير","Y","N")))</f>
        <v/>
      </c>
      <c r="T1458">
        <f>--($J1458=IF('الداشبورد'!$B$8="الكل",$J1458,IF('الداشبورد'!$B$8="AL","A","C")))</f>
        <v/>
      </c>
      <c r="U1458">
        <f>--($I1458=IF('الداشبورد'!$B$9="الكل",$I1458,IF('الداشبورد'!$B$9="بدون حالة","P",'الداشبورد'!$B$9)))</f>
        <v/>
      </c>
      <c r="V1458">
        <f>--($D1458=IF('الداشبورد'!$B$10="الكل",$D1458,'الداشبورد'!$B$10))</f>
        <v/>
      </c>
      <c r="W1458">
        <f>--($G1458=IF('الداشبورد'!$B$11="الكل",$G1458,'الداشبورد'!$B$11))</f>
        <v/>
      </c>
      <c r="X1458">
        <f>Q1458*R1458*S1458*T1458*U1458*V1458*W1458*--($C1458&lt;&gt;"")</f>
        <v/>
      </c>
    </row>
    <row r="1459">
      <c r="Q1459">
        <f>--($A1459=IF('الداشبورد'!$B$5="الكل",$A1459,'الداشبورد'!$B$5))</f>
        <v/>
      </c>
      <c r="R1459">
        <f>--($E1459=IF('الداشبورد'!$B$6="الكل",$E1459,'الداشبورد'!$B$6))</f>
        <v/>
      </c>
      <c r="S1459">
        <f>--($K1459=IF('الداشبورد'!$B$7="الكل",$K1459,IF('الداشبورد'!$B$7="تصدير","Y","N")))</f>
        <v/>
      </c>
      <c r="T1459">
        <f>--($J1459=IF('الداشبورد'!$B$8="الكل",$J1459,IF('الداشبورد'!$B$8="AL","A","C")))</f>
        <v/>
      </c>
      <c r="U1459">
        <f>--($I1459=IF('الداشبورد'!$B$9="الكل",$I1459,IF('الداشبورد'!$B$9="بدون حالة","P",'الداشبورد'!$B$9)))</f>
        <v/>
      </c>
      <c r="V1459">
        <f>--($D1459=IF('الداشبورد'!$B$10="الكل",$D1459,'الداشبورد'!$B$10))</f>
        <v/>
      </c>
      <c r="W1459">
        <f>--($G1459=IF('الداشبورد'!$B$11="الكل",$G1459,'الداشبورد'!$B$11))</f>
        <v/>
      </c>
      <c r="X1459">
        <f>Q1459*R1459*S1459*T1459*U1459*V1459*W1459*--($C1459&lt;&gt;"")</f>
        <v/>
      </c>
    </row>
    <row r="1460">
      <c r="Q1460">
        <f>--($A1460=IF('الداشبورد'!$B$5="الكل",$A1460,'الداشبورد'!$B$5))</f>
        <v/>
      </c>
      <c r="R1460">
        <f>--($E1460=IF('الداشبورد'!$B$6="الكل",$E1460,'الداشبورد'!$B$6))</f>
        <v/>
      </c>
      <c r="S1460">
        <f>--($K1460=IF('الداشبورد'!$B$7="الكل",$K1460,IF('الداشبورد'!$B$7="تصدير","Y","N")))</f>
        <v/>
      </c>
      <c r="T1460">
        <f>--($J1460=IF('الداشبورد'!$B$8="الكل",$J1460,IF('الداشبورد'!$B$8="AL","A","C")))</f>
        <v/>
      </c>
      <c r="U1460">
        <f>--($I1460=IF('الداشبورد'!$B$9="الكل",$I1460,IF('الداشبورد'!$B$9="بدون حالة","P",'الداشبورد'!$B$9)))</f>
        <v/>
      </c>
      <c r="V1460">
        <f>--($D1460=IF('الداشبورد'!$B$10="الكل",$D1460,'الداشبورد'!$B$10))</f>
        <v/>
      </c>
      <c r="W1460">
        <f>--($G1460=IF('الداشبورد'!$B$11="الكل",$G1460,'الداشبورد'!$B$11))</f>
        <v/>
      </c>
      <c r="X1460">
        <f>Q1460*R1460*S1460*T1460*U1460*V1460*W1460*--($C1460&lt;&gt;"")</f>
        <v/>
      </c>
    </row>
    <row r="1461">
      <c r="Q1461">
        <f>--($A1461=IF('الداشبورد'!$B$5="الكل",$A1461,'الداشبورد'!$B$5))</f>
        <v/>
      </c>
      <c r="R1461">
        <f>--($E1461=IF('الداشبورد'!$B$6="الكل",$E1461,'الداشبورد'!$B$6))</f>
        <v/>
      </c>
      <c r="S1461">
        <f>--($K1461=IF('الداشبورد'!$B$7="الكل",$K1461,IF('الداشبورد'!$B$7="تصدير","Y","N")))</f>
        <v/>
      </c>
      <c r="T1461">
        <f>--($J1461=IF('الداشبورد'!$B$8="الكل",$J1461,IF('الداشبورد'!$B$8="AL","A","C")))</f>
        <v/>
      </c>
      <c r="U1461">
        <f>--($I1461=IF('الداشبورد'!$B$9="الكل",$I1461,IF('الداشبورد'!$B$9="بدون حالة","P",'الداشبورد'!$B$9)))</f>
        <v/>
      </c>
      <c r="V1461">
        <f>--($D1461=IF('الداشبورد'!$B$10="الكل",$D1461,'الداشبورد'!$B$10))</f>
        <v/>
      </c>
      <c r="W1461">
        <f>--($G1461=IF('الداشبورد'!$B$11="الكل",$G1461,'الداشبورد'!$B$11))</f>
        <v/>
      </c>
      <c r="X1461">
        <f>Q1461*R1461*S1461*T1461*U1461*V1461*W1461*--($C1461&lt;&gt;"")</f>
        <v/>
      </c>
    </row>
    <row r="1462">
      <c r="Q1462">
        <f>--($A1462=IF('الداشبورد'!$B$5="الكل",$A1462,'الداشبورد'!$B$5))</f>
        <v/>
      </c>
      <c r="R1462">
        <f>--($E1462=IF('الداشبورد'!$B$6="الكل",$E1462,'الداشبورد'!$B$6))</f>
        <v/>
      </c>
      <c r="S1462">
        <f>--($K1462=IF('الداشبورد'!$B$7="الكل",$K1462,IF('الداشبورد'!$B$7="تصدير","Y","N")))</f>
        <v/>
      </c>
      <c r="T1462">
        <f>--($J1462=IF('الداشبورد'!$B$8="الكل",$J1462,IF('الداشبورد'!$B$8="AL","A","C")))</f>
        <v/>
      </c>
      <c r="U1462">
        <f>--($I1462=IF('الداشبورد'!$B$9="الكل",$I1462,IF('الداشبورد'!$B$9="بدون حالة","P",'الداشبورد'!$B$9)))</f>
        <v/>
      </c>
      <c r="V1462">
        <f>--($D1462=IF('الداشبورد'!$B$10="الكل",$D1462,'الداشبورد'!$B$10))</f>
        <v/>
      </c>
      <c r="W1462">
        <f>--($G1462=IF('الداشبورد'!$B$11="الكل",$G1462,'الداشبورد'!$B$11))</f>
        <v/>
      </c>
      <c r="X1462">
        <f>Q1462*R1462*S1462*T1462*U1462*V1462*W1462*--($C1462&lt;&gt;"")</f>
        <v/>
      </c>
    </row>
    <row r="1463">
      <c r="Q1463">
        <f>--($A1463=IF('الداشبورد'!$B$5="الكل",$A1463,'الداشبورد'!$B$5))</f>
        <v/>
      </c>
      <c r="R1463">
        <f>--($E1463=IF('الداشبورد'!$B$6="الكل",$E1463,'الداشبورد'!$B$6))</f>
        <v/>
      </c>
      <c r="S1463">
        <f>--($K1463=IF('الداشبورد'!$B$7="الكل",$K1463,IF('الداشبورد'!$B$7="تصدير","Y","N")))</f>
        <v/>
      </c>
      <c r="T1463">
        <f>--($J1463=IF('الداشبورد'!$B$8="الكل",$J1463,IF('الداشبورد'!$B$8="AL","A","C")))</f>
        <v/>
      </c>
      <c r="U1463">
        <f>--($I1463=IF('الداشبورد'!$B$9="الكل",$I1463,IF('الداشبورد'!$B$9="بدون حالة","P",'الداشبورد'!$B$9)))</f>
        <v/>
      </c>
      <c r="V1463">
        <f>--($D1463=IF('الداشبورد'!$B$10="الكل",$D1463,'الداشبورد'!$B$10))</f>
        <v/>
      </c>
      <c r="W1463">
        <f>--($G1463=IF('الداشبورد'!$B$11="الكل",$G1463,'الداشبورد'!$B$11))</f>
        <v/>
      </c>
      <c r="X1463">
        <f>Q1463*R1463*S1463*T1463*U1463*V1463*W1463*--($C1463&lt;&gt;"")</f>
        <v/>
      </c>
    </row>
    <row r="1464">
      <c r="Q1464">
        <f>--($A1464=IF('الداشبورد'!$B$5="الكل",$A1464,'الداشبورد'!$B$5))</f>
        <v/>
      </c>
      <c r="R1464">
        <f>--($E1464=IF('الداشبورد'!$B$6="الكل",$E1464,'الداشبورد'!$B$6))</f>
        <v/>
      </c>
      <c r="S1464">
        <f>--($K1464=IF('الداشبورد'!$B$7="الكل",$K1464,IF('الداشبورد'!$B$7="تصدير","Y","N")))</f>
        <v/>
      </c>
      <c r="T1464">
        <f>--($J1464=IF('الداشبورد'!$B$8="الكل",$J1464,IF('الداشبورد'!$B$8="AL","A","C")))</f>
        <v/>
      </c>
      <c r="U1464">
        <f>--($I1464=IF('الداشبورد'!$B$9="الكل",$I1464,IF('الداشبورد'!$B$9="بدون حالة","P",'الداشبورد'!$B$9)))</f>
        <v/>
      </c>
      <c r="V1464">
        <f>--($D1464=IF('الداشبورد'!$B$10="الكل",$D1464,'الداشبورد'!$B$10))</f>
        <v/>
      </c>
      <c r="W1464">
        <f>--($G1464=IF('الداشبورد'!$B$11="الكل",$G1464,'الداشبورد'!$B$11))</f>
        <v/>
      </c>
      <c r="X1464">
        <f>Q1464*R1464*S1464*T1464*U1464*V1464*W1464*--($C1464&lt;&gt;"")</f>
        <v/>
      </c>
    </row>
    <row r="1465">
      <c r="Q1465">
        <f>--($A1465=IF('الداشبورد'!$B$5="الكل",$A1465,'الداشبورد'!$B$5))</f>
        <v/>
      </c>
      <c r="R1465">
        <f>--($E1465=IF('الداشبورد'!$B$6="الكل",$E1465,'الداشبورد'!$B$6))</f>
        <v/>
      </c>
      <c r="S1465">
        <f>--($K1465=IF('الداشبورد'!$B$7="الكل",$K1465,IF('الداشبورد'!$B$7="تصدير","Y","N")))</f>
        <v/>
      </c>
      <c r="T1465">
        <f>--($J1465=IF('الداشبورد'!$B$8="الكل",$J1465,IF('الداشبورد'!$B$8="AL","A","C")))</f>
        <v/>
      </c>
      <c r="U1465">
        <f>--($I1465=IF('الداشبورد'!$B$9="الكل",$I1465,IF('الداشبورد'!$B$9="بدون حالة","P",'الداشبورد'!$B$9)))</f>
        <v/>
      </c>
      <c r="V1465">
        <f>--($D1465=IF('الداشبورد'!$B$10="الكل",$D1465,'الداشبورد'!$B$10))</f>
        <v/>
      </c>
      <c r="W1465">
        <f>--($G1465=IF('الداشبورد'!$B$11="الكل",$G1465,'الداشبورد'!$B$11))</f>
        <v/>
      </c>
      <c r="X1465">
        <f>Q1465*R1465*S1465*T1465*U1465*V1465*W1465*--($C1465&lt;&gt;"")</f>
        <v/>
      </c>
    </row>
    <row r="1466">
      <c r="Q1466">
        <f>--($A1466=IF('الداشبورد'!$B$5="الكل",$A1466,'الداشبورد'!$B$5))</f>
        <v/>
      </c>
      <c r="R1466">
        <f>--($E1466=IF('الداشبورد'!$B$6="الكل",$E1466,'الداشبورد'!$B$6))</f>
        <v/>
      </c>
      <c r="S1466">
        <f>--($K1466=IF('الداشبورد'!$B$7="الكل",$K1466,IF('الداشبورد'!$B$7="تصدير","Y","N")))</f>
        <v/>
      </c>
      <c r="T1466">
        <f>--($J1466=IF('الداشبورد'!$B$8="الكل",$J1466,IF('الداشبورد'!$B$8="AL","A","C")))</f>
        <v/>
      </c>
      <c r="U1466">
        <f>--($I1466=IF('الداشبورد'!$B$9="الكل",$I1466,IF('الداشبورد'!$B$9="بدون حالة","P",'الداشبورد'!$B$9)))</f>
        <v/>
      </c>
      <c r="V1466">
        <f>--($D1466=IF('الداشبورد'!$B$10="الكل",$D1466,'الداشبورد'!$B$10))</f>
        <v/>
      </c>
      <c r="W1466">
        <f>--($G1466=IF('الداشبورد'!$B$11="الكل",$G1466,'الداشبورد'!$B$11))</f>
        <v/>
      </c>
      <c r="X1466">
        <f>Q1466*R1466*S1466*T1466*U1466*V1466*W1466*--($C1466&lt;&gt;"")</f>
        <v/>
      </c>
    </row>
    <row r="1467">
      <c r="Q1467">
        <f>--($A1467=IF('الداشبورد'!$B$5="الكل",$A1467,'الداشبورد'!$B$5))</f>
        <v/>
      </c>
      <c r="R1467">
        <f>--($E1467=IF('الداشبورد'!$B$6="الكل",$E1467,'الداشبورد'!$B$6))</f>
        <v/>
      </c>
      <c r="S1467">
        <f>--($K1467=IF('الداشبورد'!$B$7="الكل",$K1467,IF('الداشبورد'!$B$7="تصدير","Y","N")))</f>
        <v/>
      </c>
      <c r="T1467">
        <f>--($J1467=IF('الداشبورد'!$B$8="الكل",$J1467,IF('الداشبورد'!$B$8="AL","A","C")))</f>
        <v/>
      </c>
      <c r="U1467">
        <f>--($I1467=IF('الداشبورد'!$B$9="الكل",$I1467,IF('الداشبورد'!$B$9="بدون حالة","P",'الداشبورد'!$B$9)))</f>
        <v/>
      </c>
      <c r="V1467">
        <f>--($D1467=IF('الداشبورد'!$B$10="الكل",$D1467,'الداشبورد'!$B$10))</f>
        <v/>
      </c>
      <c r="W1467">
        <f>--($G1467=IF('الداشبورد'!$B$11="الكل",$G1467,'الداشبورد'!$B$11))</f>
        <v/>
      </c>
      <c r="X1467">
        <f>Q1467*R1467*S1467*T1467*U1467*V1467*W1467*--($C1467&lt;&gt;"")</f>
        <v/>
      </c>
    </row>
    <row r="1468">
      <c r="Q1468">
        <f>--($A1468=IF('الداشبورد'!$B$5="الكل",$A1468,'الداشبورد'!$B$5))</f>
        <v/>
      </c>
      <c r="R1468">
        <f>--($E1468=IF('الداشبورد'!$B$6="الكل",$E1468,'الداشبورد'!$B$6))</f>
        <v/>
      </c>
      <c r="S1468">
        <f>--($K1468=IF('الداشبورد'!$B$7="الكل",$K1468,IF('الداشبورد'!$B$7="تصدير","Y","N")))</f>
        <v/>
      </c>
      <c r="T1468">
        <f>--($J1468=IF('الداشبورد'!$B$8="الكل",$J1468,IF('الداشبورد'!$B$8="AL","A","C")))</f>
        <v/>
      </c>
      <c r="U1468">
        <f>--($I1468=IF('الداشبورد'!$B$9="الكل",$I1468,IF('الداشبورد'!$B$9="بدون حالة","P",'الداشبورد'!$B$9)))</f>
        <v/>
      </c>
      <c r="V1468">
        <f>--($D1468=IF('الداشبورد'!$B$10="الكل",$D1468,'الداشبورد'!$B$10))</f>
        <v/>
      </c>
      <c r="W1468">
        <f>--($G1468=IF('الداشبورد'!$B$11="الكل",$G1468,'الداشبورد'!$B$11))</f>
        <v/>
      </c>
      <c r="X1468">
        <f>Q1468*R1468*S1468*T1468*U1468*V1468*W1468*--($C1468&lt;&gt;"")</f>
        <v/>
      </c>
    </row>
    <row r="1469">
      <c r="Q1469">
        <f>--($A1469=IF('الداشبورد'!$B$5="الكل",$A1469,'الداشبورد'!$B$5))</f>
        <v/>
      </c>
      <c r="R1469">
        <f>--($E1469=IF('الداشبورد'!$B$6="الكل",$E1469,'الداشبورد'!$B$6))</f>
        <v/>
      </c>
      <c r="S1469">
        <f>--($K1469=IF('الداشبورد'!$B$7="الكل",$K1469,IF('الداشبورد'!$B$7="تصدير","Y","N")))</f>
        <v/>
      </c>
      <c r="T1469">
        <f>--($J1469=IF('الداشبورد'!$B$8="الكل",$J1469,IF('الداشبورد'!$B$8="AL","A","C")))</f>
        <v/>
      </c>
      <c r="U1469">
        <f>--($I1469=IF('الداشبورد'!$B$9="الكل",$I1469,IF('الداشبورد'!$B$9="بدون حالة","P",'الداشبورد'!$B$9)))</f>
        <v/>
      </c>
      <c r="V1469">
        <f>--($D1469=IF('الداشبورد'!$B$10="الكل",$D1469,'الداشبورد'!$B$10))</f>
        <v/>
      </c>
      <c r="W1469">
        <f>--($G1469=IF('الداشبورد'!$B$11="الكل",$G1469,'الداشبورد'!$B$11))</f>
        <v/>
      </c>
      <c r="X1469">
        <f>Q1469*R1469*S1469*T1469*U1469*V1469*W1469*--($C1469&lt;&gt;"")</f>
        <v/>
      </c>
    </row>
    <row r="1470">
      <c r="Q1470">
        <f>--($A1470=IF('الداشبورد'!$B$5="الكل",$A1470,'الداشبورد'!$B$5))</f>
        <v/>
      </c>
      <c r="R1470">
        <f>--($E1470=IF('الداشبورد'!$B$6="الكل",$E1470,'الداشبورد'!$B$6))</f>
        <v/>
      </c>
      <c r="S1470">
        <f>--($K1470=IF('الداشبورد'!$B$7="الكل",$K1470,IF('الداشبورد'!$B$7="تصدير","Y","N")))</f>
        <v/>
      </c>
      <c r="T1470">
        <f>--($J1470=IF('الداشبورد'!$B$8="الكل",$J1470,IF('الداشبورد'!$B$8="AL","A","C")))</f>
        <v/>
      </c>
      <c r="U1470">
        <f>--($I1470=IF('الداشبورد'!$B$9="الكل",$I1470,IF('الداشبورد'!$B$9="بدون حالة","P",'الداشبورد'!$B$9)))</f>
        <v/>
      </c>
      <c r="V1470">
        <f>--($D1470=IF('الداشبورد'!$B$10="الكل",$D1470,'الداشبورد'!$B$10))</f>
        <v/>
      </c>
      <c r="W1470">
        <f>--($G1470=IF('الداشبورد'!$B$11="الكل",$G1470,'الداشبورد'!$B$11))</f>
        <v/>
      </c>
      <c r="X1470">
        <f>Q1470*R1470*S1470*T1470*U1470*V1470*W1470*--($C1470&lt;&gt;"")</f>
        <v/>
      </c>
    </row>
    <row r="1471">
      <c r="Q1471">
        <f>--($A1471=IF('الداشبورد'!$B$5="الكل",$A1471,'الداشبورد'!$B$5))</f>
        <v/>
      </c>
      <c r="R1471">
        <f>--($E1471=IF('الداشبورد'!$B$6="الكل",$E1471,'الداشبورد'!$B$6))</f>
        <v/>
      </c>
      <c r="S1471">
        <f>--($K1471=IF('الداشبورد'!$B$7="الكل",$K1471,IF('الداشبورد'!$B$7="تصدير","Y","N")))</f>
        <v/>
      </c>
      <c r="T1471">
        <f>--($J1471=IF('الداشبورد'!$B$8="الكل",$J1471,IF('الداشبورد'!$B$8="AL","A","C")))</f>
        <v/>
      </c>
      <c r="U1471">
        <f>--($I1471=IF('الداشبورد'!$B$9="الكل",$I1471,IF('الداشبورد'!$B$9="بدون حالة","P",'الداشبورد'!$B$9)))</f>
        <v/>
      </c>
      <c r="V1471">
        <f>--($D1471=IF('الداشبورد'!$B$10="الكل",$D1471,'الداشبورد'!$B$10))</f>
        <v/>
      </c>
      <c r="W1471">
        <f>--($G1471=IF('الداشبورد'!$B$11="الكل",$G1471,'الداشبورد'!$B$11))</f>
        <v/>
      </c>
      <c r="X1471">
        <f>Q1471*R1471*S1471*T1471*U1471*V1471*W1471*--($C1471&lt;&gt;"")</f>
        <v/>
      </c>
    </row>
    <row r="1472">
      <c r="Q1472">
        <f>--($A1472=IF('الداشبورد'!$B$5="الكل",$A1472,'الداشبورد'!$B$5))</f>
        <v/>
      </c>
      <c r="R1472">
        <f>--($E1472=IF('الداشبورد'!$B$6="الكل",$E1472,'الداشبورد'!$B$6))</f>
        <v/>
      </c>
      <c r="S1472">
        <f>--($K1472=IF('الداشبورد'!$B$7="الكل",$K1472,IF('الداشبورد'!$B$7="تصدير","Y","N")))</f>
        <v/>
      </c>
      <c r="T1472">
        <f>--($J1472=IF('الداشبورد'!$B$8="الكل",$J1472,IF('الداشبورد'!$B$8="AL","A","C")))</f>
        <v/>
      </c>
      <c r="U1472">
        <f>--($I1472=IF('الداشبورد'!$B$9="الكل",$I1472,IF('الداشبورد'!$B$9="بدون حالة","P",'الداشبورد'!$B$9)))</f>
        <v/>
      </c>
      <c r="V1472">
        <f>--($D1472=IF('الداشبورد'!$B$10="الكل",$D1472,'الداشبورد'!$B$10))</f>
        <v/>
      </c>
      <c r="W1472">
        <f>--($G1472=IF('الداشبورد'!$B$11="الكل",$G1472,'الداشبورد'!$B$11))</f>
        <v/>
      </c>
      <c r="X1472">
        <f>Q1472*R1472*S1472*T1472*U1472*V1472*W1472*--($C1472&lt;&gt;"")</f>
        <v/>
      </c>
    </row>
    <row r="1473">
      <c r="Q1473">
        <f>--($A1473=IF('الداشبورد'!$B$5="الكل",$A1473,'الداشبورد'!$B$5))</f>
        <v/>
      </c>
      <c r="R1473">
        <f>--($E1473=IF('الداشبورد'!$B$6="الكل",$E1473,'الداشبورد'!$B$6))</f>
        <v/>
      </c>
      <c r="S1473">
        <f>--($K1473=IF('الداشبورد'!$B$7="الكل",$K1473,IF('الداشبورد'!$B$7="تصدير","Y","N")))</f>
        <v/>
      </c>
      <c r="T1473">
        <f>--($J1473=IF('الداشبورد'!$B$8="الكل",$J1473,IF('الداشبورد'!$B$8="AL","A","C")))</f>
        <v/>
      </c>
      <c r="U1473">
        <f>--($I1473=IF('الداشبورد'!$B$9="الكل",$I1473,IF('الداشبورد'!$B$9="بدون حالة","P",'الداشبورد'!$B$9)))</f>
        <v/>
      </c>
      <c r="V1473">
        <f>--($D1473=IF('الداشبورد'!$B$10="الكل",$D1473,'الداشبورد'!$B$10))</f>
        <v/>
      </c>
      <c r="W1473">
        <f>--($G1473=IF('الداشبورد'!$B$11="الكل",$G1473,'الداشبورد'!$B$11))</f>
        <v/>
      </c>
      <c r="X1473">
        <f>Q1473*R1473*S1473*T1473*U1473*V1473*W1473*--($C1473&lt;&gt;"")</f>
        <v/>
      </c>
    </row>
    <row r="1474">
      <c r="Q1474">
        <f>--($A1474=IF('الداشبورد'!$B$5="الكل",$A1474,'الداشبورد'!$B$5))</f>
        <v/>
      </c>
      <c r="R1474">
        <f>--($E1474=IF('الداشبورد'!$B$6="الكل",$E1474,'الداشبورد'!$B$6))</f>
        <v/>
      </c>
      <c r="S1474">
        <f>--($K1474=IF('الداشبورد'!$B$7="الكل",$K1474,IF('الداشبورد'!$B$7="تصدير","Y","N")))</f>
        <v/>
      </c>
      <c r="T1474">
        <f>--($J1474=IF('الداشبورد'!$B$8="الكل",$J1474,IF('الداشبورد'!$B$8="AL","A","C")))</f>
        <v/>
      </c>
      <c r="U1474">
        <f>--($I1474=IF('الداشبورد'!$B$9="الكل",$I1474,IF('الداشبورد'!$B$9="بدون حالة","P",'الداشبورد'!$B$9)))</f>
        <v/>
      </c>
      <c r="V1474">
        <f>--($D1474=IF('الداشبورد'!$B$10="الكل",$D1474,'الداشبورد'!$B$10))</f>
        <v/>
      </c>
      <c r="W1474">
        <f>--($G1474=IF('الداشبورد'!$B$11="الكل",$G1474,'الداشبورد'!$B$11))</f>
        <v/>
      </c>
      <c r="X1474">
        <f>Q1474*R1474*S1474*T1474*U1474*V1474*W1474*--($C1474&lt;&gt;"")</f>
        <v/>
      </c>
    </row>
    <row r="1475">
      <c r="Q1475">
        <f>--($A1475=IF('الداشبورد'!$B$5="الكل",$A1475,'الداشبورد'!$B$5))</f>
        <v/>
      </c>
      <c r="R1475">
        <f>--($E1475=IF('الداشبورد'!$B$6="الكل",$E1475,'الداشبورد'!$B$6))</f>
        <v/>
      </c>
      <c r="S1475">
        <f>--($K1475=IF('الداشبورد'!$B$7="الكل",$K1475,IF('الداشبورد'!$B$7="تصدير","Y","N")))</f>
        <v/>
      </c>
      <c r="T1475">
        <f>--($J1475=IF('الداشبورد'!$B$8="الكل",$J1475,IF('الداشبورد'!$B$8="AL","A","C")))</f>
        <v/>
      </c>
      <c r="U1475">
        <f>--($I1475=IF('الداشبورد'!$B$9="الكل",$I1475,IF('الداشبورد'!$B$9="بدون حالة","P",'الداشبورد'!$B$9)))</f>
        <v/>
      </c>
      <c r="V1475">
        <f>--($D1475=IF('الداشبورد'!$B$10="الكل",$D1475,'الداشبورد'!$B$10))</f>
        <v/>
      </c>
      <c r="W1475">
        <f>--($G1475=IF('الداشبورد'!$B$11="الكل",$G1475,'الداشبورد'!$B$11))</f>
        <v/>
      </c>
      <c r="X1475">
        <f>Q1475*R1475*S1475*T1475*U1475*V1475*W1475*--($C1475&lt;&gt;"")</f>
        <v/>
      </c>
    </row>
    <row r="1476">
      <c r="Q1476">
        <f>--($A1476=IF('الداشبورد'!$B$5="الكل",$A1476,'الداشبورد'!$B$5))</f>
        <v/>
      </c>
      <c r="R1476">
        <f>--($E1476=IF('الداشبورد'!$B$6="الكل",$E1476,'الداشبورد'!$B$6))</f>
        <v/>
      </c>
      <c r="S1476">
        <f>--($K1476=IF('الداشبورد'!$B$7="الكل",$K1476,IF('الداشبورد'!$B$7="تصدير","Y","N")))</f>
        <v/>
      </c>
      <c r="T1476">
        <f>--($J1476=IF('الداشبورد'!$B$8="الكل",$J1476,IF('الداشبورد'!$B$8="AL","A","C")))</f>
        <v/>
      </c>
      <c r="U1476">
        <f>--($I1476=IF('الداشبورد'!$B$9="الكل",$I1476,IF('الداشبورد'!$B$9="بدون حالة","P",'الداشبورد'!$B$9)))</f>
        <v/>
      </c>
      <c r="V1476">
        <f>--($D1476=IF('الداشبورد'!$B$10="الكل",$D1476,'الداشبورد'!$B$10))</f>
        <v/>
      </c>
      <c r="W1476">
        <f>--($G1476=IF('الداشبورد'!$B$11="الكل",$G1476,'الداشبورد'!$B$11))</f>
        <v/>
      </c>
      <c r="X1476">
        <f>Q1476*R1476*S1476*T1476*U1476*V1476*W1476*--($C1476&lt;&gt;"")</f>
        <v/>
      </c>
    </row>
    <row r="1477">
      <c r="Q1477">
        <f>--($A1477=IF('الداشبورد'!$B$5="الكل",$A1477,'الداشبورد'!$B$5))</f>
        <v/>
      </c>
      <c r="R1477">
        <f>--($E1477=IF('الداشبورد'!$B$6="الكل",$E1477,'الداشبورد'!$B$6))</f>
        <v/>
      </c>
      <c r="S1477">
        <f>--($K1477=IF('الداشبورد'!$B$7="الكل",$K1477,IF('الداشبورد'!$B$7="تصدير","Y","N")))</f>
        <v/>
      </c>
      <c r="T1477">
        <f>--($J1477=IF('الداشبورد'!$B$8="الكل",$J1477,IF('الداشبورد'!$B$8="AL","A","C")))</f>
        <v/>
      </c>
      <c r="U1477">
        <f>--($I1477=IF('الداشبورد'!$B$9="الكل",$I1477,IF('الداشبورد'!$B$9="بدون حالة","P",'الداشبورد'!$B$9)))</f>
        <v/>
      </c>
      <c r="V1477">
        <f>--($D1477=IF('الداشبورد'!$B$10="الكل",$D1477,'الداشبورد'!$B$10))</f>
        <v/>
      </c>
      <c r="W1477">
        <f>--($G1477=IF('الداشبورد'!$B$11="الكل",$G1477,'الداشبورد'!$B$11))</f>
        <v/>
      </c>
      <c r="X1477">
        <f>Q1477*R1477*S1477*T1477*U1477*V1477*W1477*--($C1477&lt;&gt;"")</f>
        <v/>
      </c>
    </row>
    <row r="1478">
      <c r="Q1478">
        <f>--($A1478=IF('الداشبورد'!$B$5="الكل",$A1478,'الداشبورد'!$B$5))</f>
        <v/>
      </c>
      <c r="R1478">
        <f>--($E1478=IF('الداشبورد'!$B$6="الكل",$E1478,'الداشبورد'!$B$6))</f>
        <v/>
      </c>
      <c r="S1478">
        <f>--($K1478=IF('الداشبورد'!$B$7="الكل",$K1478,IF('الداشبورد'!$B$7="تصدير","Y","N")))</f>
        <v/>
      </c>
      <c r="T1478">
        <f>--($J1478=IF('الداشبورد'!$B$8="الكل",$J1478,IF('الداشبورد'!$B$8="AL","A","C")))</f>
        <v/>
      </c>
      <c r="U1478">
        <f>--($I1478=IF('الداشبورد'!$B$9="الكل",$I1478,IF('الداشبورد'!$B$9="بدون حالة","P",'الداشبورد'!$B$9)))</f>
        <v/>
      </c>
      <c r="V1478">
        <f>--($D1478=IF('الداشبورد'!$B$10="الكل",$D1478,'الداشبورد'!$B$10))</f>
        <v/>
      </c>
      <c r="W1478">
        <f>--($G1478=IF('الداشبورد'!$B$11="الكل",$G1478,'الداشبورد'!$B$11))</f>
        <v/>
      </c>
      <c r="X1478">
        <f>Q1478*R1478*S1478*T1478*U1478*V1478*W1478*--($C1478&lt;&gt;"")</f>
        <v/>
      </c>
    </row>
    <row r="1479">
      <c r="Q1479">
        <f>--($A1479=IF('الداشبورد'!$B$5="الكل",$A1479,'الداشبورد'!$B$5))</f>
        <v/>
      </c>
      <c r="R1479">
        <f>--($E1479=IF('الداشبورد'!$B$6="الكل",$E1479,'الداشبورد'!$B$6))</f>
        <v/>
      </c>
      <c r="S1479">
        <f>--($K1479=IF('الداشبورد'!$B$7="الكل",$K1479,IF('الداشبورد'!$B$7="تصدير","Y","N")))</f>
        <v/>
      </c>
      <c r="T1479">
        <f>--($J1479=IF('الداشبورد'!$B$8="الكل",$J1479,IF('الداشبورد'!$B$8="AL","A","C")))</f>
        <v/>
      </c>
      <c r="U1479">
        <f>--($I1479=IF('الداشبورد'!$B$9="الكل",$I1479,IF('الداشبورد'!$B$9="بدون حالة","P",'الداشبورد'!$B$9)))</f>
        <v/>
      </c>
      <c r="V1479">
        <f>--($D1479=IF('الداشبورد'!$B$10="الكل",$D1479,'الداشبورد'!$B$10))</f>
        <v/>
      </c>
      <c r="W1479">
        <f>--($G1479=IF('الداشبورد'!$B$11="الكل",$G1479,'الداشبورد'!$B$11))</f>
        <v/>
      </c>
      <c r="X1479">
        <f>Q1479*R1479*S1479*T1479*U1479*V1479*W1479*--($C1479&lt;&gt;"")</f>
        <v/>
      </c>
    </row>
    <row r="1480">
      <c r="Q1480">
        <f>--($A1480=IF('الداشبورد'!$B$5="الكل",$A1480,'الداشبورد'!$B$5))</f>
        <v/>
      </c>
      <c r="R1480">
        <f>--($E1480=IF('الداشبورد'!$B$6="الكل",$E1480,'الداشبورد'!$B$6))</f>
        <v/>
      </c>
      <c r="S1480">
        <f>--($K1480=IF('الداشبورد'!$B$7="الكل",$K1480,IF('الداشبورد'!$B$7="تصدير","Y","N")))</f>
        <v/>
      </c>
      <c r="T1480">
        <f>--($J1480=IF('الداشبورد'!$B$8="الكل",$J1480,IF('الداشبورد'!$B$8="AL","A","C")))</f>
        <v/>
      </c>
      <c r="U1480">
        <f>--($I1480=IF('الداشبورد'!$B$9="الكل",$I1480,IF('الداشبورد'!$B$9="بدون حالة","P",'الداشبورد'!$B$9)))</f>
        <v/>
      </c>
      <c r="V1480">
        <f>--($D1480=IF('الداشبورد'!$B$10="الكل",$D1480,'الداشبورد'!$B$10))</f>
        <v/>
      </c>
      <c r="W1480">
        <f>--($G1480=IF('الداشبورد'!$B$11="الكل",$G1480,'الداشبورد'!$B$11))</f>
        <v/>
      </c>
      <c r="X1480">
        <f>Q1480*R1480*S1480*T1480*U1480*V1480*W1480*--($C1480&lt;&gt;"")</f>
        <v/>
      </c>
    </row>
    <row r="1481">
      <c r="Q1481">
        <f>--($A1481=IF('الداشبورد'!$B$5="الكل",$A1481,'الداشبورد'!$B$5))</f>
        <v/>
      </c>
      <c r="R1481">
        <f>--($E1481=IF('الداشبورد'!$B$6="الكل",$E1481,'الداشبورد'!$B$6))</f>
        <v/>
      </c>
      <c r="S1481">
        <f>--($K1481=IF('الداشبورد'!$B$7="الكل",$K1481,IF('الداشبورد'!$B$7="تصدير","Y","N")))</f>
        <v/>
      </c>
      <c r="T1481">
        <f>--($J1481=IF('الداشبورد'!$B$8="الكل",$J1481,IF('الداشبورد'!$B$8="AL","A","C")))</f>
        <v/>
      </c>
      <c r="U1481">
        <f>--($I1481=IF('الداشبورد'!$B$9="الكل",$I1481,IF('الداشبورد'!$B$9="بدون حالة","P",'الداشبورد'!$B$9)))</f>
        <v/>
      </c>
      <c r="V1481">
        <f>--($D1481=IF('الداشبورد'!$B$10="الكل",$D1481,'الداشبورد'!$B$10))</f>
        <v/>
      </c>
      <c r="W1481">
        <f>--($G1481=IF('الداشبورد'!$B$11="الكل",$G1481,'الداشبورد'!$B$11))</f>
        <v/>
      </c>
      <c r="X1481">
        <f>Q1481*R1481*S1481*T1481*U1481*V1481*W1481*--($C1481&lt;&gt;"")</f>
        <v/>
      </c>
    </row>
    <row r="1482">
      <c r="Q1482">
        <f>--($A1482=IF('الداشبورد'!$B$5="الكل",$A1482,'الداشبورد'!$B$5))</f>
        <v/>
      </c>
      <c r="R1482">
        <f>--($E1482=IF('الداشبورد'!$B$6="الكل",$E1482,'الداشبورد'!$B$6))</f>
        <v/>
      </c>
      <c r="S1482">
        <f>--($K1482=IF('الداشبورد'!$B$7="الكل",$K1482,IF('الداشبورد'!$B$7="تصدير","Y","N")))</f>
        <v/>
      </c>
      <c r="T1482">
        <f>--($J1482=IF('الداشبورد'!$B$8="الكل",$J1482,IF('الداشبورد'!$B$8="AL","A","C")))</f>
        <v/>
      </c>
      <c r="U1482">
        <f>--($I1482=IF('الداشبورد'!$B$9="الكل",$I1482,IF('الداشبورد'!$B$9="بدون حالة","P",'الداشبورد'!$B$9)))</f>
        <v/>
      </c>
      <c r="V1482">
        <f>--($D1482=IF('الداشبورد'!$B$10="الكل",$D1482,'الداشبورد'!$B$10))</f>
        <v/>
      </c>
      <c r="W1482">
        <f>--($G1482=IF('الداشبورد'!$B$11="الكل",$G1482,'الداشبورد'!$B$11))</f>
        <v/>
      </c>
      <c r="X1482">
        <f>Q1482*R1482*S1482*T1482*U1482*V1482*W1482*--($C1482&lt;&gt;"")</f>
        <v/>
      </c>
    </row>
    <row r="1483">
      <c r="Q1483">
        <f>--($A1483=IF('الداشبورد'!$B$5="الكل",$A1483,'الداشبورد'!$B$5))</f>
        <v/>
      </c>
      <c r="R1483">
        <f>--($E1483=IF('الداشبورد'!$B$6="الكل",$E1483,'الداشبورد'!$B$6))</f>
        <v/>
      </c>
      <c r="S1483">
        <f>--($K1483=IF('الداشبورد'!$B$7="الكل",$K1483,IF('الداشبورد'!$B$7="تصدير","Y","N")))</f>
        <v/>
      </c>
      <c r="T1483">
        <f>--($J1483=IF('الداشبورد'!$B$8="الكل",$J1483,IF('الداشبورد'!$B$8="AL","A","C")))</f>
        <v/>
      </c>
      <c r="U1483">
        <f>--($I1483=IF('الداشبورد'!$B$9="الكل",$I1483,IF('الداشبورد'!$B$9="بدون حالة","P",'الداشبورد'!$B$9)))</f>
        <v/>
      </c>
      <c r="V1483">
        <f>--($D1483=IF('الداشبورد'!$B$10="الكل",$D1483,'الداشبورد'!$B$10))</f>
        <v/>
      </c>
      <c r="W1483">
        <f>--($G1483=IF('الداشبورد'!$B$11="الكل",$G1483,'الداشبورد'!$B$11))</f>
        <v/>
      </c>
      <c r="X1483">
        <f>Q1483*R1483*S1483*T1483*U1483*V1483*W1483*--($C1483&lt;&gt;"")</f>
        <v/>
      </c>
    </row>
    <row r="1484">
      <c r="Q1484">
        <f>--($A1484=IF('الداشبورد'!$B$5="الكل",$A1484,'الداشبورد'!$B$5))</f>
        <v/>
      </c>
      <c r="R1484">
        <f>--($E1484=IF('الداشبورد'!$B$6="الكل",$E1484,'الداشبورد'!$B$6))</f>
        <v/>
      </c>
      <c r="S1484">
        <f>--($K1484=IF('الداشبورد'!$B$7="الكل",$K1484,IF('الداشبورد'!$B$7="تصدير","Y","N")))</f>
        <v/>
      </c>
      <c r="T1484">
        <f>--($J1484=IF('الداشبورد'!$B$8="الكل",$J1484,IF('الداشبورد'!$B$8="AL","A","C")))</f>
        <v/>
      </c>
      <c r="U1484">
        <f>--($I1484=IF('الداشبورد'!$B$9="الكل",$I1484,IF('الداشبورد'!$B$9="بدون حالة","P",'الداشبورد'!$B$9)))</f>
        <v/>
      </c>
      <c r="V1484">
        <f>--($D1484=IF('الداشبورد'!$B$10="الكل",$D1484,'الداشبورد'!$B$10))</f>
        <v/>
      </c>
      <c r="W1484">
        <f>--($G1484=IF('الداشبورد'!$B$11="الكل",$G1484,'الداشبورد'!$B$11))</f>
        <v/>
      </c>
      <c r="X1484">
        <f>Q1484*R1484*S1484*T1484*U1484*V1484*W1484*--($C1484&lt;&gt;"")</f>
        <v/>
      </c>
    </row>
    <row r="1485">
      <c r="Q1485">
        <f>--($A1485=IF('الداشبورد'!$B$5="الكل",$A1485,'الداشبورد'!$B$5))</f>
        <v/>
      </c>
      <c r="R1485">
        <f>--($E1485=IF('الداشبورد'!$B$6="الكل",$E1485,'الداشبورد'!$B$6))</f>
        <v/>
      </c>
      <c r="S1485">
        <f>--($K1485=IF('الداشبورد'!$B$7="الكل",$K1485,IF('الداشبورد'!$B$7="تصدير","Y","N")))</f>
        <v/>
      </c>
      <c r="T1485">
        <f>--($J1485=IF('الداشبورد'!$B$8="الكل",$J1485,IF('الداشبورد'!$B$8="AL","A","C")))</f>
        <v/>
      </c>
      <c r="U1485">
        <f>--($I1485=IF('الداشبورد'!$B$9="الكل",$I1485,IF('الداشبورد'!$B$9="بدون حالة","P",'الداشبورد'!$B$9)))</f>
        <v/>
      </c>
      <c r="V1485">
        <f>--($D1485=IF('الداشبورد'!$B$10="الكل",$D1485,'الداشبورد'!$B$10))</f>
        <v/>
      </c>
      <c r="W1485">
        <f>--($G1485=IF('الداشبورد'!$B$11="الكل",$G1485,'الداشبورد'!$B$11))</f>
        <v/>
      </c>
      <c r="X1485">
        <f>Q1485*R1485*S1485*T1485*U1485*V1485*W1485*--($C1485&lt;&gt;"")</f>
        <v/>
      </c>
    </row>
    <row r="1486">
      <c r="Q1486">
        <f>--($A1486=IF('الداشبورد'!$B$5="الكل",$A1486,'الداشبورد'!$B$5))</f>
        <v/>
      </c>
      <c r="R1486">
        <f>--($E1486=IF('الداشبورد'!$B$6="الكل",$E1486,'الداشبورد'!$B$6))</f>
        <v/>
      </c>
      <c r="S1486">
        <f>--($K1486=IF('الداشبورد'!$B$7="الكل",$K1486,IF('الداشبورد'!$B$7="تصدير","Y","N")))</f>
        <v/>
      </c>
      <c r="T1486">
        <f>--($J1486=IF('الداشبورد'!$B$8="الكل",$J1486,IF('الداشبورد'!$B$8="AL","A","C")))</f>
        <v/>
      </c>
      <c r="U1486">
        <f>--($I1486=IF('الداشبورد'!$B$9="الكل",$I1486,IF('الداشبورد'!$B$9="بدون حالة","P",'الداشبورد'!$B$9)))</f>
        <v/>
      </c>
      <c r="V1486">
        <f>--($D1486=IF('الداشبورد'!$B$10="الكل",$D1486,'الداشبورد'!$B$10))</f>
        <v/>
      </c>
      <c r="W1486">
        <f>--($G1486=IF('الداشبورد'!$B$11="الكل",$G1486,'الداشبورد'!$B$11))</f>
        <v/>
      </c>
      <c r="X1486">
        <f>Q1486*R1486*S1486*T1486*U1486*V1486*W1486*--($C1486&lt;&gt;"")</f>
        <v/>
      </c>
    </row>
    <row r="1487">
      <c r="Q1487">
        <f>--($A1487=IF('الداشبورد'!$B$5="الكل",$A1487,'الداشبورد'!$B$5))</f>
        <v/>
      </c>
      <c r="R1487">
        <f>--($E1487=IF('الداشبورد'!$B$6="الكل",$E1487,'الداشبورد'!$B$6))</f>
        <v/>
      </c>
      <c r="S1487">
        <f>--($K1487=IF('الداشبورد'!$B$7="الكل",$K1487,IF('الداشبورد'!$B$7="تصدير","Y","N")))</f>
        <v/>
      </c>
      <c r="T1487">
        <f>--($J1487=IF('الداشبورد'!$B$8="الكل",$J1487,IF('الداشبورد'!$B$8="AL","A","C")))</f>
        <v/>
      </c>
      <c r="U1487">
        <f>--($I1487=IF('الداشبورد'!$B$9="الكل",$I1487,IF('الداشبورد'!$B$9="بدون حالة","P",'الداشبورد'!$B$9)))</f>
        <v/>
      </c>
      <c r="V1487">
        <f>--($D1487=IF('الداشبورد'!$B$10="الكل",$D1487,'الداشبورد'!$B$10))</f>
        <v/>
      </c>
      <c r="W1487">
        <f>--($G1487=IF('الداشبورد'!$B$11="الكل",$G1487,'الداشبورد'!$B$11))</f>
        <v/>
      </c>
      <c r="X1487">
        <f>Q1487*R1487*S1487*T1487*U1487*V1487*W1487*--($C1487&lt;&gt;"")</f>
        <v/>
      </c>
    </row>
    <row r="1488">
      <c r="Q1488">
        <f>--($A1488=IF('الداشبورد'!$B$5="الكل",$A1488,'الداشبورد'!$B$5))</f>
        <v/>
      </c>
      <c r="R1488">
        <f>--($E1488=IF('الداشبورد'!$B$6="الكل",$E1488,'الداشبورد'!$B$6))</f>
        <v/>
      </c>
      <c r="S1488">
        <f>--($K1488=IF('الداشبورد'!$B$7="الكل",$K1488,IF('الداشبورد'!$B$7="تصدير","Y","N")))</f>
        <v/>
      </c>
      <c r="T1488">
        <f>--($J1488=IF('الداشبورد'!$B$8="الكل",$J1488,IF('الداشبورد'!$B$8="AL","A","C")))</f>
        <v/>
      </c>
      <c r="U1488">
        <f>--($I1488=IF('الداشبورد'!$B$9="الكل",$I1488,IF('الداشبورد'!$B$9="بدون حالة","P",'الداشبورد'!$B$9)))</f>
        <v/>
      </c>
      <c r="V1488">
        <f>--($D1488=IF('الداشبورد'!$B$10="الكل",$D1488,'الداشبورد'!$B$10))</f>
        <v/>
      </c>
      <c r="W1488">
        <f>--($G1488=IF('الداشبورد'!$B$11="الكل",$G1488,'الداشبورد'!$B$11))</f>
        <v/>
      </c>
      <c r="X1488">
        <f>Q1488*R1488*S1488*T1488*U1488*V1488*W1488*--($C1488&lt;&gt;"")</f>
        <v/>
      </c>
    </row>
    <row r="1489">
      <c r="Q1489">
        <f>--($A1489=IF('الداشبورد'!$B$5="الكل",$A1489,'الداشبورد'!$B$5))</f>
        <v/>
      </c>
      <c r="R1489">
        <f>--($E1489=IF('الداشبورد'!$B$6="الكل",$E1489,'الداشبورد'!$B$6))</f>
        <v/>
      </c>
      <c r="S1489">
        <f>--($K1489=IF('الداشبورد'!$B$7="الكل",$K1489,IF('الداشبورد'!$B$7="تصدير","Y","N")))</f>
        <v/>
      </c>
      <c r="T1489">
        <f>--($J1489=IF('الداشبورد'!$B$8="الكل",$J1489,IF('الداشبورد'!$B$8="AL","A","C")))</f>
        <v/>
      </c>
      <c r="U1489">
        <f>--($I1489=IF('الداشبورد'!$B$9="الكل",$I1489,IF('الداشبورد'!$B$9="بدون حالة","P",'الداشبورد'!$B$9)))</f>
        <v/>
      </c>
      <c r="V1489">
        <f>--($D1489=IF('الداشبورد'!$B$10="الكل",$D1489,'الداشبورد'!$B$10))</f>
        <v/>
      </c>
      <c r="W1489">
        <f>--($G1489=IF('الداشبورد'!$B$11="الكل",$G1489,'الداشبورد'!$B$11))</f>
        <v/>
      </c>
      <c r="X1489">
        <f>Q1489*R1489*S1489*T1489*U1489*V1489*W1489*--($C1489&lt;&gt;"")</f>
        <v/>
      </c>
    </row>
    <row r="1490">
      <c r="Q1490">
        <f>--($A1490=IF('الداشبورد'!$B$5="الكل",$A1490,'الداشبورد'!$B$5))</f>
        <v/>
      </c>
      <c r="R1490">
        <f>--($E1490=IF('الداشبورد'!$B$6="الكل",$E1490,'الداشبورد'!$B$6))</f>
        <v/>
      </c>
      <c r="S1490">
        <f>--($K1490=IF('الداشبورد'!$B$7="الكل",$K1490,IF('الداشبورد'!$B$7="تصدير","Y","N")))</f>
        <v/>
      </c>
      <c r="T1490">
        <f>--($J1490=IF('الداشبورد'!$B$8="الكل",$J1490,IF('الداشبورد'!$B$8="AL","A","C")))</f>
        <v/>
      </c>
      <c r="U1490">
        <f>--($I1490=IF('الداشبورد'!$B$9="الكل",$I1490,IF('الداشبورد'!$B$9="بدون حالة","P",'الداشبورد'!$B$9)))</f>
        <v/>
      </c>
      <c r="V1490">
        <f>--($D1490=IF('الداشبورد'!$B$10="الكل",$D1490,'الداشبورد'!$B$10))</f>
        <v/>
      </c>
      <c r="W1490">
        <f>--($G1490=IF('الداشبورد'!$B$11="الكل",$G1490,'الداشبورد'!$B$11))</f>
        <v/>
      </c>
      <c r="X1490">
        <f>Q1490*R1490*S1490*T1490*U1490*V1490*W1490*--($C1490&lt;&gt;"")</f>
        <v/>
      </c>
    </row>
    <row r="1491">
      <c r="Q1491">
        <f>--($A1491=IF('الداشبورد'!$B$5="الكل",$A1491,'الداشبورد'!$B$5))</f>
        <v/>
      </c>
      <c r="R1491">
        <f>--($E1491=IF('الداشبورد'!$B$6="الكل",$E1491,'الداشبورد'!$B$6))</f>
        <v/>
      </c>
      <c r="S1491">
        <f>--($K1491=IF('الداشبورد'!$B$7="الكل",$K1491,IF('الداشبورد'!$B$7="تصدير","Y","N")))</f>
        <v/>
      </c>
      <c r="T1491">
        <f>--($J1491=IF('الداشبورد'!$B$8="الكل",$J1491,IF('الداشبورد'!$B$8="AL","A","C")))</f>
        <v/>
      </c>
      <c r="U1491">
        <f>--($I1491=IF('الداشبورد'!$B$9="الكل",$I1491,IF('الداشبورد'!$B$9="بدون حالة","P",'الداشبورد'!$B$9)))</f>
        <v/>
      </c>
      <c r="V1491">
        <f>--($D1491=IF('الداشبورد'!$B$10="الكل",$D1491,'الداشبورد'!$B$10))</f>
        <v/>
      </c>
      <c r="W1491">
        <f>--($G1491=IF('الداشبورد'!$B$11="الكل",$G1491,'الداشبورد'!$B$11))</f>
        <v/>
      </c>
      <c r="X1491">
        <f>Q1491*R1491*S1491*T1491*U1491*V1491*W1491*--($C1491&lt;&gt;"")</f>
        <v/>
      </c>
    </row>
    <row r="1492">
      <c r="Q1492">
        <f>--($A1492=IF('الداشبورد'!$B$5="الكل",$A1492,'الداشبورد'!$B$5))</f>
        <v/>
      </c>
      <c r="R1492">
        <f>--($E1492=IF('الداشبورد'!$B$6="الكل",$E1492,'الداشبورد'!$B$6))</f>
        <v/>
      </c>
      <c r="S1492">
        <f>--($K1492=IF('الداشبورد'!$B$7="الكل",$K1492,IF('الداشبورد'!$B$7="تصدير","Y","N")))</f>
        <v/>
      </c>
      <c r="T1492">
        <f>--($J1492=IF('الداشبورد'!$B$8="الكل",$J1492,IF('الداشبورد'!$B$8="AL","A","C")))</f>
        <v/>
      </c>
      <c r="U1492">
        <f>--($I1492=IF('الداشبورد'!$B$9="الكل",$I1492,IF('الداشبورد'!$B$9="بدون حالة","P",'الداشبورد'!$B$9)))</f>
        <v/>
      </c>
      <c r="V1492">
        <f>--($D1492=IF('الداشبورد'!$B$10="الكل",$D1492,'الداشبورد'!$B$10))</f>
        <v/>
      </c>
      <c r="W1492">
        <f>--($G1492=IF('الداشبورد'!$B$11="الكل",$G1492,'الداشبورد'!$B$11))</f>
        <v/>
      </c>
      <c r="X1492">
        <f>Q1492*R1492*S1492*T1492*U1492*V1492*W1492*--($C1492&lt;&gt;"")</f>
        <v/>
      </c>
    </row>
    <row r="1493">
      <c r="Q1493">
        <f>--($A1493=IF('الداشبورد'!$B$5="الكل",$A1493,'الداشبورد'!$B$5))</f>
        <v/>
      </c>
      <c r="R1493">
        <f>--($E1493=IF('الداشبورد'!$B$6="الكل",$E1493,'الداشبورد'!$B$6))</f>
        <v/>
      </c>
      <c r="S1493">
        <f>--($K1493=IF('الداشبورد'!$B$7="الكل",$K1493,IF('الداشبورد'!$B$7="تصدير","Y","N")))</f>
        <v/>
      </c>
      <c r="T1493">
        <f>--($J1493=IF('الداشبورد'!$B$8="الكل",$J1493,IF('الداشبورد'!$B$8="AL","A","C")))</f>
        <v/>
      </c>
      <c r="U1493">
        <f>--($I1493=IF('الداشبورد'!$B$9="الكل",$I1493,IF('الداشبورد'!$B$9="بدون حالة","P",'الداشبورد'!$B$9)))</f>
        <v/>
      </c>
      <c r="V1493">
        <f>--($D1493=IF('الداشبورد'!$B$10="الكل",$D1493,'الداشبورد'!$B$10))</f>
        <v/>
      </c>
      <c r="W1493">
        <f>--($G1493=IF('الداشبورد'!$B$11="الكل",$G1493,'الداشبورد'!$B$11))</f>
        <v/>
      </c>
      <c r="X1493">
        <f>Q1493*R1493*S1493*T1493*U1493*V1493*W1493*--($C1493&lt;&gt;"")</f>
        <v/>
      </c>
    </row>
    <row r="1494">
      <c r="Q1494">
        <f>--($A1494=IF('الداشبورد'!$B$5="الكل",$A1494,'الداشبورد'!$B$5))</f>
        <v/>
      </c>
      <c r="R1494">
        <f>--($E1494=IF('الداشبورد'!$B$6="الكل",$E1494,'الداشبورد'!$B$6))</f>
        <v/>
      </c>
      <c r="S1494">
        <f>--($K1494=IF('الداشبورد'!$B$7="الكل",$K1494,IF('الداشبورد'!$B$7="تصدير","Y","N")))</f>
        <v/>
      </c>
      <c r="T1494">
        <f>--($J1494=IF('الداشبورد'!$B$8="الكل",$J1494,IF('الداشبورد'!$B$8="AL","A","C")))</f>
        <v/>
      </c>
      <c r="U1494">
        <f>--($I1494=IF('الداشبورد'!$B$9="الكل",$I1494,IF('الداشبورد'!$B$9="بدون حالة","P",'الداشبورد'!$B$9)))</f>
        <v/>
      </c>
      <c r="V1494">
        <f>--($D1494=IF('الداشبورد'!$B$10="الكل",$D1494,'الداشبورد'!$B$10))</f>
        <v/>
      </c>
      <c r="W1494">
        <f>--($G1494=IF('الداشبورد'!$B$11="الكل",$G1494,'الداشبورد'!$B$11))</f>
        <v/>
      </c>
      <c r="X1494">
        <f>Q1494*R1494*S1494*T1494*U1494*V1494*W1494*--($C1494&lt;&gt;"")</f>
        <v/>
      </c>
    </row>
    <row r="1495">
      <c r="Q1495">
        <f>--($A1495=IF('الداشبورد'!$B$5="الكل",$A1495,'الداشبورد'!$B$5))</f>
        <v/>
      </c>
      <c r="R1495">
        <f>--($E1495=IF('الداشبورد'!$B$6="الكل",$E1495,'الداشبورد'!$B$6))</f>
        <v/>
      </c>
      <c r="S1495">
        <f>--($K1495=IF('الداشبورد'!$B$7="الكل",$K1495,IF('الداشبورد'!$B$7="تصدير","Y","N")))</f>
        <v/>
      </c>
      <c r="T1495">
        <f>--($J1495=IF('الداشبورد'!$B$8="الكل",$J1495,IF('الداشبورد'!$B$8="AL","A","C")))</f>
        <v/>
      </c>
      <c r="U1495">
        <f>--($I1495=IF('الداشبورد'!$B$9="الكل",$I1495,IF('الداشبورد'!$B$9="بدون حالة","P",'الداشبورد'!$B$9)))</f>
        <v/>
      </c>
      <c r="V1495">
        <f>--($D1495=IF('الداشبورد'!$B$10="الكل",$D1495,'الداشبورد'!$B$10))</f>
        <v/>
      </c>
      <c r="W1495">
        <f>--($G1495=IF('الداشبورد'!$B$11="الكل",$G1495,'الداشبورد'!$B$11))</f>
        <v/>
      </c>
      <c r="X1495">
        <f>Q1495*R1495*S1495*T1495*U1495*V1495*W1495*--($C1495&lt;&gt;"")</f>
        <v/>
      </c>
    </row>
    <row r="1496">
      <c r="Q1496">
        <f>--($A1496=IF('الداشبورد'!$B$5="الكل",$A1496,'الداشبورد'!$B$5))</f>
        <v/>
      </c>
      <c r="R1496">
        <f>--($E1496=IF('الداشبورد'!$B$6="الكل",$E1496,'الداشبورد'!$B$6))</f>
        <v/>
      </c>
      <c r="S1496">
        <f>--($K1496=IF('الداشبورد'!$B$7="الكل",$K1496,IF('الداشبورد'!$B$7="تصدير","Y","N")))</f>
        <v/>
      </c>
      <c r="T1496">
        <f>--($J1496=IF('الداشبورد'!$B$8="الكل",$J1496,IF('الداشبورد'!$B$8="AL","A","C")))</f>
        <v/>
      </c>
      <c r="U1496">
        <f>--($I1496=IF('الداشبورد'!$B$9="الكل",$I1496,IF('الداشبورد'!$B$9="بدون حالة","P",'الداشبورد'!$B$9)))</f>
        <v/>
      </c>
      <c r="V1496">
        <f>--($D1496=IF('الداشبورد'!$B$10="الكل",$D1496,'الداشبورد'!$B$10))</f>
        <v/>
      </c>
      <c r="W1496">
        <f>--($G1496=IF('الداشبورد'!$B$11="الكل",$G1496,'الداشبورد'!$B$11))</f>
        <v/>
      </c>
      <c r="X1496">
        <f>Q1496*R1496*S1496*T1496*U1496*V1496*W1496*--($C1496&lt;&gt;"")</f>
        <v/>
      </c>
    </row>
    <row r="1497">
      <c r="Q1497">
        <f>--($A1497=IF('الداشبورد'!$B$5="الكل",$A1497,'الداشبورد'!$B$5))</f>
        <v/>
      </c>
      <c r="R1497">
        <f>--($E1497=IF('الداشبورد'!$B$6="الكل",$E1497,'الداشبورد'!$B$6))</f>
        <v/>
      </c>
      <c r="S1497">
        <f>--($K1497=IF('الداشبورد'!$B$7="الكل",$K1497,IF('الداشبورد'!$B$7="تصدير","Y","N")))</f>
        <v/>
      </c>
      <c r="T1497">
        <f>--($J1497=IF('الداشبورد'!$B$8="الكل",$J1497,IF('الداشبورد'!$B$8="AL","A","C")))</f>
        <v/>
      </c>
      <c r="U1497">
        <f>--($I1497=IF('الداشبورد'!$B$9="الكل",$I1497,IF('الداشبورد'!$B$9="بدون حالة","P",'الداشبورد'!$B$9)))</f>
        <v/>
      </c>
      <c r="V1497">
        <f>--($D1497=IF('الداشبورد'!$B$10="الكل",$D1497,'الداشبورد'!$B$10))</f>
        <v/>
      </c>
      <c r="W1497">
        <f>--($G1497=IF('الداشبورد'!$B$11="الكل",$G1497,'الداشبورد'!$B$11))</f>
        <v/>
      </c>
      <c r="X1497">
        <f>Q1497*R1497*S1497*T1497*U1497*V1497*W1497*--($C1497&lt;&gt;"")</f>
        <v/>
      </c>
    </row>
    <row r="1498">
      <c r="Q1498">
        <f>--($A1498=IF('الداشبورد'!$B$5="الكل",$A1498,'الداشبورد'!$B$5))</f>
        <v/>
      </c>
      <c r="R1498">
        <f>--($E1498=IF('الداشبورد'!$B$6="الكل",$E1498,'الداشبورد'!$B$6))</f>
        <v/>
      </c>
      <c r="S1498">
        <f>--($K1498=IF('الداشبورد'!$B$7="الكل",$K1498,IF('الداشبورد'!$B$7="تصدير","Y","N")))</f>
        <v/>
      </c>
      <c r="T1498">
        <f>--($J1498=IF('الداشبورد'!$B$8="الكل",$J1498,IF('الداشبورد'!$B$8="AL","A","C")))</f>
        <v/>
      </c>
      <c r="U1498">
        <f>--($I1498=IF('الداشبورد'!$B$9="الكل",$I1498,IF('الداشبورد'!$B$9="بدون حالة","P",'الداشبورد'!$B$9)))</f>
        <v/>
      </c>
      <c r="V1498">
        <f>--($D1498=IF('الداشبورد'!$B$10="الكل",$D1498,'الداشبورد'!$B$10))</f>
        <v/>
      </c>
      <c r="W1498">
        <f>--($G1498=IF('الداشبورد'!$B$11="الكل",$G1498,'الداشبورد'!$B$11))</f>
        <v/>
      </c>
      <c r="X1498">
        <f>Q1498*R1498*S1498*T1498*U1498*V1498*W1498*--($C1498&lt;&gt;"")</f>
        <v/>
      </c>
    </row>
    <row r="1499">
      <c r="Q1499">
        <f>--($A1499=IF('الداشبورد'!$B$5="الكل",$A1499,'الداشبورد'!$B$5))</f>
        <v/>
      </c>
      <c r="R1499">
        <f>--($E1499=IF('الداشبورد'!$B$6="الكل",$E1499,'الداشبورد'!$B$6))</f>
        <v/>
      </c>
      <c r="S1499">
        <f>--($K1499=IF('الداشبورد'!$B$7="الكل",$K1499,IF('الداشبورد'!$B$7="تصدير","Y","N")))</f>
        <v/>
      </c>
      <c r="T1499">
        <f>--($J1499=IF('الداشبورد'!$B$8="الكل",$J1499,IF('الداشبورد'!$B$8="AL","A","C")))</f>
        <v/>
      </c>
      <c r="U1499">
        <f>--($I1499=IF('الداشبورد'!$B$9="الكل",$I1499,IF('الداشبورد'!$B$9="بدون حالة","P",'الداشبورد'!$B$9)))</f>
        <v/>
      </c>
      <c r="V1499">
        <f>--($D1499=IF('الداشبورد'!$B$10="الكل",$D1499,'الداشبورد'!$B$10))</f>
        <v/>
      </c>
      <c r="W1499">
        <f>--($G1499=IF('الداشبورد'!$B$11="الكل",$G1499,'الداشبورد'!$B$11))</f>
        <v/>
      </c>
      <c r="X1499">
        <f>Q1499*R1499*S1499*T1499*U1499*V1499*W1499*--($C1499&lt;&gt;"")</f>
        <v/>
      </c>
    </row>
    <row r="1500">
      <c r="Q1500">
        <f>--($A1500=IF('الداشبورد'!$B$5="الكل",$A1500,'الداشبورد'!$B$5))</f>
        <v/>
      </c>
      <c r="R1500">
        <f>--($E1500=IF('الداشبورد'!$B$6="الكل",$E1500,'الداشبورد'!$B$6))</f>
        <v/>
      </c>
      <c r="S1500">
        <f>--($K1500=IF('الداشبورد'!$B$7="الكل",$K1500,IF('الداشبورد'!$B$7="تصدير","Y","N")))</f>
        <v/>
      </c>
      <c r="T1500">
        <f>--($J1500=IF('الداشبورد'!$B$8="الكل",$J1500,IF('الداشبورد'!$B$8="AL","A","C")))</f>
        <v/>
      </c>
      <c r="U1500">
        <f>--($I1500=IF('الداشبورد'!$B$9="الكل",$I1500,IF('الداشبورد'!$B$9="بدون حالة","P",'الداشبورد'!$B$9)))</f>
        <v/>
      </c>
      <c r="V1500">
        <f>--($D1500=IF('الداشبورد'!$B$10="الكل",$D1500,'الداشبورد'!$B$10))</f>
        <v/>
      </c>
      <c r="W1500">
        <f>--($G1500=IF('الداشبورد'!$B$11="الكل",$G1500,'الداشبورد'!$B$11))</f>
        <v/>
      </c>
      <c r="X1500">
        <f>Q1500*R1500*S1500*T1500*U1500*V1500*W1500*--($C1500&lt;&gt;"")</f>
        <v/>
      </c>
    </row>
    <row r="1501">
      <c r="Q1501">
        <f>--($A1501=IF('الداشبورد'!$B$5="الكل",$A1501,'الداشبورد'!$B$5))</f>
        <v/>
      </c>
      <c r="R1501">
        <f>--($E1501=IF('الداشبورد'!$B$6="الكل",$E1501,'الداشبورد'!$B$6))</f>
        <v/>
      </c>
      <c r="S1501">
        <f>--($K1501=IF('الداشبورد'!$B$7="الكل",$K1501,IF('الداشبورد'!$B$7="تصدير","Y","N")))</f>
        <v/>
      </c>
      <c r="T1501">
        <f>--($J1501=IF('الداشبورد'!$B$8="الكل",$J1501,IF('الداشبورد'!$B$8="AL","A","C")))</f>
        <v/>
      </c>
      <c r="U1501">
        <f>--($I1501=IF('الداشبورد'!$B$9="الكل",$I1501,IF('الداشبورد'!$B$9="بدون حالة","P",'الداشبورد'!$B$9)))</f>
        <v/>
      </c>
      <c r="V1501">
        <f>--($D1501=IF('الداشبورد'!$B$10="الكل",$D1501,'الداشبورد'!$B$10))</f>
        <v/>
      </c>
      <c r="W1501">
        <f>--($G1501=IF('الداشبورد'!$B$11="الكل",$G1501,'الداشبورد'!$B$11))</f>
        <v/>
      </c>
      <c r="X1501">
        <f>Q1501*R1501*S1501*T1501*U1501*V1501*W1501*--($C1501&lt;&gt;"")</f>
        <v/>
      </c>
    </row>
    <row r="1502">
      <c r="Q1502">
        <f>--($A1502=IF('الداشبورد'!$B$5="الكل",$A1502,'الداشبورد'!$B$5))</f>
        <v/>
      </c>
      <c r="R1502">
        <f>--($E1502=IF('الداشبورد'!$B$6="الكل",$E1502,'الداشبورد'!$B$6))</f>
        <v/>
      </c>
      <c r="S1502">
        <f>--($K1502=IF('الداشبورد'!$B$7="الكل",$K1502,IF('الداشبورد'!$B$7="تصدير","Y","N")))</f>
        <v/>
      </c>
      <c r="T1502">
        <f>--($J1502=IF('الداشبورد'!$B$8="الكل",$J1502,IF('الداشبورد'!$B$8="AL","A","C")))</f>
        <v/>
      </c>
      <c r="U1502">
        <f>--($I1502=IF('الداشبورد'!$B$9="الكل",$I1502,IF('الداشبورد'!$B$9="بدون حالة","P",'الداشبورد'!$B$9)))</f>
        <v/>
      </c>
      <c r="V1502">
        <f>--($D1502=IF('الداشبورد'!$B$10="الكل",$D1502,'الداشبورد'!$B$10))</f>
        <v/>
      </c>
      <c r="W1502">
        <f>--($G1502=IF('الداشبورد'!$B$11="الكل",$G1502,'الداشبورد'!$B$11))</f>
        <v/>
      </c>
      <c r="X1502">
        <f>Q1502*R1502*S1502*T1502*U1502*V1502*W1502*--($C1502&lt;&gt;"")</f>
        <v/>
      </c>
    </row>
    <row r="1503">
      <c r="Q1503">
        <f>--($A1503=IF('الداشبورد'!$B$5="الكل",$A1503,'الداشبورد'!$B$5))</f>
        <v/>
      </c>
      <c r="R1503">
        <f>--($E1503=IF('الداشبورد'!$B$6="الكل",$E1503,'الداشبورد'!$B$6))</f>
        <v/>
      </c>
      <c r="S1503">
        <f>--($K1503=IF('الداشبورد'!$B$7="الكل",$K1503,IF('الداشبورد'!$B$7="تصدير","Y","N")))</f>
        <v/>
      </c>
      <c r="T1503">
        <f>--($J1503=IF('الداشبورد'!$B$8="الكل",$J1503,IF('الداشبورد'!$B$8="AL","A","C")))</f>
        <v/>
      </c>
      <c r="U1503">
        <f>--($I1503=IF('الداشبورد'!$B$9="الكل",$I1503,IF('الداشبورد'!$B$9="بدون حالة","P",'الداشبورد'!$B$9)))</f>
        <v/>
      </c>
      <c r="V1503">
        <f>--($D1503=IF('الداشبورد'!$B$10="الكل",$D1503,'الداشبورد'!$B$10))</f>
        <v/>
      </c>
      <c r="W1503">
        <f>--($G1503=IF('الداشبورد'!$B$11="الكل",$G1503,'الداشبورد'!$B$11))</f>
        <v/>
      </c>
      <c r="X1503">
        <f>Q1503*R1503*S1503*T1503*U1503*V1503*W1503*--($C1503&lt;&gt;"")</f>
        <v/>
      </c>
    </row>
    <row r="1504">
      <c r="Q1504">
        <f>--($A1504=IF('الداشبورد'!$B$5="الكل",$A1504,'الداشبورد'!$B$5))</f>
        <v/>
      </c>
      <c r="R1504">
        <f>--($E1504=IF('الداشبورد'!$B$6="الكل",$E1504,'الداشبورد'!$B$6))</f>
        <v/>
      </c>
      <c r="S1504">
        <f>--($K1504=IF('الداشبورد'!$B$7="الكل",$K1504,IF('الداشبورد'!$B$7="تصدير","Y","N")))</f>
        <v/>
      </c>
      <c r="T1504">
        <f>--($J1504=IF('الداشبورد'!$B$8="الكل",$J1504,IF('الداشبورد'!$B$8="AL","A","C")))</f>
        <v/>
      </c>
      <c r="U1504">
        <f>--($I1504=IF('الداشبورد'!$B$9="الكل",$I1504,IF('الداشبورد'!$B$9="بدون حالة","P",'الداشبورد'!$B$9)))</f>
        <v/>
      </c>
      <c r="V1504">
        <f>--($D1504=IF('الداشبورد'!$B$10="الكل",$D1504,'الداشبورد'!$B$10))</f>
        <v/>
      </c>
      <c r="W1504">
        <f>--($G1504=IF('الداشبورد'!$B$11="الكل",$G1504,'الداشبورد'!$B$11))</f>
        <v/>
      </c>
      <c r="X1504">
        <f>Q1504*R1504*S1504*T1504*U1504*V1504*W1504*--($C1504&lt;&gt;"")</f>
        <v/>
      </c>
    </row>
    <row r="1505">
      <c r="Q1505">
        <f>--($A1505=IF('الداشبورد'!$B$5="الكل",$A1505,'الداشبورد'!$B$5))</f>
        <v/>
      </c>
      <c r="R1505">
        <f>--($E1505=IF('الداشبورد'!$B$6="الكل",$E1505,'الداشبورد'!$B$6))</f>
        <v/>
      </c>
      <c r="S1505">
        <f>--($K1505=IF('الداشبورد'!$B$7="الكل",$K1505,IF('الداشبورد'!$B$7="تصدير","Y","N")))</f>
        <v/>
      </c>
      <c r="T1505">
        <f>--($J1505=IF('الداشبورد'!$B$8="الكل",$J1505,IF('الداشبورد'!$B$8="AL","A","C")))</f>
        <v/>
      </c>
      <c r="U1505">
        <f>--($I1505=IF('الداشبورد'!$B$9="الكل",$I1505,IF('الداشبورد'!$B$9="بدون حالة","P",'الداشبورد'!$B$9)))</f>
        <v/>
      </c>
      <c r="V1505">
        <f>--($D1505=IF('الداشبورد'!$B$10="الكل",$D1505,'الداشبورد'!$B$10))</f>
        <v/>
      </c>
      <c r="W1505">
        <f>--($G1505=IF('الداشبورد'!$B$11="الكل",$G1505,'الداشبورد'!$B$11))</f>
        <v/>
      </c>
      <c r="X1505">
        <f>Q1505*R1505*S1505*T1505*U1505*V1505*W1505*--($C1505&lt;&gt;"")</f>
        <v/>
      </c>
    </row>
    <row r="1506">
      <c r="Q1506">
        <f>--($A1506=IF('الداشبورد'!$B$5="الكل",$A1506,'الداشبورد'!$B$5))</f>
        <v/>
      </c>
      <c r="R1506">
        <f>--($E1506=IF('الداشبورد'!$B$6="الكل",$E1506,'الداشبورد'!$B$6))</f>
        <v/>
      </c>
      <c r="S1506">
        <f>--($K1506=IF('الداشبورد'!$B$7="الكل",$K1506,IF('الداشبورد'!$B$7="تصدير","Y","N")))</f>
        <v/>
      </c>
      <c r="T1506">
        <f>--($J1506=IF('الداشبورد'!$B$8="الكل",$J1506,IF('الداشبورد'!$B$8="AL","A","C")))</f>
        <v/>
      </c>
      <c r="U1506">
        <f>--($I1506=IF('الداشبورد'!$B$9="الكل",$I1506,IF('الداشبورد'!$B$9="بدون حالة","P",'الداشبورد'!$B$9)))</f>
        <v/>
      </c>
      <c r="V1506">
        <f>--($D1506=IF('الداشبورد'!$B$10="الكل",$D1506,'الداشبورد'!$B$10))</f>
        <v/>
      </c>
      <c r="W1506">
        <f>--($G1506=IF('الداشبورد'!$B$11="الكل",$G1506,'الداشبورد'!$B$11))</f>
        <v/>
      </c>
      <c r="X1506">
        <f>Q1506*R1506*S1506*T1506*U1506*V1506*W1506*--($C1506&lt;&gt;"")</f>
        <v/>
      </c>
    </row>
    <row r="1507">
      <c r="Q1507">
        <f>--($A1507=IF('الداشبورد'!$B$5="الكل",$A1507,'الداشبورد'!$B$5))</f>
        <v/>
      </c>
      <c r="R1507">
        <f>--($E1507=IF('الداشبورد'!$B$6="الكل",$E1507,'الداشبورد'!$B$6))</f>
        <v/>
      </c>
      <c r="S1507">
        <f>--($K1507=IF('الداشبورد'!$B$7="الكل",$K1507,IF('الداشبورد'!$B$7="تصدير","Y","N")))</f>
        <v/>
      </c>
      <c r="T1507">
        <f>--($J1507=IF('الداشبورد'!$B$8="الكل",$J1507,IF('الداشبورد'!$B$8="AL","A","C")))</f>
        <v/>
      </c>
      <c r="U1507">
        <f>--($I1507=IF('الداشبورد'!$B$9="الكل",$I1507,IF('الداشبورد'!$B$9="بدون حالة","P",'الداشبورد'!$B$9)))</f>
        <v/>
      </c>
      <c r="V1507">
        <f>--($D1507=IF('الداشبورد'!$B$10="الكل",$D1507,'الداشبورد'!$B$10))</f>
        <v/>
      </c>
      <c r="W1507">
        <f>--($G1507=IF('الداشبورد'!$B$11="الكل",$G1507,'الداشبورد'!$B$11))</f>
        <v/>
      </c>
      <c r="X1507">
        <f>Q1507*R1507*S1507*T1507*U1507*V1507*W1507*--($C1507&lt;&gt;"")</f>
        <v/>
      </c>
    </row>
    <row r="1508">
      <c r="Q1508">
        <f>--($A1508=IF('الداشبورد'!$B$5="الكل",$A1508,'الداشبورد'!$B$5))</f>
        <v/>
      </c>
      <c r="R1508">
        <f>--($E1508=IF('الداشبورد'!$B$6="الكل",$E1508,'الداشبورد'!$B$6))</f>
        <v/>
      </c>
      <c r="S1508">
        <f>--($K1508=IF('الداشبورد'!$B$7="الكل",$K1508,IF('الداشبورد'!$B$7="تصدير","Y","N")))</f>
        <v/>
      </c>
      <c r="T1508">
        <f>--($J1508=IF('الداشبورد'!$B$8="الكل",$J1508,IF('الداشبورد'!$B$8="AL","A","C")))</f>
        <v/>
      </c>
      <c r="U1508">
        <f>--($I1508=IF('الداشبورد'!$B$9="الكل",$I1508,IF('الداشبورد'!$B$9="بدون حالة","P",'الداشبورد'!$B$9)))</f>
        <v/>
      </c>
      <c r="V1508">
        <f>--($D1508=IF('الداشبورد'!$B$10="الكل",$D1508,'الداشبورد'!$B$10))</f>
        <v/>
      </c>
      <c r="W1508">
        <f>--($G1508=IF('الداشبورد'!$B$11="الكل",$G1508,'الداشبورد'!$B$11))</f>
        <v/>
      </c>
      <c r="X1508">
        <f>Q1508*R1508*S1508*T1508*U1508*V1508*W1508*--($C1508&lt;&gt;"")</f>
        <v/>
      </c>
    </row>
    <row r="1509">
      <c r="Q1509">
        <f>--($A1509=IF('الداشبورد'!$B$5="الكل",$A1509,'الداشبورد'!$B$5))</f>
        <v/>
      </c>
      <c r="R1509">
        <f>--($E1509=IF('الداشبورد'!$B$6="الكل",$E1509,'الداشبورد'!$B$6))</f>
        <v/>
      </c>
      <c r="S1509">
        <f>--($K1509=IF('الداشبورد'!$B$7="الكل",$K1509,IF('الداشبورد'!$B$7="تصدير","Y","N")))</f>
        <v/>
      </c>
      <c r="T1509">
        <f>--($J1509=IF('الداشبورد'!$B$8="الكل",$J1509,IF('الداشبورد'!$B$8="AL","A","C")))</f>
        <v/>
      </c>
      <c r="U1509">
        <f>--($I1509=IF('الداشبورد'!$B$9="الكل",$I1509,IF('الداشبورد'!$B$9="بدون حالة","P",'الداشبورد'!$B$9)))</f>
        <v/>
      </c>
      <c r="V1509">
        <f>--($D1509=IF('الداشبورد'!$B$10="الكل",$D1509,'الداشبورد'!$B$10))</f>
        <v/>
      </c>
      <c r="W1509">
        <f>--($G1509=IF('الداشبورد'!$B$11="الكل",$G1509,'الداشبورد'!$B$11))</f>
        <v/>
      </c>
      <c r="X1509">
        <f>Q1509*R1509*S1509*T1509*U1509*V1509*W1509*--($C1509&lt;&gt;"")</f>
        <v/>
      </c>
    </row>
    <row r="1510">
      <c r="Q1510">
        <f>--($A1510=IF('الداشبورد'!$B$5="الكل",$A1510,'الداشبورد'!$B$5))</f>
        <v/>
      </c>
      <c r="R1510">
        <f>--($E1510=IF('الداشبورد'!$B$6="الكل",$E1510,'الداشبورد'!$B$6))</f>
        <v/>
      </c>
      <c r="S1510">
        <f>--($K1510=IF('الداشبورد'!$B$7="الكل",$K1510,IF('الداشبورد'!$B$7="تصدير","Y","N")))</f>
        <v/>
      </c>
      <c r="T1510">
        <f>--($J1510=IF('الداشبورد'!$B$8="الكل",$J1510,IF('الداشبورد'!$B$8="AL","A","C")))</f>
        <v/>
      </c>
      <c r="U1510">
        <f>--($I1510=IF('الداشبورد'!$B$9="الكل",$I1510,IF('الداشبورد'!$B$9="بدون حالة","P",'الداشبورد'!$B$9)))</f>
        <v/>
      </c>
      <c r="V1510">
        <f>--($D1510=IF('الداشبورد'!$B$10="الكل",$D1510,'الداشبورد'!$B$10))</f>
        <v/>
      </c>
      <c r="W1510">
        <f>--($G1510=IF('الداشبورد'!$B$11="الكل",$G1510,'الداشبورد'!$B$11))</f>
        <v/>
      </c>
      <c r="X1510">
        <f>Q1510*R1510*S1510*T1510*U1510*V1510*W1510*--($C1510&lt;&gt;"")</f>
        <v/>
      </c>
    </row>
    <row r="1511">
      <c r="Q1511">
        <f>--($A1511=IF('الداشبورد'!$B$5="الكل",$A1511,'الداشبورد'!$B$5))</f>
        <v/>
      </c>
      <c r="R1511">
        <f>--($E1511=IF('الداشبورد'!$B$6="الكل",$E1511,'الداشبورد'!$B$6))</f>
        <v/>
      </c>
      <c r="S1511">
        <f>--($K1511=IF('الداشبورد'!$B$7="الكل",$K1511,IF('الداشبورد'!$B$7="تصدير","Y","N")))</f>
        <v/>
      </c>
      <c r="T1511">
        <f>--($J1511=IF('الداشبورد'!$B$8="الكل",$J1511,IF('الداشبورد'!$B$8="AL","A","C")))</f>
        <v/>
      </c>
      <c r="U1511">
        <f>--($I1511=IF('الداشبورد'!$B$9="الكل",$I1511,IF('الداشبورد'!$B$9="بدون حالة","P",'الداشبورد'!$B$9)))</f>
        <v/>
      </c>
      <c r="V1511">
        <f>--($D1511=IF('الداشبورد'!$B$10="الكل",$D1511,'الداشبورد'!$B$10))</f>
        <v/>
      </c>
      <c r="W1511">
        <f>--($G1511=IF('الداشبورد'!$B$11="الكل",$G1511,'الداشبورد'!$B$11))</f>
        <v/>
      </c>
      <c r="X1511">
        <f>Q1511*R1511*S1511*T1511*U1511*V1511*W1511*--($C1511&lt;&gt;"")</f>
        <v/>
      </c>
    </row>
    <row r="1512">
      <c r="Q1512">
        <f>--($A1512=IF('الداشبورد'!$B$5="الكل",$A1512,'الداشبورد'!$B$5))</f>
        <v/>
      </c>
      <c r="R1512">
        <f>--($E1512=IF('الداشبورد'!$B$6="الكل",$E1512,'الداشبورد'!$B$6))</f>
        <v/>
      </c>
      <c r="S1512">
        <f>--($K1512=IF('الداشبورد'!$B$7="الكل",$K1512,IF('الداشبورد'!$B$7="تصدير","Y","N")))</f>
        <v/>
      </c>
      <c r="T1512">
        <f>--($J1512=IF('الداشبورد'!$B$8="الكل",$J1512,IF('الداشبورد'!$B$8="AL","A","C")))</f>
        <v/>
      </c>
      <c r="U1512">
        <f>--($I1512=IF('الداشبورد'!$B$9="الكل",$I1512,IF('الداشبورد'!$B$9="بدون حالة","P",'الداشبورد'!$B$9)))</f>
        <v/>
      </c>
      <c r="V1512">
        <f>--($D1512=IF('الداشبورد'!$B$10="الكل",$D1512,'الداشبورد'!$B$10))</f>
        <v/>
      </c>
      <c r="W1512">
        <f>--($G1512=IF('الداشبورد'!$B$11="الكل",$G1512,'الداشبورد'!$B$11))</f>
        <v/>
      </c>
      <c r="X1512">
        <f>Q1512*R1512*S1512*T1512*U1512*V1512*W1512*--($C1512&lt;&gt;"")</f>
        <v/>
      </c>
    </row>
    <row r="1513">
      <c r="Q1513">
        <f>--($A1513=IF('الداشبورد'!$B$5="الكل",$A1513,'الداشبورد'!$B$5))</f>
        <v/>
      </c>
      <c r="R1513">
        <f>--($E1513=IF('الداشبورد'!$B$6="الكل",$E1513,'الداشبورد'!$B$6))</f>
        <v/>
      </c>
      <c r="S1513">
        <f>--($K1513=IF('الداشبورد'!$B$7="الكل",$K1513,IF('الداشبورد'!$B$7="تصدير","Y","N")))</f>
        <v/>
      </c>
      <c r="T1513">
        <f>--($J1513=IF('الداشبورد'!$B$8="الكل",$J1513,IF('الداشبورد'!$B$8="AL","A","C")))</f>
        <v/>
      </c>
      <c r="U1513">
        <f>--($I1513=IF('الداشبورد'!$B$9="الكل",$I1513,IF('الداشبورد'!$B$9="بدون حالة","P",'الداشبورد'!$B$9)))</f>
        <v/>
      </c>
      <c r="V1513">
        <f>--($D1513=IF('الداشبورد'!$B$10="الكل",$D1513,'الداشبورد'!$B$10))</f>
        <v/>
      </c>
      <c r="W1513">
        <f>--($G1513=IF('الداشبورد'!$B$11="الكل",$G1513,'الداشبورد'!$B$11))</f>
        <v/>
      </c>
      <c r="X1513">
        <f>Q1513*R1513*S1513*T1513*U1513*V1513*W1513*--($C1513&lt;&gt;"")</f>
        <v/>
      </c>
    </row>
    <row r="1514">
      <c r="Q1514">
        <f>--($A1514=IF('الداشبورد'!$B$5="الكل",$A1514,'الداشبورد'!$B$5))</f>
        <v/>
      </c>
      <c r="R1514">
        <f>--($E1514=IF('الداشبورد'!$B$6="الكل",$E1514,'الداشبورد'!$B$6))</f>
        <v/>
      </c>
      <c r="S1514">
        <f>--($K1514=IF('الداشبورد'!$B$7="الكل",$K1514,IF('الداشبورد'!$B$7="تصدير","Y","N")))</f>
        <v/>
      </c>
      <c r="T1514">
        <f>--($J1514=IF('الداشبورد'!$B$8="الكل",$J1514,IF('الداشبورد'!$B$8="AL","A","C")))</f>
        <v/>
      </c>
      <c r="U1514">
        <f>--($I1514=IF('الداشبورد'!$B$9="الكل",$I1514,IF('الداشبورد'!$B$9="بدون حالة","P",'الداشبورد'!$B$9)))</f>
        <v/>
      </c>
      <c r="V1514">
        <f>--($D1514=IF('الداشبورد'!$B$10="الكل",$D1514,'الداشبورد'!$B$10))</f>
        <v/>
      </c>
      <c r="W1514">
        <f>--($G1514=IF('الداشبورد'!$B$11="الكل",$G1514,'الداشبورد'!$B$11))</f>
        <v/>
      </c>
      <c r="X1514">
        <f>Q1514*R1514*S1514*T1514*U1514*V1514*W1514*--($C1514&lt;&gt;"")</f>
        <v/>
      </c>
    </row>
    <row r="1515">
      <c r="Q1515">
        <f>--($A1515=IF('الداشبورد'!$B$5="الكل",$A1515,'الداشبورد'!$B$5))</f>
        <v/>
      </c>
      <c r="R1515">
        <f>--($E1515=IF('الداشبورد'!$B$6="الكل",$E1515,'الداشبورد'!$B$6))</f>
        <v/>
      </c>
      <c r="S1515">
        <f>--($K1515=IF('الداشبورد'!$B$7="الكل",$K1515,IF('الداشبورد'!$B$7="تصدير","Y","N")))</f>
        <v/>
      </c>
      <c r="T1515">
        <f>--($J1515=IF('الداشبورد'!$B$8="الكل",$J1515,IF('الداشبورد'!$B$8="AL","A","C")))</f>
        <v/>
      </c>
      <c r="U1515">
        <f>--($I1515=IF('الداشبورد'!$B$9="الكل",$I1515,IF('الداشبورد'!$B$9="بدون حالة","P",'الداشبورد'!$B$9)))</f>
        <v/>
      </c>
      <c r="V1515">
        <f>--($D1515=IF('الداشبورد'!$B$10="الكل",$D1515,'الداشبورد'!$B$10))</f>
        <v/>
      </c>
      <c r="W1515">
        <f>--($G1515=IF('الداشبورد'!$B$11="الكل",$G1515,'الداشبورد'!$B$11))</f>
        <v/>
      </c>
      <c r="X1515">
        <f>Q1515*R1515*S1515*T1515*U1515*V1515*W1515*--($C1515&lt;&gt;"")</f>
        <v/>
      </c>
    </row>
    <row r="1516">
      <c r="Q1516">
        <f>--($A1516=IF('الداشبورد'!$B$5="الكل",$A1516,'الداشبورد'!$B$5))</f>
        <v/>
      </c>
      <c r="R1516">
        <f>--($E1516=IF('الداشبورد'!$B$6="الكل",$E1516,'الداشبورد'!$B$6))</f>
        <v/>
      </c>
      <c r="S1516">
        <f>--($K1516=IF('الداشبورد'!$B$7="الكل",$K1516,IF('الداشبورد'!$B$7="تصدير","Y","N")))</f>
        <v/>
      </c>
      <c r="T1516">
        <f>--($J1516=IF('الداشبورد'!$B$8="الكل",$J1516,IF('الداشبورد'!$B$8="AL","A","C")))</f>
        <v/>
      </c>
      <c r="U1516">
        <f>--($I1516=IF('الداشبورد'!$B$9="الكل",$I1516,IF('الداشبورد'!$B$9="بدون حالة","P",'الداشبورد'!$B$9)))</f>
        <v/>
      </c>
      <c r="V1516">
        <f>--($D1516=IF('الداشبورد'!$B$10="الكل",$D1516,'الداشبورد'!$B$10))</f>
        <v/>
      </c>
      <c r="W1516">
        <f>--($G1516=IF('الداشبورد'!$B$11="الكل",$G1516,'الداشبورد'!$B$11))</f>
        <v/>
      </c>
      <c r="X1516">
        <f>Q1516*R1516*S1516*T1516*U1516*V1516*W1516*--($C1516&lt;&gt;"")</f>
        <v/>
      </c>
    </row>
    <row r="1517">
      <c r="Q1517">
        <f>--($A1517=IF('الداشبورد'!$B$5="الكل",$A1517,'الداشبورد'!$B$5))</f>
        <v/>
      </c>
      <c r="R1517">
        <f>--($E1517=IF('الداشبورد'!$B$6="الكل",$E1517,'الداشبورد'!$B$6))</f>
        <v/>
      </c>
      <c r="S1517">
        <f>--($K1517=IF('الداشبورد'!$B$7="الكل",$K1517,IF('الداشبورد'!$B$7="تصدير","Y","N")))</f>
        <v/>
      </c>
      <c r="T1517">
        <f>--($J1517=IF('الداشبورد'!$B$8="الكل",$J1517,IF('الداشبورد'!$B$8="AL","A","C")))</f>
        <v/>
      </c>
      <c r="U1517">
        <f>--($I1517=IF('الداشبورد'!$B$9="الكل",$I1517,IF('الداشبورد'!$B$9="بدون حالة","P",'الداشبورد'!$B$9)))</f>
        <v/>
      </c>
      <c r="V1517">
        <f>--($D1517=IF('الداشبورد'!$B$10="الكل",$D1517,'الداشبورد'!$B$10))</f>
        <v/>
      </c>
      <c r="W1517">
        <f>--($G1517=IF('الداشبورد'!$B$11="الكل",$G1517,'الداشبورد'!$B$11))</f>
        <v/>
      </c>
      <c r="X1517">
        <f>Q1517*R1517*S1517*T1517*U1517*V1517*W1517*--($C1517&lt;&gt;"")</f>
        <v/>
      </c>
    </row>
    <row r="1518">
      <c r="Q1518">
        <f>--($A1518=IF('الداشبورد'!$B$5="الكل",$A1518,'الداشبورد'!$B$5))</f>
        <v/>
      </c>
      <c r="R1518">
        <f>--($E1518=IF('الداشبورد'!$B$6="الكل",$E1518,'الداشبورد'!$B$6))</f>
        <v/>
      </c>
      <c r="S1518">
        <f>--($K1518=IF('الداشبورد'!$B$7="الكل",$K1518,IF('الداشبورد'!$B$7="تصدير","Y","N")))</f>
        <v/>
      </c>
      <c r="T1518">
        <f>--($J1518=IF('الداشبورد'!$B$8="الكل",$J1518,IF('الداشبورد'!$B$8="AL","A","C")))</f>
        <v/>
      </c>
      <c r="U1518">
        <f>--($I1518=IF('الداشبورد'!$B$9="الكل",$I1518,IF('الداشبورد'!$B$9="بدون حالة","P",'الداشبورد'!$B$9)))</f>
        <v/>
      </c>
      <c r="V1518">
        <f>--($D1518=IF('الداشبورد'!$B$10="الكل",$D1518,'الداشبورد'!$B$10))</f>
        <v/>
      </c>
      <c r="W1518">
        <f>--($G1518=IF('الداشبورد'!$B$11="الكل",$G1518,'الداشبورد'!$B$11))</f>
        <v/>
      </c>
      <c r="X1518">
        <f>Q1518*R1518*S1518*T1518*U1518*V1518*W1518*--($C1518&lt;&gt;"")</f>
        <v/>
      </c>
    </row>
    <row r="1519">
      <c r="Q1519">
        <f>--($A1519=IF('الداشبورد'!$B$5="الكل",$A1519,'الداشبورد'!$B$5))</f>
        <v/>
      </c>
      <c r="R1519">
        <f>--($E1519=IF('الداشبورد'!$B$6="الكل",$E1519,'الداشبورد'!$B$6))</f>
        <v/>
      </c>
      <c r="S1519">
        <f>--($K1519=IF('الداشبورد'!$B$7="الكل",$K1519,IF('الداشبورد'!$B$7="تصدير","Y","N")))</f>
        <v/>
      </c>
      <c r="T1519">
        <f>--($J1519=IF('الداشبورد'!$B$8="الكل",$J1519,IF('الداشبورد'!$B$8="AL","A","C")))</f>
        <v/>
      </c>
      <c r="U1519">
        <f>--($I1519=IF('الداشبورد'!$B$9="الكل",$I1519,IF('الداشبورد'!$B$9="بدون حالة","P",'الداشبورد'!$B$9)))</f>
        <v/>
      </c>
      <c r="V1519">
        <f>--($D1519=IF('الداشبورد'!$B$10="الكل",$D1519,'الداشبورد'!$B$10))</f>
        <v/>
      </c>
      <c r="W1519">
        <f>--($G1519=IF('الداشبورد'!$B$11="الكل",$G1519,'الداشبورد'!$B$11))</f>
        <v/>
      </c>
      <c r="X1519">
        <f>Q1519*R1519*S1519*T1519*U1519*V1519*W1519*--($C1519&lt;&gt;"")</f>
        <v/>
      </c>
    </row>
    <row r="1520">
      <c r="Q1520">
        <f>--($A1520=IF('الداشبورد'!$B$5="الكل",$A1520,'الداشبورد'!$B$5))</f>
        <v/>
      </c>
      <c r="R1520">
        <f>--($E1520=IF('الداشبورد'!$B$6="الكل",$E1520,'الداشبورد'!$B$6))</f>
        <v/>
      </c>
      <c r="S1520">
        <f>--($K1520=IF('الداشبورد'!$B$7="الكل",$K1520,IF('الداشبورد'!$B$7="تصدير","Y","N")))</f>
        <v/>
      </c>
      <c r="T1520">
        <f>--($J1520=IF('الداشبورد'!$B$8="الكل",$J1520,IF('الداشبورد'!$B$8="AL","A","C")))</f>
        <v/>
      </c>
      <c r="U1520">
        <f>--($I1520=IF('الداشبورد'!$B$9="الكل",$I1520,IF('الداشبورد'!$B$9="بدون حالة","P",'الداشبورد'!$B$9)))</f>
        <v/>
      </c>
      <c r="V1520">
        <f>--($D1520=IF('الداشبورد'!$B$10="الكل",$D1520,'الداشبورد'!$B$10))</f>
        <v/>
      </c>
      <c r="W1520">
        <f>--($G1520=IF('الداشبورد'!$B$11="الكل",$G1520,'الداشبورد'!$B$11))</f>
        <v/>
      </c>
      <c r="X1520">
        <f>Q1520*R1520*S1520*T1520*U1520*V1520*W1520*--($C1520&lt;&gt;"")</f>
        <v/>
      </c>
    </row>
    <row r="1521">
      <c r="Q1521">
        <f>--($A1521=IF('الداشبورد'!$B$5="الكل",$A1521,'الداشبورد'!$B$5))</f>
        <v/>
      </c>
      <c r="R1521">
        <f>--($E1521=IF('الداشبورد'!$B$6="الكل",$E1521,'الداشبورد'!$B$6))</f>
        <v/>
      </c>
      <c r="S1521">
        <f>--($K1521=IF('الداشبورد'!$B$7="الكل",$K1521,IF('الداشبورد'!$B$7="تصدير","Y","N")))</f>
        <v/>
      </c>
      <c r="T1521">
        <f>--($J1521=IF('الداشبورد'!$B$8="الكل",$J1521,IF('الداشبورد'!$B$8="AL","A","C")))</f>
        <v/>
      </c>
      <c r="U1521">
        <f>--($I1521=IF('الداشبورد'!$B$9="الكل",$I1521,IF('الداشبورد'!$B$9="بدون حالة","P",'الداشبورد'!$B$9)))</f>
        <v/>
      </c>
      <c r="V1521">
        <f>--($D1521=IF('الداشبورد'!$B$10="الكل",$D1521,'الداشبورد'!$B$10))</f>
        <v/>
      </c>
      <c r="W1521">
        <f>--($G1521=IF('الداشبورد'!$B$11="الكل",$G1521,'الداشبورد'!$B$11))</f>
        <v/>
      </c>
      <c r="X1521">
        <f>Q1521*R1521*S1521*T1521*U1521*V1521*W1521*--($C1521&lt;&gt;"")</f>
        <v/>
      </c>
    </row>
    <row r="1522">
      <c r="Q1522">
        <f>--($A1522=IF('الداشبورد'!$B$5="الكل",$A1522,'الداشبورد'!$B$5))</f>
        <v/>
      </c>
      <c r="R1522">
        <f>--($E1522=IF('الداشبورد'!$B$6="الكل",$E1522,'الداشبورد'!$B$6))</f>
        <v/>
      </c>
      <c r="S1522">
        <f>--($K1522=IF('الداشبورد'!$B$7="الكل",$K1522,IF('الداشبورد'!$B$7="تصدير","Y","N")))</f>
        <v/>
      </c>
      <c r="T1522">
        <f>--($J1522=IF('الداشبورد'!$B$8="الكل",$J1522,IF('الداشبورد'!$B$8="AL","A","C")))</f>
        <v/>
      </c>
      <c r="U1522">
        <f>--($I1522=IF('الداشبورد'!$B$9="الكل",$I1522,IF('الداشبورد'!$B$9="بدون حالة","P",'الداشبورد'!$B$9)))</f>
        <v/>
      </c>
      <c r="V1522">
        <f>--($D1522=IF('الداشبورد'!$B$10="الكل",$D1522,'الداشبورد'!$B$10))</f>
        <v/>
      </c>
      <c r="W1522">
        <f>--($G1522=IF('الداشبورد'!$B$11="الكل",$G1522,'الداشبورد'!$B$11))</f>
        <v/>
      </c>
      <c r="X1522">
        <f>Q1522*R1522*S1522*T1522*U1522*V1522*W1522*--($C1522&lt;&gt;"")</f>
        <v/>
      </c>
    </row>
    <row r="1523">
      <c r="Q1523">
        <f>--($A1523=IF('الداشبورد'!$B$5="الكل",$A1523,'الداشبورد'!$B$5))</f>
        <v/>
      </c>
      <c r="R1523">
        <f>--($E1523=IF('الداشبورد'!$B$6="الكل",$E1523,'الداشبورد'!$B$6))</f>
        <v/>
      </c>
      <c r="S1523">
        <f>--($K1523=IF('الداشبورد'!$B$7="الكل",$K1523,IF('الداشبورد'!$B$7="تصدير","Y","N")))</f>
        <v/>
      </c>
      <c r="T1523">
        <f>--($J1523=IF('الداشبورد'!$B$8="الكل",$J1523,IF('الداشبورد'!$B$8="AL","A","C")))</f>
        <v/>
      </c>
      <c r="U1523">
        <f>--($I1523=IF('الداشبورد'!$B$9="الكل",$I1523,IF('الداشبورد'!$B$9="بدون حالة","P",'الداشبورد'!$B$9)))</f>
        <v/>
      </c>
      <c r="V1523">
        <f>--($D1523=IF('الداشبورد'!$B$10="الكل",$D1523,'الداشبورد'!$B$10))</f>
        <v/>
      </c>
      <c r="W1523">
        <f>--($G1523=IF('الداشبورد'!$B$11="الكل",$G1523,'الداشبورد'!$B$11))</f>
        <v/>
      </c>
      <c r="X1523">
        <f>Q1523*R1523*S1523*T1523*U1523*V1523*W1523*--($C1523&lt;&gt;"")</f>
        <v/>
      </c>
    </row>
    <row r="1524">
      <c r="Q1524">
        <f>--($A1524=IF('الداشبورد'!$B$5="الكل",$A1524,'الداشبورد'!$B$5))</f>
        <v/>
      </c>
      <c r="R1524">
        <f>--($E1524=IF('الداشبورد'!$B$6="الكل",$E1524,'الداشبورد'!$B$6))</f>
        <v/>
      </c>
      <c r="S1524">
        <f>--($K1524=IF('الداشبورد'!$B$7="الكل",$K1524,IF('الداشبورد'!$B$7="تصدير","Y","N")))</f>
        <v/>
      </c>
      <c r="T1524">
        <f>--($J1524=IF('الداشبورد'!$B$8="الكل",$J1524,IF('الداشبورد'!$B$8="AL","A","C")))</f>
        <v/>
      </c>
      <c r="U1524">
        <f>--($I1524=IF('الداشبورد'!$B$9="الكل",$I1524,IF('الداشبورد'!$B$9="بدون حالة","P",'الداشبورد'!$B$9)))</f>
        <v/>
      </c>
      <c r="V1524">
        <f>--($D1524=IF('الداشبورد'!$B$10="الكل",$D1524,'الداشبورد'!$B$10))</f>
        <v/>
      </c>
      <c r="W1524">
        <f>--($G1524=IF('الداشبورد'!$B$11="الكل",$G1524,'الداشبورد'!$B$11))</f>
        <v/>
      </c>
      <c r="X1524">
        <f>Q1524*R1524*S1524*T1524*U1524*V1524*W1524*--($C1524&lt;&gt;"")</f>
        <v/>
      </c>
    </row>
    <row r="1525">
      <c r="Q1525">
        <f>--($A1525=IF('الداشبورد'!$B$5="الكل",$A1525,'الداشبورد'!$B$5))</f>
        <v/>
      </c>
      <c r="R1525">
        <f>--($E1525=IF('الداشبورد'!$B$6="الكل",$E1525,'الداشبورد'!$B$6))</f>
        <v/>
      </c>
      <c r="S1525">
        <f>--($K1525=IF('الداشبورد'!$B$7="الكل",$K1525,IF('الداشبورد'!$B$7="تصدير","Y","N")))</f>
        <v/>
      </c>
      <c r="T1525">
        <f>--($J1525=IF('الداشبورد'!$B$8="الكل",$J1525,IF('الداشبورد'!$B$8="AL","A","C")))</f>
        <v/>
      </c>
      <c r="U1525">
        <f>--($I1525=IF('الداشبورد'!$B$9="الكل",$I1525,IF('الداشبورد'!$B$9="بدون حالة","P",'الداشبورد'!$B$9)))</f>
        <v/>
      </c>
      <c r="V1525">
        <f>--($D1525=IF('الداشبورد'!$B$10="الكل",$D1525,'الداشبورد'!$B$10))</f>
        <v/>
      </c>
      <c r="W1525">
        <f>--($G1525=IF('الداشبورد'!$B$11="الكل",$G1525,'الداشبورد'!$B$11))</f>
        <v/>
      </c>
      <c r="X1525">
        <f>Q1525*R1525*S1525*T1525*U1525*V1525*W1525*--($C1525&lt;&gt;"")</f>
        <v/>
      </c>
    </row>
    <row r="1526">
      <c r="Q1526">
        <f>--($A1526=IF('الداشبورد'!$B$5="الكل",$A1526,'الداشبورد'!$B$5))</f>
        <v/>
      </c>
      <c r="R1526">
        <f>--($E1526=IF('الداشبورد'!$B$6="الكل",$E1526,'الداشبورد'!$B$6))</f>
        <v/>
      </c>
      <c r="S1526">
        <f>--($K1526=IF('الداشبورد'!$B$7="الكل",$K1526,IF('الداشبورد'!$B$7="تصدير","Y","N")))</f>
        <v/>
      </c>
      <c r="T1526">
        <f>--($J1526=IF('الداشبورد'!$B$8="الكل",$J1526,IF('الداشبورد'!$B$8="AL","A","C")))</f>
        <v/>
      </c>
      <c r="U1526">
        <f>--($I1526=IF('الداشبورد'!$B$9="الكل",$I1526,IF('الداشبورد'!$B$9="بدون حالة","P",'الداشبورد'!$B$9)))</f>
        <v/>
      </c>
      <c r="V1526">
        <f>--($D1526=IF('الداشبورد'!$B$10="الكل",$D1526,'الداشبورد'!$B$10))</f>
        <v/>
      </c>
      <c r="W1526">
        <f>--($G1526=IF('الداشبورد'!$B$11="الكل",$G1526,'الداشبورد'!$B$11))</f>
        <v/>
      </c>
      <c r="X1526">
        <f>Q1526*R1526*S1526*T1526*U1526*V1526*W1526*--($C1526&lt;&gt;"")</f>
        <v/>
      </c>
    </row>
    <row r="1527">
      <c r="Q1527">
        <f>--($A1527=IF('الداشبورد'!$B$5="الكل",$A1527,'الداشبورد'!$B$5))</f>
        <v/>
      </c>
      <c r="R1527">
        <f>--($E1527=IF('الداشبورد'!$B$6="الكل",$E1527,'الداشبورد'!$B$6))</f>
        <v/>
      </c>
      <c r="S1527">
        <f>--($K1527=IF('الداشبورد'!$B$7="الكل",$K1527,IF('الداشبورد'!$B$7="تصدير","Y","N")))</f>
        <v/>
      </c>
      <c r="T1527">
        <f>--($J1527=IF('الداشبورد'!$B$8="الكل",$J1527,IF('الداشبورد'!$B$8="AL","A","C")))</f>
        <v/>
      </c>
      <c r="U1527">
        <f>--($I1527=IF('الداشبورد'!$B$9="الكل",$I1527,IF('الداشبورد'!$B$9="بدون حالة","P",'الداشبورد'!$B$9)))</f>
        <v/>
      </c>
      <c r="V1527">
        <f>--($D1527=IF('الداشبورد'!$B$10="الكل",$D1527,'الداشبورد'!$B$10))</f>
        <v/>
      </c>
      <c r="W1527">
        <f>--($G1527=IF('الداشبورد'!$B$11="الكل",$G1527,'الداشبورد'!$B$11))</f>
        <v/>
      </c>
      <c r="X1527">
        <f>Q1527*R1527*S1527*T1527*U1527*V1527*W1527*--($C1527&lt;&gt;"")</f>
        <v/>
      </c>
    </row>
    <row r="1528">
      <c r="Q1528">
        <f>--($A1528=IF('الداشبورد'!$B$5="الكل",$A1528,'الداشبورد'!$B$5))</f>
        <v/>
      </c>
      <c r="R1528">
        <f>--($E1528=IF('الداشبورد'!$B$6="الكل",$E1528,'الداشبورد'!$B$6))</f>
        <v/>
      </c>
      <c r="S1528">
        <f>--($K1528=IF('الداشبورد'!$B$7="الكل",$K1528,IF('الداشبورد'!$B$7="تصدير","Y","N")))</f>
        <v/>
      </c>
      <c r="T1528">
        <f>--($J1528=IF('الداشبورد'!$B$8="الكل",$J1528,IF('الداشبورد'!$B$8="AL","A","C")))</f>
        <v/>
      </c>
      <c r="U1528">
        <f>--($I1528=IF('الداشبورد'!$B$9="الكل",$I1528,IF('الداشبورد'!$B$9="بدون حالة","P",'الداشبورد'!$B$9)))</f>
        <v/>
      </c>
      <c r="V1528">
        <f>--($D1528=IF('الداشبورد'!$B$10="الكل",$D1528,'الداشبورد'!$B$10))</f>
        <v/>
      </c>
      <c r="W1528">
        <f>--($G1528=IF('الداشبورد'!$B$11="الكل",$G1528,'الداشبورد'!$B$11))</f>
        <v/>
      </c>
      <c r="X1528">
        <f>Q1528*R1528*S1528*T1528*U1528*V1528*W1528*--($C1528&lt;&gt;"")</f>
        <v/>
      </c>
    </row>
    <row r="1529">
      <c r="Q1529">
        <f>--($A1529=IF('الداشبورد'!$B$5="الكل",$A1529,'الداشبورد'!$B$5))</f>
        <v/>
      </c>
      <c r="R1529">
        <f>--($E1529=IF('الداشبورد'!$B$6="الكل",$E1529,'الداشبورد'!$B$6))</f>
        <v/>
      </c>
      <c r="S1529">
        <f>--($K1529=IF('الداشبورد'!$B$7="الكل",$K1529,IF('الداشبورد'!$B$7="تصدير","Y","N")))</f>
        <v/>
      </c>
      <c r="T1529">
        <f>--($J1529=IF('الداشبورد'!$B$8="الكل",$J1529,IF('الداشبورد'!$B$8="AL","A","C")))</f>
        <v/>
      </c>
      <c r="U1529">
        <f>--($I1529=IF('الداشبورد'!$B$9="الكل",$I1529,IF('الداشبورد'!$B$9="بدون حالة","P",'الداشبورد'!$B$9)))</f>
        <v/>
      </c>
      <c r="V1529">
        <f>--($D1529=IF('الداشبورد'!$B$10="الكل",$D1529,'الداشبورد'!$B$10))</f>
        <v/>
      </c>
      <c r="W1529">
        <f>--($G1529=IF('الداشبورد'!$B$11="الكل",$G1529,'الداشبورد'!$B$11))</f>
        <v/>
      </c>
      <c r="X1529">
        <f>Q1529*R1529*S1529*T1529*U1529*V1529*W1529*--($C1529&lt;&gt;"")</f>
        <v/>
      </c>
    </row>
    <row r="1530">
      <c r="Q1530">
        <f>--($A1530=IF('الداشبورد'!$B$5="الكل",$A1530,'الداشبورد'!$B$5))</f>
        <v/>
      </c>
      <c r="R1530">
        <f>--($E1530=IF('الداشبورد'!$B$6="الكل",$E1530,'الداشبورد'!$B$6))</f>
        <v/>
      </c>
      <c r="S1530">
        <f>--($K1530=IF('الداشبورد'!$B$7="الكل",$K1530,IF('الداشبورد'!$B$7="تصدير","Y","N")))</f>
        <v/>
      </c>
      <c r="T1530">
        <f>--($J1530=IF('الداشبورد'!$B$8="الكل",$J1530,IF('الداشبورد'!$B$8="AL","A","C")))</f>
        <v/>
      </c>
      <c r="U1530">
        <f>--($I1530=IF('الداشبورد'!$B$9="الكل",$I1530,IF('الداشبورد'!$B$9="بدون حالة","P",'الداشبورد'!$B$9)))</f>
        <v/>
      </c>
      <c r="V1530">
        <f>--($D1530=IF('الداشبورد'!$B$10="الكل",$D1530,'الداشبورد'!$B$10))</f>
        <v/>
      </c>
      <c r="W1530">
        <f>--($G1530=IF('الداشبورد'!$B$11="الكل",$G1530,'الداشبورد'!$B$11))</f>
        <v/>
      </c>
      <c r="X1530">
        <f>Q1530*R1530*S1530*T1530*U1530*V1530*W1530*--($C1530&lt;&gt;"")</f>
        <v/>
      </c>
    </row>
    <row r="1531">
      <c r="Q1531">
        <f>--($A1531=IF('الداشبورد'!$B$5="الكل",$A1531,'الداشبورد'!$B$5))</f>
        <v/>
      </c>
      <c r="R1531">
        <f>--($E1531=IF('الداشبورد'!$B$6="الكل",$E1531,'الداشبورد'!$B$6))</f>
        <v/>
      </c>
      <c r="S1531">
        <f>--($K1531=IF('الداشبورد'!$B$7="الكل",$K1531,IF('الداشبورد'!$B$7="تصدير","Y","N")))</f>
        <v/>
      </c>
      <c r="T1531">
        <f>--($J1531=IF('الداشبورد'!$B$8="الكل",$J1531,IF('الداشبورد'!$B$8="AL","A","C")))</f>
        <v/>
      </c>
      <c r="U1531">
        <f>--($I1531=IF('الداشبورد'!$B$9="الكل",$I1531,IF('الداشبورد'!$B$9="بدون حالة","P",'الداشبورد'!$B$9)))</f>
        <v/>
      </c>
      <c r="V1531">
        <f>--($D1531=IF('الداشبورد'!$B$10="الكل",$D1531,'الداشبورد'!$B$10))</f>
        <v/>
      </c>
      <c r="W1531">
        <f>--($G1531=IF('الداشبورد'!$B$11="الكل",$G1531,'الداشبورد'!$B$11))</f>
        <v/>
      </c>
      <c r="X1531">
        <f>Q1531*R1531*S1531*T1531*U1531*V1531*W1531*--($C1531&lt;&gt;"")</f>
        <v/>
      </c>
    </row>
    <row r="1532">
      <c r="Q1532">
        <f>--($A1532=IF('الداشبورد'!$B$5="الكل",$A1532,'الداشبورد'!$B$5))</f>
        <v/>
      </c>
      <c r="R1532">
        <f>--($E1532=IF('الداشبورد'!$B$6="الكل",$E1532,'الداشبورد'!$B$6))</f>
        <v/>
      </c>
      <c r="S1532">
        <f>--($K1532=IF('الداشبورد'!$B$7="الكل",$K1532,IF('الداشبورد'!$B$7="تصدير","Y","N")))</f>
        <v/>
      </c>
      <c r="T1532">
        <f>--($J1532=IF('الداشبورد'!$B$8="الكل",$J1532,IF('الداشبورد'!$B$8="AL","A","C")))</f>
        <v/>
      </c>
      <c r="U1532">
        <f>--($I1532=IF('الداشبورد'!$B$9="الكل",$I1532,IF('الداشبورد'!$B$9="بدون حالة","P",'الداشبورد'!$B$9)))</f>
        <v/>
      </c>
      <c r="V1532">
        <f>--($D1532=IF('الداشبورد'!$B$10="الكل",$D1532,'الداشبورد'!$B$10))</f>
        <v/>
      </c>
      <c r="W1532">
        <f>--($G1532=IF('الداشبورد'!$B$11="الكل",$G1532,'الداشبورد'!$B$11))</f>
        <v/>
      </c>
      <c r="X1532">
        <f>Q1532*R1532*S1532*T1532*U1532*V1532*W1532*--($C1532&lt;&gt;"")</f>
        <v/>
      </c>
    </row>
    <row r="1533">
      <c r="Q1533">
        <f>--($A1533=IF('الداشبورد'!$B$5="الكل",$A1533,'الداشبورد'!$B$5))</f>
        <v/>
      </c>
      <c r="R1533">
        <f>--($E1533=IF('الداشبورد'!$B$6="الكل",$E1533,'الداشبورد'!$B$6))</f>
        <v/>
      </c>
      <c r="S1533">
        <f>--($K1533=IF('الداشبورد'!$B$7="الكل",$K1533,IF('الداشبورد'!$B$7="تصدير","Y","N")))</f>
        <v/>
      </c>
      <c r="T1533">
        <f>--($J1533=IF('الداشبورد'!$B$8="الكل",$J1533,IF('الداشبورد'!$B$8="AL","A","C")))</f>
        <v/>
      </c>
      <c r="U1533">
        <f>--($I1533=IF('الداشبورد'!$B$9="الكل",$I1533,IF('الداشبورد'!$B$9="بدون حالة","P",'الداشبورد'!$B$9)))</f>
        <v/>
      </c>
      <c r="V1533">
        <f>--($D1533=IF('الداشبورد'!$B$10="الكل",$D1533,'الداشبورد'!$B$10))</f>
        <v/>
      </c>
      <c r="W1533">
        <f>--($G1533=IF('الداشبورد'!$B$11="الكل",$G1533,'الداشبورد'!$B$11))</f>
        <v/>
      </c>
      <c r="X1533">
        <f>Q1533*R1533*S1533*T1533*U1533*V1533*W1533*--($C1533&lt;&gt;"")</f>
        <v/>
      </c>
    </row>
    <row r="1534">
      <c r="Q1534">
        <f>--($A1534=IF('الداشبورد'!$B$5="الكل",$A1534,'الداشبورد'!$B$5))</f>
        <v/>
      </c>
      <c r="R1534">
        <f>--($E1534=IF('الداشبورد'!$B$6="الكل",$E1534,'الداشبورد'!$B$6))</f>
        <v/>
      </c>
      <c r="S1534">
        <f>--($K1534=IF('الداشبورد'!$B$7="الكل",$K1534,IF('الداشبورد'!$B$7="تصدير","Y","N")))</f>
        <v/>
      </c>
      <c r="T1534">
        <f>--($J1534=IF('الداشبورد'!$B$8="الكل",$J1534,IF('الداشبورد'!$B$8="AL","A","C")))</f>
        <v/>
      </c>
      <c r="U1534">
        <f>--($I1534=IF('الداشبورد'!$B$9="الكل",$I1534,IF('الداشبورد'!$B$9="بدون حالة","P",'الداشبورد'!$B$9)))</f>
        <v/>
      </c>
      <c r="V1534">
        <f>--($D1534=IF('الداشبورد'!$B$10="الكل",$D1534,'الداشبورد'!$B$10))</f>
        <v/>
      </c>
      <c r="W1534">
        <f>--($G1534=IF('الداشبورد'!$B$11="الكل",$G1534,'الداشبورد'!$B$11))</f>
        <v/>
      </c>
      <c r="X1534">
        <f>Q1534*R1534*S1534*T1534*U1534*V1534*W1534*--($C1534&lt;&gt;"")</f>
        <v/>
      </c>
    </row>
    <row r="1535">
      <c r="Q1535">
        <f>--($A1535=IF('الداشبورد'!$B$5="الكل",$A1535,'الداشبورد'!$B$5))</f>
        <v/>
      </c>
      <c r="R1535">
        <f>--($E1535=IF('الداشبورد'!$B$6="الكل",$E1535,'الداشبورد'!$B$6))</f>
        <v/>
      </c>
      <c r="S1535">
        <f>--($K1535=IF('الداشبورد'!$B$7="الكل",$K1535,IF('الداشبورد'!$B$7="تصدير","Y","N")))</f>
        <v/>
      </c>
      <c r="T1535">
        <f>--($J1535=IF('الداشبورد'!$B$8="الكل",$J1535,IF('الداشبورد'!$B$8="AL","A","C")))</f>
        <v/>
      </c>
      <c r="U1535">
        <f>--($I1535=IF('الداشبورد'!$B$9="الكل",$I1535,IF('الداشبورد'!$B$9="بدون حالة","P",'الداشبورد'!$B$9)))</f>
        <v/>
      </c>
      <c r="V1535">
        <f>--($D1535=IF('الداشبورد'!$B$10="الكل",$D1535,'الداشبورد'!$B$10))</f>
        <v/>
      </c>
      <c r="W1535">
        <f>--($G1535=IF('الداشبورد'!$B$11="الكل",$G1535,'الداشبورد'!$B$11))</f>
        <v/>
      </c>
      <c r="X1535">
        <f>Q1535*R1535*S1535*T1535*U1535*V1535*W1535*--($C1535&lt;&gt;"")</f>
        <v/>
      </c>
    </row>
    <row r="1536">
      <c r="Q1536">
        <f>--($A1536=IF('الداشبورد'!$B$5="الكل",$A1536,'الداشبورد'!$B$5))</f>
        <v/>
      </c>
      <c r="R1536">
        <f>--($E1536=IF('الداشبورد'!$B$6="الكل",$E1536,'الداشبورد'!$B$6))</f>
        <v/>
      </c>
      <c r="S1536">
        <f>--($K1536=IF('الداشبورد'!$B$7="الكل",$K1536,IF('الداشبورد'!$B$7="تصدير","Y","N")))</f>
        <v/>
      </c>
      <c r="T1536">
        <f>--($J1536=IF('الداشبورد'!$B$8="الكل",$J1536,IF('الداشبورد'!$B$8="AL","A","C")))</f>
        <v/>
      </c>
      <c r="U1536">
        <f>--($I1536=IF('الداشبورد'!$B$9="الكل",$I1536,IF('الداشبورد'!$B$9="بدون حالة","P",'الداشبورد'!$B$9)))</f>
        <v/>
      </c>
      <c r="V1536">
        <f>--($D1536=IF('الداشبورد'!$B$10="الكل",$D1536,'الداشبورد'!$B$10))</f>
        <v/>
      </c>
      <c r="W1536">
        <f>--($G1536=IF('الداشبورد'!$B$11="الكل",$G1536,'الداشبورد'!$B$11))</f>
        <v/>
      </c>
      <c r="X1536">
        <f>Q1536*R1536*S1536*T1536*U1536*V1536*W1536*--($C1536&lt;&gt;"")</f>
        <v/>
      </c>
    </row>
    <row r="1537">
      <c r="Q1537">
        <f>--($A1537=IF('الداشبورد'!$B$5="الكل",$A1537,'الداشبورد'!$B$5))</f>
        <v/>
      </c>
      <c r="R1537">
        <f>--($E1537=IF('الداشبورد'!$B$6="الكل",$E1537,'الداشبورد'!$B$6))</f>
        <v/>
      </c>
      <c r="S1537">
        <f>--($K1537=IF('الداشبورد'!$B$7="الكل",$K1537,IF('الداشبورد'!$B$7="تصدير","Y","N")))</f>
        <v/>
      </c>
      <c r="T1537">
        <f>--($J1537=IF('الداشبورد'!$B$8="الكل",$J1537,IF('الداشبورد'!$B$8="AL","A","C")))</f>
        <v/>
      </c>
      <c r="U1537">
        <f>--($I1537=IF('الداشبورد'!$B$9="الكل",$I1537,IF('الداشبورد'!$B$9="بدون حالة","P",'الداشبورد'!$B$9)))</f>
        <v/>
      </c>
      <c r="V1537">
        <f>--($D1537=IF('الداشبورد'!$B$10="الكل",$D1537,'الداشبورد'!$B$10))</f>
        <v/>
      </c>
      <c r="W1537">
        <f>--($G1537=IF('الداشبورد'!$B$11="الكل",$G1537,'الداشبورد'!$B$11))</f>
        <v/>
      </c>
      <c r="X1537">
        <f>Q1537*R1537*S1537*T1537*U1537*V1537*W1537*--($C1537&lt;&gt;"")</f>
        <v/>
      </c>
    </row>
    <row r="1538">
      <c r="Q1538">
        <f>--($A1538=IF('الداشبورد'!$B$5="الكل",$A1538,'الداشبورد'!$B$5))</f>
        <v/>
      </c>
      <c r="R1538">
        <f>--($E1538=IF('الداشبورد'!$B$6="الكل",$E1538,'الداشبورد'!$B$6))</f>
        <v/>
      </c>
      <c r="S1538">
        <f>--($K1538=IF('الداشبورد'!$B$7="الكل",$K1538,IF('الداشبورد'!$B$7="تصدير","Y","N")))</f>
        <v/>
      </c>
      <c r="T1538">
        <f>--($J1538=IF('الداشبورد'!$B$8="الكل",$J1538,IF('الداشبورد'!$B$8="AL","A","C")))</f>
        <v/>
      </c>
      <c r="U1538">
        <f>--($I1538=IF('الداشبورد'!$B$9="الكل",$I1538,IF('الداشبورد'!$B$9="بدون حالة","P",'الداشبورد'!$B$9)))</f>
        <v/>
      </c>
      <c r="V1538">
        <f>--($D1538=IF('الداشبورد'!$B$10="الكل",$D1538,'الداشبورد'!$B$10))</f>
        <v/>
      </c>
      <c r="W1538">
        <f>--($G1538=IF('الداشبورد'!$B$11="الكل",$G1538,'الداشبورد'!$B$11))</f>
        <v/>
      </c>
      <c r="X1538">
        <f>Q1538*R1538*S1538*T1538*U1538*V1538*W1538*--($C1538&lt;&gt;"")</f>
        <v/>
      </c>
    </row>
    <row r="1539">
      <c r="Q1539">
        <f>--($A1539=IF('الداشبورد'!$B$5="الكل",$A1539,'الداشبورد'!$B$5))</f>
        <v/>
      </c>
      <c r="R1539">
        <f>--($E1539=IF('الداشبورد'!$B$6="الكل",$E1539,'الداشبورد'!$B$6))</f>
        <v/>
      </c>
      <c r="S1539">
        <f>--($K1539=IF('الداشبورد'!$B$7="الكل",$K1539,IF('الداشبورد'!$B$7="تصدير","Y","N")))</f>
        <v/>
      </c>
      <c r="T1539">
        <f>--($J1539=IF('الداشبورد'!$B$8="الكل",$J1539,IF('الداشبورد'!$B$8="AL","A","C")))</f>
        <v/>
      </c>
      <c r="U1539">
        <f>--($I1539=IF('الداشبورد'!$B$9="الكل",$I1539,IF('الداشبورد'!$B$9="بدون حالة","P",'الداشبورد'!$B$9)))</f>
        <v/>
      </c>
      <c r="V1539">
        <f>--($D1539=IF('الداشبورد'!$B$10="الكل",$D1539,'الداشبورد'!$B$10))</f>
        <v/>
      </c>
      <c r="W1539">
        <f>--($G1539=IF('الداشبورد'!$B$11="الكل",$G1539,'الداشبورد'!$B$11))</f>
        <v/>
      </c>
      <c r="X1539">
        <f>Q1539*R1539*S1539*T1539*U1539*V1539*W1539*--($C1539&lt;&gt;"")</f>
        <v/>
      </c>
    </row>
    <row r="1540">
      <c r="Q1540">
        <f>--($A1540=IF('الداشبورد'!$B$5="الكل",$A1540,'الداشبورد'!$B$5))</f>
        <v/>
      </c>
      <c r="R1540">
        <f>--($E1540=IF('الداشبورد'!$B$6="الكل",$E1540,'الداشبورد'!$B$6))</f>
        <v/>
      </c>
      <c r="S1540">
        <f>--($K1540=IF('الداشبورد'!$B$7="الكل",$K1540,IF('الداشبورد'!$B$7="تصدير","Y","N")))</f>
        <v/>
      </c>
      <c r="T1540">
        <f>--($J1540=IF('الداشبورد'!$B$8="الكل",$J1540,IF('الداشبورد'!$B$8="AL","A","C")))</f>
        <v/>
      </c>
      <c r="U1540">
        <f>--($I1540=IF('الداشبورد'!$B$9="الكل",$I1540,IF('الداشبورد'!$B$9="بدون حالة","P",'الداشبورد'!$B$9)))</f>
        <v/>
      </c>
      <c r="V1540">
        <f>--($D1540=IF('الداشبورد'!$B$10="الكل",$D1540,'الداشبورد'!$B$10))</f>
        <v/>
      </c>
      <c r="W1540">
        <f>--($G1540=IF('الداشبورد'!$B$11="الكل",$G1540,'الداشبورد'!$B$11))</f>
        <v/>
      </c>
      <c r="X1540">
        <f>Q1540*R1540*S1540*T1540*U1540*V1540*W1540*--($C1540&lt;&gt;"")</f>
        <v/>
      </c>
    </row>
    <row r="1541">
      <c r="Q1541">
        <f>--($A1541=IF('الداشبورد'!$B$5="الكل",$A1541,'الداشبورد'!$B$5))</f>
        <v/>
      </c>
      <c r="R1541">
        <f>--($E1541=IF('الداشبورد'!$B$6="الكل",$E1541,'الداشبورد'!$B$6))</f>
        <v/>
      </c>
      <c r="S1541">
        <f>--($K1541=IF('الداشبورد'!$B$7="الكل",$K1541,IF('الداشبورد'!$B$7="تصدير","Y","N")))</f>
        <v/>
      </c>
      <c r="T1541">
        <f>--($J1541=IF('الداشبورد'!$B$8="الكل",$J1541,IF('الداشبورد'!$B$8="AL","A","C")))</f>
        <v/>
      </c>
      <c r="U1541">
        <f>--($I1541=IF('الداشبورد'!$B$9="الكل",$I1541,IF('الداشبورد'!$B$9="بدون حالة","P",'الداشبورد'!$B$9)))</f>
        <v/>
      </c>
      <c r="V1541">
        <f>--($D1541=IF('الداشبورد'!$B$10="الكل",$D1541,'الداشبورد'!$B$10))</f>
        <v/>
      </c>
      <c r="W1541">
        <f>--($G1541=IF('الداشبورد'!$B$11="الكل",$G1541,'الداشبورد'!$B$11))</f>
        <v/>
      </c>
      <c r="X1541">
        <f>Q1541*R1541*S1541*T1541*U1541*V1541*W1541*--($C1541&lt;&gt;"")</f>
        <v/>
      </c>
    </row>
    <row r="1542">
      <c r="Q1542">
        <f>--($A1542=IF('الداشبورد'!$B$5="الكل",$A1542,'الداشبورد'!$B$5))</f>
        <v/>
      </c>
      <c r="R1542">
        <f>--($E1542=IF('الداشبورد'!$B$6="الكل",$E1542,'الداشبورد'!$B$6))</f>
        <v/>
      </c>
      <c r="S1542">
        <f>--($K1542=IF('الداشبورد'!$B$7="الكل",$K1542,IF('الداشبورد'!$B$7="تصدير","Y","N")))</f>
        <v/>
      </c>
      <c r="T1542">
        <f>--($J1542=IF('الداشبورد'!$B$8="الكل",$J1542,IF('الداشبورد'!$B$8="AL","A","C")))</f>
        <v/>
      </c>
      <c r="U1542">
        <f>--($I1542=IF('الداشبورد'!$B$9="الكل",$I1542,IF('الداشبورد'!$B$9="بدون حالة","P",'الداشبورد'!$B$9)))</f>
        <v/>
      </c>
      <c r="V1542">
        <f>--($D1542=IF('الداشبورد'!$B$10="الكل",$D1542,'الداشبورد'!$B$10))</f>
        <v/>
      </c>
      <c r="W1542">
        <f>--($G1542=IF('الداشبورد'!$B$11="الكل",$G1542,'الداشبورد'!$B$11))</f>
        <v/>
      </c>
      <c r="X1542">
        <f>Q1542*R1542*S1542*T1542*U1542*V1542*W1542*--($C1542&lt;&gt;"")</f>
        <v/>
      </c>
    </row>
    <row r="1543">
      <c r="Q1543">
        <f>--($A1543=IF('الداشبورد'!$B$5="الكل",$A1543,'الداشبورد'!$B$5))</f>
        <v/>
      </c>
      <c r="R1543">
        <f>--($E1543=IF('الداشبورد'!$B$6="الكل",$E1543,'الداشبورد'!$B$6))</f>
        <v/>
      </c>
      <c r="S1543">
        <f>--($K1543=IF('الداشبورد'!$B$7="الكل",$K1543,IF('الداشبورد'!$B$7="تصدير","Y","N")))</f>
        <v/>
      </c>
      <c r="T1543">
        <f>--($J1543=IF('الداشبورد'!$B$8="الكل",$J1543,IF('الداشبورد'!$B$8="AL","A","C")))</f>
        <v/>
      </c>
      <c r="U1543">
        <f>--($I1543=IF('الداشبورد'!$B$9="الكل",$I1543,IF('الداشبورد'!$B$9="بدون حالة","P",'الداشبورد'!$B$9)))</f>
        <v/>
      </c>
      <c r="V1543">
        <f>--($D1543=IF('الداشبورد'!$B$10="الكل",$D1543,'الداشبورد'!$B$10))</f>
        <v/>
      </c>
      <c r="W1543">
        <f>--($G1543=IF('الداشبورد'!$B$11="الكل",$G1543,'الداشبورد'!$B$11))</f>
        <v/>
      </c>
      <c r="X1543">
        <f>Q1543*R1543*S1543*T1543*U1543*V1543*W1543*--($C1543&lt;&gt;"")</f>
        <v/>
      </c>
    </row>
    <row r="1544">
      <c r="Q1544">
        <f>--($A1544=IF('الداشبورد'!$B$5="الكل",$A1544,'الداشبورد'!$B$5))</f>
        <v/>
      </c>
      <c r="R1544">
        <f>--($E1544=IF('الداشبورد'!$B$6="الكل",$E1544,'الداشبورد'!$B$6))</f>
        <v/>
      </c>
      <c r="S1544">
        <f>--($K1544=IF('الداشبورد'!$B$7="الكل",$K1544,IF('الداشبورد'!$B$7="تصدير","Y","N")))</f>
        <v/>
      </c>
      <c r="T1544">
        <f>--($J1544=IF('الداشبورد'!$B$8="الكل",$J1544,IF('الداشبورد'!$B$8="AL","A","C")))</f>
        <v/>
      </c>
      <c r="U1544">
        <f>--($I1544=IF('الداشبورد'!$B$9="الكل",$I1544,IF('الداشبورد'!$B$9="بدون حالة","P",'الداشبورد'!$B$9)))</f>
        <v/>
      </c>
      <c r="V1544">
        <f>--($D1544=IF('الداشبورد'!$B$10="الكل",$D1544,'الداشبورد'!$B$10))</f>
        <v/>
      </c>
      <c r="W1544">
        <f>--($G1544=IF('الداشبورد'!$B$11="الكل",$G1544,'الداشبورد'!$B$11))</f>
        <v/>
      </c>
      <c r="X1544">
        <f>Q1544*R1544*S1544*T1544*U1544*V1544*W1544*--($C1544&lt;&gt;"")</f>
        <v/>
      </c>
    </row>
    <row r="1545">
      <c r="Q1545">
        <f>--($A1545=IF('الداشبورد'!$B$5="الكل",$A1545,'الداشبورد'!$B$5))</f>
        <v/>
      </c>
      <c r="R1545">
        <f>--($E1545=IF('الداشبورد'!$B$6="الكل",$E1545,'الداشبورد'!$B$6))</f>
        <v/>
      </c>
      <c r="S1545">
        <f>--($K1545=IF('الداشبورد'!$B$7="الكل",$K1545,IF('الداشبورد'!$B$7="تصدير","Y","N")))</f>
        <v/>
      </c>
      <c r="T1545">
        <f>--($J1545=IF('الداشبورد'!$B$8="الكل",$J1545,IF('الداشبورد'!$B$8="AL","A","C")))</f>
        <v/>
      </c>
      <c r="U1545">
        <f>--($I1545=IF('الداشبورد'!$B$9="الكل",$I1545,IF('الداشبورد'!$B$9="بدون حالة","P",'الداشبورد'!$B$9)))</f>
        <v/>
      </c>
      <c r="V1545">
        <f>--($D1545=IF('الداشبورد'!$B$10="الكل",$D1545,'الداشبورد'!$B$10))</f>
        <v/>
      </c>
      <c r="W1545">
        <f>--($G1545=IF('الداشبورد'!$B$11="الكل",$G1545,'الداشبورد'!$B$11))</f>
        <v/>
      </c>
      <c r="X1545">
        <f>Q1545*R1545*S1545*T1545*U1545*V1545*W1545*--($C1545&lt;&gt;"")</f>
        <v/>
      </c>
    </row>
    <row r="1546">
      <c r="Q1546">
        <f>--($A1546=IF('الداشبورد'!$B$5="الكل",$A1546,'الداشبورد'!$B$5))</f>
        <v/>
      </c>
      <c r="R1546">
        <f>--($E1546=IF('الداشبورد'!$B$6="الكل",$E1546,'الداشبورد'!$B$6))</f>
        <v/>
      </c>
      <c r="S1546">
        <f>--($K1546=IF('الداشبورد'!$B$7="الكل",$K1546,IF('الداشبورد'!$B$7="تصدير","Y","N")))</f>
        <v/>
      </c>
      <c r="T1546">
        <f>--($J1546=IF('الداشبورد'!$B$8="الكل",$J1546,IF('الداشبورد'!$B$8="AL","A","C")))</f>
        <v/>
      </c>
      <c r="U1546">
        <f>--($I1546=IF('الداشبورد'!$B$9="الكل",$I1546,IF('الداشبورد'!$B$9="بدون حالة","P",'الداشبورد'!$B$9)))</f>
        <v/>
      </c>
      <c r="V1546">
        <f>--($D1546=IF('الداشبورد'!$B$10="الكل",$D1546,'الداشبورد'!$B$10))</f>
        <v/>
      </c>
      <c r="W1546">
        <f>--($G1546=IF('الداشبورد'!$B$11="الكل",$G1546,'الداشبورد'!$B$11))</f>
        <v/>
      </c>
      <c r="X1546">
        <f>Q1546*R1546*S1546*T1546*U1546*V1546*W1546*--($C1546&lt;&gt;"")</f>
        <v/>
      </c>
    </row>
    <row r="1547">
      <c r="Q1547">
        <f>--($A1547=IF('الداشبورد'!$B$5="الكل",$A1547,'الداشبورد'!$B$5))</f>
        <v/>
      </c>
      <c r="R1547">
        <f>--($E1547=IF('الداشبورد'!$B$6="الكل",$E1547,'الداشبورد'!$B$6))</f>
        <v/>
      </c>
      <c r="S1547">
        <f>--($K1547=IF('الداشبورد'!$B$7="الكل",$K1547,IF('الداشبورد'!$B$7="تصدير","Y","N")))</f>
        <v/>
      </c>
      <c r="T1547">
        <f>--($J1547=IF('الداشبورد'!$B$8="الكل",$J1547,IF('الداشبورد'!$B$8="AL","A","C")))</f>
        <v/>
      </c>
      <c r="U1547">
        <f>--($I1547=IF('الداشبورد'!$B$9="الكل",$I1547,IF('الداشبورد'!$B$9="بدون حالة","P",'الداشبورد'!$B$9)))</f>
        <v/>
      </c>
      <c r="V1547">
        <f>--($D1547=IF('الداشبورد'!$B$10="الكل",$D1547,'الداشبورد'!$B$10))</f>
        <v/>
      </c>
      <c r="W1547">
        <f>--($G1547=IF('الداشبورد'!$B$11="الكل",$G1547,'الداشبورد'!$B$11))</f>
        <v/>
      </c>
      <c r="X1547">
        <f>Q1547*R1547*S1547*T1547*U1547*V1547*W1547*--($C1547&lt;&gt;"")</f>
        <v/>
      </c>
    </row>
    <row r="1548">
      <c r="Q1548">
        <f>--($A1548=IF('الداشبورد'!$B$5="الكل",$A1548,'الداشبورد'!$B$5))</f>
        <v/>
      </c>
      <c r="R1548">
        <f>--($E1548=IF('الداشبورد'!$B$6="الكل",$E1548,'الداشبورد'!$B$6))</f>
        <v/>
      </c>
      <c r="S1548">
        <f>--($K1548=IF('الداشبورد'!$B$7="الكل",$K1548,IF('الداشبورد'!$B$7="تصدير","Y","N")))</f>
        <v/>
      </c>
      <c r="T1548">
        <f>--($J1548=IF('الداشبورد'!$B$8="الكل",$J1548,IF('الداشبورد'!$B$8="AL","A","C")))</f>
        <v/>
      </c>
      <c r="U1548">
        <f>--($I1548=IF('الداشبورد'!$B$9="الكل",$I1548,IF('الداشبورد'!$B$9="بدون حالة","P",'الداشبورد'!$B$9)))</f>
        <v/>
      </c>
      <c r="V1548">
        <f>--($D1548=IF('الداشبورد'!$B$10="الكل",$D1548,'الداشبورد'!$B$10))</f>
        <v/>
      </c>
      <c r="W1548">
        <f>--($G1548=IF('الداشبورد'!$B$11="الكل",$G1548,'الداشبورد'!$B$11))</f>
        <v/>
      </c>
      <c r="X1548">
        <f>Q1548*R1548*S1548*T1548*U1548*V1548*W1548*--($C1548&lt;&gt;"")</f>
        <v/>
      </c>
    </row>
    <row r="1549">
      <c r="Q1549">
        <f>--($A1549=IF('الداشبورد'!$B$5="الكل",$A1549,'الداشبورد'!$B$5))</f>
        <v/>
      </c>
      <c r="R1549">
        <f>--($E1549=IF('الداشبورد'!$B$6="الكل",$E1549,'الداشبورد'!$B$6))</f>
        <v/>
      </c>
      <c r="S1549">
        <f>--($K1549=IF('الداشبورد'!$B$7="الكل",$K1549,IF('الداشبورد'!$B$7="تصدير","Y","N")))</f>
        <v/>
      </c>
      <c r="T1549">
        <f>--($J1549=IF('الداشبورد'!$B$8="الكل",$J1549,IF('الداشبورد'!$B$8="AL","A","C")))</f>
        <v/>
      </c>
      <c r="U1549">
        <f>--($I1549=IF('الداشبورد'!$B$9="الكل",$I1549,IF('الداشبورد'!$B$9="بدون حالة","P",'الداشبورد'!$B$9)))</f>
        <v/>
      </c>
      <c r="V1549">
        <f>--($D1549=IF('الداشبورد'!$B$10="الكل",$D1549,'الداشبورد'!$B$10))</f>
        <v/>
      </c>
      <c r="W1549">
        <f>--($G1549=IF('الداشبورد'!$B$11="الكل",$G1549,'الداشبورد'!$B$11))</f>
        <v/>
      </c>
      <c r="X1549">
        <f>Q1549*R1549*S1549*T1549*U1549*V1549*W1549*--($C1549&lt;&gt;"")</f>
        <v/>
      </c>
    </row>
    <row r="1550">
      <c r="Q1550">
        <f>--($A1550=IF('الداشبورد'!$B$5="الكل",$A1550,'الداشبورد'!$B$5))</f>
        <v/>
      </c>
      <c r="R1550">
        <f>--($E1550=IF('الداشبورد'!$B$6="الكل",$E1550,'الداشبورد'!$B$6))</f>
        <v/>
      </c>
      <c r="S1550">
        <f>--($K1550=IF('الداشبورد'!$B$7="الكل",$K1550,IF('الداشبورد'!$B$7="تصدير","Y","N")))</f>
        <v/>
      </c>
      <c r="T1550">
        <f>--($J1550=IF('الداشبورد'!$B$8="الكل",$J1550,IF('الداشبورد'!$B$8="AL","A","C")))</f>
        <v/>
      </c>
      <c r="U1550">
        <f>--($I1550=IF('الداشبورد'!$B$9="الكل",$I1550,IF('الداشبورد'!$B$9="بدون حالة","P",'الداشبورد'!$B$9)))</f>
        <v/>
      </c>
      <c r="V1550">
        <f>--($D1550=IF('الداشبورد'!$B$10="الكل",$D1550,'الداشبورد'!$B$10))</f>
        <v/>
      </c>
      <c r="W1550">
        <f>--($G1550=IF('الداشبورد'!$B$11="الكل",$G1550,'الداشبورد'!$B$11))</f>
        <v/>
      </c>
      <c r="X1550">
        <f>Q1550*R1550*S1550*T1550*U1550*V1550*W1550*--($C1550&lt;&gt;"")</f>
        <v/>
      </c>
    </row>
    <row r="1551">
      <c r="Q1551">
        <f>--($A1551=IF('الداشبورد'!$B$5="الكل",$A1551,'الداشبورد'!$B$5))</f>
        <v/>
      </c>
      <c r="R1551">
        <f>--($E1551=IF('الداشبورد'!$B$6="الكل",$E1551,'الداشبورد'!$B$6))</f>
        <v/>
      </c>
      <c r="S1551">
        <f>--($K1551=IF('الداشبورد'!$B$7="الكل",$K1551,IF('الداشبورد'!$B$7="تصدير","Y","N")))</f>
        <v/>
      </c>
      <c r="T1551">
        <f>--($J1551=IF('الداشبورد'!$B$8="الكل",$J1551,IF('الداشبورد'!$B$8="AL","A","C")))</f>
        <v/>
      </c>
      <c r="U1551">
        <f>--($I1551=IF('الداشبورد'!$B$9="الكل",$I1551,IF('الداشبورد'!$B$9="بدون حالة","P",'الداشبورد'!$B$9)))</f>
        <v/>
      </c>
      <c r="V1551">
        <f>--($D1551=IF('الداشبورد'!$B$10="الكل",$D1551,'الداشبورد'!$B$10))</f>
        <v/>
      </c>
      <c r="W1551">
        <f>--($G1551=IF('الداشبورد'!$B$11="الكل",$G1551,'الداشبورد'!$B$11))</f>
        <v/>
      </c>
      <c r="X1551">
        <f>Q1551*R1551*S1551*T1551*U1551*V1551*W1551*--($C1551&lt;&gt;"")</f>
        <v/>
      </c>
    </row>
    <row r="1552">
      <c r="Q1552">
        <f>--($A1552=IF('الداشبورد'!$B$5="الكل",$A1552,'الداشبورد'!$B$5))</f>
        <v/>
      </c>
      <c r="R1552">
        <f>--($E1552=IF('الداشبورد'!$B$6="الكل",$E1552,'الداشبورد'!$B$6))</f>
        <v/>
      </c>
      <c r="S1552">
        <f>--($K1552=IF('الداشبورد'!$B$7="الكل",$K1552,IF('الداشبورد'!$B$7="تصدير","Y","N")))</f>
        <v/>
      </c>
      <c r="T1552">
        <f>--($J1552=IF('الداشبورد'!$B$8="الكل",$J1552,IF('الداشبورد'!$B$8="AL","A","C")))</f>
        <v/>
      </c>
      <c r="U1552">
        <f>--($I1552=IF('الداشبورد'!$B$9="الكل",$I1552,IF('الداشبورد'!$B$9="بدون حالة","P",'الداشبورد'!$B$9)))</f>
        <v/>
      </c>
      <c r="V1552">
        <f>--($D1552=IF('الداشبورد'!$B$10="الكل",$D1552,'الداشبورد'!$B$10))</f>
        <v/>
      </c>
      <c r="W1552">
        <f>--($G1552=IF('الداشبورد'!$B$11="الكل",$G1552,'الداشبورد'!$B$11))</f>
        <v/>
      </c>
      <c r="X1552">
        <f>Q1552*R1552*S1552*T1552*U1552*V1552*W1552*--($C1552&lt;&gt;"")</f>
        <v/>
      </c>
    </row>
    <row r="1553">
      <c r="Q1553">
        <f>--($A1553=IF('الداشبورد'!$B$5="الكل",$A1553,'الداشبورد'!$B$5))</f>
        <v/>
      </c>
      <c r="R1553">
        <f>--($E1553=IF('الداشبورد'!$B$6="الكل",$E1553,'الداشبورد'!$B$6))</f>
        <v/>
      </c>
      <c r="S1553">
        <f>--($K1553=IF('الداشبورد'!$B$7="الكل",$K1553,IF('الداشبورد'!$B$7="تصدير","Y","N")))</f>
        <v/>
      </c>
      <c r="T1553">
        <f>--($J1553=IF('الداشبورد'!$B$8="الكل",$J1553,IF('الداشبورد'!$B$8="AL","A","C")))</f>
        <v/>
      </c>
      <c r="U1553">
        <f>--($I1553=IF('الداشبورد'!$B$9="الكل",$I1553,IF('الداشبورد'!$B$9="بدون حالة","P",'الداشبورد'!$B$9)))</f>
        <v/>
      </c>
      <c r="V1553">
        <f>--($D1553=IF('الداشبورد'!$B$10="الكل",$D1553,'الداشبورد'!$B$10))</f>
        <v/>
      </c>
      <c r="W1553">
        <f>--($G1553=IF('الداشبورد'!$B$11="الكل",$G1553,'الداشبورد'!$B$11))</f>
        <v/>
      </c>
      <c r="X1553">
        <f>Q1553*R1553*S1553*T1553*U1553*V1553*W1553*--($C1553&lt;&gt;"")</f>
        <v/>
      </c>
    </row>
    <row r="1554">
      <c r="Q1554">
        <f>--($A1554=IF('الداشبورد'!$B$5="الكل",$A1554,'الداشبورد'!$B$5))</f>
        <v/>
      </c>
      <c r="R1554">
        <f>--($E1554=IF('الداشبورد'!$B$6="الكل",$E1554,'الداشبورد'!$B$6))</f>
        <v/>
      </c>
      <c r="S1554">
        <f>--($K1554=IF('الداشبورد'!$B$7="الكل",$K1554,IF('الداشبورد'!$B$7="تصدير","Y","N")))</f>
        <v/>
      </c>
      <c r="T1554">
        <f>--($J1554=IF('الداشبورد'!$B$8="الكل",$J1554,IF('الداشبورد'!$B$8="AL","A","C")))</f>
        <v/>
      </c>
      <c r="U1554">
        <f>--($I1554=IF('الداشبورد'!$B$9="الكل",$I1554,IF('الداشبورد'!$B$9="بدون حالة","P",'الداشبورد'!$B$9)))</f>
        <v/>
      </c>
      <c r="V1554">
        <f>--($D1554=IF('الداشبورد'!$B$10="الكل",$D1554,'الداشبورد'!$B$10))</f>
        <v/>
      </c>
      <c r="W1554">
        <f>--($G1554=IF('الداشبورد'!$B$11="الكل",$G1554,'الداشبورد'!$B$11))</f>
        <v/>
      </c>
      <c r="X1554">
        <f>Q1554*R1554*S1554*T1554*U1554*V1554*W1554*--($C1554&lt;&gt;"")</f>
        <v/>
      </c>
    </row>
    <row r="1555">
      <c r="Q1555">
        <f>--($A1555=IF('الداشبورد'!$B$5="الكل",$A1555,'الداشبورد'!$B$5))</f>
        <v/>
      </c>
      <c r="R1555">
        <f>--($E1555=IF('الداشبورد'!$B$6="الكل",$E1555,'الداشبورد'!$B$6))</f>
        <v/>
      </c>
      <c r="S1555">
        <f>--($K1555=IF('الداشبورد'!$B$7="الكل",$K1555,IF('الداشبورد'!$B$7="تصدير","Y","N")))</f>
        <v/>
      </c>
      <c r="T1555">
        <f>--($J1555=IF('الداشبورد'!$B$8="الكل",$J1555,IF('الداشبورد'!$B$8="AL","A","C")))</f>
        <v/>
      </c>
      <c r="U1555">
        <f>--($I1555=IF('الداشبورد'!$B$9="الكل",$I1555,IF('الداشبورد'!$B$9="بدون حالة","P",'الداشبورد'!$B$9)))</f>
        <v/>
      </c>
      <c r="V1555">
        <f>--($D1555=IF('الداشبورد'!$B$10="الكل",$D1555,'الداشبورد'!$B$10))</f>
        <v/>
      </c>
      <c r="W1555">
        <f>--($G1555=IF('الداشبورد'!$B$11="الكل",$G1555,'الداشبورد'!$B$11))</f>
        <v/>
      </c>
      <c r="X1555">
        <f>Q1555*R1555*S1555*T1555*U1555*V1555*W1555*--($C1555&lt;&gt;"")</f>
        <v/>
      </c>
    </row>
    <row r="1556">
      <c r="Q1556">
        <f>--($A1556=IF('الداشبورد'!$B$5="الكل",$A1556,'الداشبورد'!$B$5))</f>
        <v/>
      </c>
      <c r="R1556">
        <f>--($E1556=IF('الداشبورد'!$B$6="الكل",$E1556,'الداشبورد'!$B$6))</f>
        <v/>
      </c>
      <c r="S1556">
        <f>--($K1556=IF('الداشبورد'!$B$7="الكل",$K1556,IF('الداشبورد'!$B$7="تصدير","Y","N")))</f>
        <v/>
      </c>
      <c r="T1556">
        <f>--($J1556=IF('الداشبورد'!$B$8="الكل",$J1556,IF('الداشبورد'!$B$8="AL","A","C")))</f>
        <v/>
      </c>
      <c r="U1556">
        <f>--($I1556=IF('الداشبورد'!$B$9="الكل",$I1556,IF('الداشبورد'!$B$9="بدون حالة","P",'الداشبورد'!$B$9)))</f>
        <v/>
      </c>
      <c r="V1556">
        <f>--($D1556=IF('الداشبورد'!$B$10="الكل",$D1556,'الداشبورد'!$B$10))</f>
        <v/>
      </c>
      <c r="W1556">
        <f>--($G1556=IF('الداشبورد'!$B$11="الكل",$G1556,'الداشبورد'!$B$11))</f>
        <v/>
      </c>
      <c r="X1556">
        <f>Q1556*R1556*S1556*T1556*U1556*V1556*W1556*--($C1556&lt;&gt;"")</f>
        <v/>
      </c>
    </row>
    <row r="1557">
      <c r="Q1557">
        <f>--($A1557=IF('الداشبورد'!$B$5="الكل",$A1557,'الداشبورد'!$B$5))</f>
        <v/>
      </c>
      <c r="R1557">
        <f>--($E1557=IF('الداشبورد'!$B$6="الكل",$E1557,'الداشبورد'!$B$6))</f>
        <v/>
      </c>
      <c r="S1557">
        <f>--($K1557=IF('الداشبورد'!$B$7="الكل",$K1557,IF('الداشبورد'!$B$7="تصدير","Y","N")))</f>
        <v/>
      </c>
      <c r="T1557">
        <f>--($J1557=IF('الداشبورد'!$B$8="الكل",$J1557,IF('الداشبورد'!$B$8="AL","A","C")))</f>
        <v/>
      </c>
      <c r="U1557">
        <f>--($I1557=IF('الداشبورد'!$B$9="الكل",$I1557,IF('الداشبورد'!$B$9="بدون حالة","P",'الداشبورد'!$B$9)))</f>
        <v/>
      </c>
      <c r="V1557">
        <f>--($D1557=IF('الداشبورد'!$B$10="الكل",$D1557,'الداشبورد'!$B$10))</f>
        <v/>
      </c>
      <c r="W1557">
        <f>--($G1557=IF('الداشبورد'!$B$11="الكل",$G1557,'الداشبورد'!$B$11))</f>
        <v/>
      </c>
      <c r="X1557">
        <f>Q1557*R1557*S1557*T1557*U1557*V1557*W1557*--($C1557&lt;&gt;"")</f>
        <v/>
      </c>
    </row>
    <row r="1558">
      <c r="Q1558">
        <f>--($A1558=IF('الداشبورد'!$B$5="الكل",$A1558,'الداشبورد'!$B$5))</f>
        <v/>
      </c>
      <c r="R1558">
        <f>--($E1558=IF('الداشبورد'!$B$6="الكل",$E1558,'الداشبورد'!$B$6))</f>
        <v/>
      </c>
      <c r="S1558">
        <f>--($K1558=IF('الداشبورد'!$B$7="الكل",$K1558,IF('الداشبورد'!$B$7="تصدير","Y","N")))</f>
        <v/>
      </c>
      <c r="T1558">
        <f>--($J1558=IF('الداشبورد'!$B$8="الكل",$J1558,IF('الداشبورد'!$B$8="AL","A","C")))</f>
        <v/>
      </c>
      <c r="U1558">
        <f>--($I1558=IF('الداشبورد'!$B$9="الكل",$I1558,IF('الداشبورد'!$B$9="بدون حالة","P",'الداشبورد'!$B$9)))</f>
        <v/>
      </c>
      <c r="V1558">
        <f>--($D1558=IF('الداشبورد'!$B$10="الكل",$D1558,'الداشبورد'!$B$10))</f>
        <v/>
      </c>
      <c r="W1558">
        <f>--($G1558=IF('الداشبورد'!$B$11="الكل",$G1558,'الداشبورد'!$B$11))</f>
        <v/>
      </c>
      <c r="X1558">
        <f>Q1558*R1558*S1558*T1558*U1558*V1558*W1558*--($C1558&lt;&gt;"")</f>
        <v/>
      </c>
    </row>
    <row r="1559">
      <c r="Q1559">
        <f>--($A1559=IF('الداشبورد'!$B$5="الكل",$A1559,'الداشبورد'!$B$5))</f>
        <v/>
      </c>
      <c r="R1559">
        <f>--($E1559=IF('الداشبورد'!$B$6="الكل",$E1559,'الداشبورد'!$B$6))</f>
        <v/>
      </c>
      <c r="S1559">
        <f>--($K1559=IF('الداشبورد'!$B$7="الكل",$K1559,IF('الداشبورد'!$B$7="تصدير","Y","N")))</f>
        <v/>
      </c>
      <c r="T1559">
        <f>--($J1559=IF('الداشبورد'!$B$8="الكل",$J1559,IF('الداشبورد'!$B$8="AL","A","C")))</f>
        <v/>
      </c>
      <c r="U1559">
        <f>--($I1559=IF('الداشبورد'!$B$9="الكل",$I1559,IF('الداشبورد'!$B$9="بدون حالة","P",'الداشبورد'!$B$9)))</f>
        <v/>
      </c>
      <c r="V1559">
        <f>--($D1559=IF('الداشبورد'!$B$10="الكل",$D1559,'الداشبورد'!$B$10))</f>
        <v/>
      </c>
      <c r="W1559">
        <f>--($G1559=IF('الداشبورد'!$B$11="الكل",$G1559,'الداشبورد'!$B$11))</f>
        <v/>
      </c>
      <c r="X1559">
        <f>Q1559*R1559*S1559*T1559*U1559*V1559*W1559*--($C1559&lt;&gt;"")</f>
        <v/>
      </c>
    </row>
    <row r="1560">
      <c r="Q1560">
        <f>--($A1560=IF('الداشبورد'!$B$5="الكل",$A1560,'الداشبورد'!$B$5))</f>
        <v/>
      </c>
      <c r="R1560">
        <f>--($E1560=IF('الداشبورد'!$B$6="الكل",$E1560,'الداشبورد'!$B$6))</f>
        <v/>
      </c>
      <c r="S1560">
        <f>--($K1560=IF('الداشبورد'!$B$7="الكل",$K1560,IF('الداشبورد'!$B$7="تصدير","Y","N")))</f>
        <v/>
      </c>
      <c r="T1560">
        <f>--($J1560=IF('الداشبورد'!$B$8="الكل",$J1560,IF('الداشبورد'!$B$8="AL","A","C")))</f>
        <v/>
      </c>
      <c r="U1560">
        <f>--($I1560=IF('الداشبورد'!$B$9="الكل",$I1560,IF('الداشبورد'!$B$9="بدون حالة","P",'الداشبورد'!$B$9)))</f>
        <v/>
      </c>
      <c r="V1560">
        <f>--($D1560=IF('الداشبورد'!$B$10="الكل",$D1560,'الداشبورد'!$B$10))</f>
        <v/>
      </c>
      <c r="W1560">
        <f>--($G1560=IF('الداشبورد'!$B$11="الكل",$G1560,'الداشبورد'!$B$11))</f>
        <v/>
      </c>
      <c r="X1560">
        <f>Q1560*R1560*S1560*T1560*U1560*V1560*W1560*--($C1560&lt;&gt;"")</f>
        <v/>
      </c>
    </row>
    <row r="1561">
      <c r="Q1561">
        <f>--($A1561=IF('الداشبورد'!$B$5="الكل",$A1561,'الداشبورد'!$B$5))</f>
        <v/>
      </c>
      <c r="R1561">
        <f>--($E1561=IF('الداشبورد'!$B$6="الكل",$E1561,'الداشبورد'!$B$6))</f>
        <v/>
      </c>
      <c r="S1561">
        <f>--($K1561=IF('الداشبورد'!$B$7="الكل",$K1561,IF('الداشبورد'!$B$7="تصدير","Y","N")))</f>
        <v/>
      </c>
      <c r="T1561">
        <f>--($J1561=IF('الداشبورد'!$B$8="الكل",$J1561,IF('الداشبورد'!$B$8="AL","A","C")))</f>
        <v/>
      </c>
      <c r="U1561">
        <f>--($I1561=IF('الداشبورد'!$B$9="الكل",$I1561,IF('الداشبورد'!$B$9="بدون حالة","P",'الداشبورد'!$B$9)))</f>
        <v/>
      </c>
      <c r="V1561">
        <f>--($D1561=IF('الداشبورد'!$B$10="الكل",$D1561,'الداشبورد'!$B$10))</f>
        <v/>
      </c>
      <c r="W1561">
        <f>--($G1561=IF('الداشبورد'!$B$11="الكل",$G1561,'الداشبورد'!$B$11))</f>
        <v/>
      </c>
      <c r="X1561">
        <f>Q1561*R1561*S1561*T1561*U1561*V1561*W1561*--($C1561&lt;&gt;"")</f>
        <v/>
      </c>
    </row>
    <row r="1562">
      <c r="Q1562">
        <f>--($A1562=IF('الداشبورد'!$B$5="الكل",$A1562,'الداشبورد'!$B$5))</f>
        <v/>
      </c>
      <c r="R1562">
        <f>--($E1562=IF('الداشبورد'!$B$6="الكل",$E1562,'الداشبورد'!$B$6))</f>
        <v/>
      </c>
      <c r="S1562">
        <f>--($K1562=IF('الداشبورد'!$B$7="الكل",$K1562,IF('الداشبورد'!$B$7="تصدير","Y","N")))</f>
        <v/>
      </c>
      <c r="T1562">
        <f>--($J1562=IF('الداشبورد'!$B$8="الكل",$J1562,IF('الداشبورد'!$B$8="AL","A","C")))</f>
        <v/>
      </c>
      <c r="U1562">
        <f>--($I1562=IF('الداشبورد'!$B$9="الكل",$I1562,IF('الداشبورد'!$B$9="بدون حالة","P",'الداشبورد'!$B$9)))</f>
        <v/>
      </c>
      <c r="V1562">
        <f>--($D1562=IF('الداشبورد'!$B$10="الكل",$D1562,'الداشبورد'!$B$10))</f>
        <v/>
      </c>
      <c r="W1562">
        <f>--($G1562=IF('الداشبورد'!$B$11="الكل",$G1562,'الداشبورد'!$B$11))</f>
        <v/>
      </c>
      <c r="X1562">
        <f>Q1562*R1562*S1562*T1562*U1562*V1562*W1562*--($C1562&lt;&gt;"")</f>
        <v/>
      </c>
    </row>
    <row r="1563">
      <c r="Q1563">
        <f>--($A1563=IF('الداشبورد'!$B$5="الكل",$A1563,'الداشبورد'!$B$5))</f>
        <v/>
      </c>
      <c r="R1563">
        <f>--($E1563=IF('الداشبورد'!$B$6="الكل",$E1563,'الداشبورد'!$B$6))</f>
        <v/>
      </c>
      <c r="S1563">
        <f>--($K1563=IF('الداشبورد'!$B$7="الكل",$K1563,IF('الداشبورد'!$B$7="تصدير","Y","N")))</f>
        <v/>
      </c>
      <c r="T1563">
        <f>--($J1563=IF('الداشبورد'!$B$8="الكل",$J1563,IF('الداشبورد'!$B$8="AL","A","C")))</f>
        <v/>
      </c>
      <c r="U1563">
        <f>--($I1563=IF('الداشبورد'!$B$9="الكل",$I1563,IF('الداشبورد'!$B$9="بدون حالة","P",'الداشبورد'!$B$9)))</f>
        <v/>
      </c>
      <c r="V1563">
        <f>--($D1563=IF('الداشبورد'!$B$10="الكل",$D1563,'الداشبورد'!$B$10))</f>
        <v/>
      </c>
      <c r="W1563">
        <f>--($G1563=IF('الداشبورد'!$B$11="الكل",$G1563,'الداشبورد'!$B$11))</f>
        <v/>
      </c>
      <c r="X1563">
        <f>Q1563*R1563*S1563*T1563*U1563*V1563*W1563*--($C1563&lt;&gt;"")</f>
        <v/>
      </c>
    </row>
    <row r="1564">
      <c r="Q1564">
        <f>--($A1564=IF('الداشبورد'!$B$5="الكل",$A1564,'الداشبورد'!$B$5))</f>
        <v/>
      </c>
      <c r="R1564">
        <f>--($E1564=IF('الداشبورد'!$B$6="الكل",$E1564,'الداشبورد'!$B$6))</f>
        <v/>
      </c>
      <c r="S1564">
        <f>--($K1564=IF('الداشبورد'!$B$7="الكل",$K1564,IF('الداشبورد'!$B$7="تصدير","Y","N")))</f>
        <v/>
      </c>
      <c r="T1564">
        <f>--($J1564=IF('الداشبورد'!$B$8="الكل",$J1564,IF('الداشبورد'!$B$8="AL","A","C")))</f>
        <v/>
      </c>
      <c r="U1564">
        <f>--($I1564=IF('الداشبورد'!$B$9="الكل",$I1564,IF('الداشبورد'!$B$9="بدون حالة","P",'الداشبورد'!$B$9)))</f>
        <v/>
      </c>
      <c r="V1564">
        <f>--($D1564=IF('الداشبورد'!$B$10="الكل",$D1564,'الداشبورد'!$B$10))</f>
        <v/>
      </c>
      <c r="W1564">
        <f>--($G1564=IF('الداشبورد'!$B$11="الكل",$G1564,'الداشبورد'!$B$11))</f>
        <v/>
      </c>
      <c r="X1564">
        <f>Q1564*R1564*S1564*T1564*U1564*V1564*W1564*--($C1564&lt;&gt;"")</f>
        <v/>
      </c>
    </row>
    <row r="1565">
      <c r="Q1565">
        <f>--($A1565=IF('الداشبورد'!$B$5="الكل",$A1565,'الداشبورد'!$B$5))</f>
        <v/>
      </c>
      <c r="R1565">
        <f>--($E1565=IF('الداشبورد'!$B$6="الكل",$E1565,'الداشبورد'!$B$6))</f>
        <v/>
      </c>
      <c r="S1565">
        <f>--($K1565=IF('الداشبورد'!$B$7="الكل",$K1565,IF('الداشبورد'!$B$7="تصدير","Y","N")))</f>
        <v/>
      </c>
      <c r="T1565">
        <f>--($J1565=IF('الداشبورد'!$B$8="الكل",$J1565,IF('الداشبورد'!$B$8="AL","A","C")))</f>
        <v/>
      </c>
      <c r="U1565">
        <f>--($I1565=IF('الداشبورد'!$B$9="الكل",$I1565,IF('الداشبورد'!$B$9="بدون حالة","P",'الداشبورد'!$B$9)))</f>
        <v/>
      </c>
      <c r="V1565">
        <f>--($D1565=IF('الداشبورد'!$B$10="الكل",$D1565,'الداشبورد'!$B$10))</f>
        <v/>
      </c>
      <c r="W1565">
        <f>--($G1565=IF('الداشبورد'!$B$11="الكل",$G1565,'الداشبورد'!$B$11))</f>
        <v/>
      </c>
      <c r="X1565">
        <f>Q1565*R1565*S1565*T1565*U1565*V1565*W1565*--($C1565&lt;&gt;"")</f>
        <v/>
      </c>
    </row>
    <row r="1566">
      <c r="Q1566">
        <f>--($A1566=IF('الداشبورد'!$B$5="الكل",$A1566,'الداشبورد'!$B$5))</f>
        <v/>
      </c>
      <c r="R1566">
        <f>--($E1566=IF('الداشبورد'!$B$6="الكل",$E1566,'الداشبورد'!$B$6))</f>
        <v/>
      </c>
      <c r="S1566">
        <f>--($K1566=IF('الداشبورد'!$B$7="الكل",$K1566,IF('الداشبورد'!$B$7="تصدير","Y","N")))</f>
        <v/>
      </c>
      <c r="T1566">
        <f>--($J1566=IF('الداشبورد'!$B$8="الكل",$J1566,IF('الداشبورد'!$B$8="AL","A","C")))</f>
        <v/>
      </c>
      <c r="U1566">
        <f>--($I1566=IF('الداشبورد'!$B$9="الكل",$I1566,IF('الداشبورد'!$B$9="بدون حالة","P",'الداشبورد'!$B$9)))</f>
        <v/>
      </c>
      <c r="V1566">
        <f>--($D1566=IF('الداشبورد'!$B$10="الكل",$D1566,'الداشبورد'!$B$10))</f>
        <v/>
      </c>
      <c r="W1566">
        <f>--($G1566=IF('الداشبورد'!$B$11="الكل",$G1566,'الداشبورد'!$B$11))</f>
        <v/>
      </c>
      <c r="X1566">
        <f>Q1566*R1566*S1566*T1566*U1566*V1566*W1566*--($C1566&lt;&gt;"")</f>
        <v/>
      </c>
    </row>
    <row r="1567">
      <c r="Q1567">
        <f>--($A1567=IF('الداشبورد'!$B$5="الكل",$A1567,'الداشبورد'!$B$5))</f>
        <v/>
      </c>
      <c r="R1567">
        <f>--($E1567=IF('الداشبورد'!$B$6="الكل",$E1567,'الداشبورد'!$B$6))</f>
        <v/>
      </c>
      <c r="S1567">
        <f>--($K1567=IF('الداشبورد'!$B$7="الكل",$K1567,IF('الداشبورد'!$B$7="تصدير","Y","N")))</f>
        <v/>
      </c>
      <c r="T1567">
        <f>--($J1567=IF('الداشبورد'!$B$8="الكل",$J1567,IF('الداشبورد'!$B$8="AL","A","C")))</f>
        <v/>
      </c>
      <c r="U1567">
        <f>--($I1567=IF('الداشبورد'!$B$9="الكل",$I1567,IF('الداشبورد'!$B$9="بدون حالة","P",'الداشبورد'!$B$9)))</f>
        <v/>
      </c>
      <c r="V1567">
        <f>--($D1567=IF('الداشبورد'!$B$10="الكل",$D1567,'الداشبورد'!$B$10))</f>
        <v/>
      </c>
      <c r="W1567">
        <f>--($G1567=IF('الداشبورد'!$B$11="الكل",$G1567,'الداشبورد'!$B$11))</f>
        <v/>
      </c>
      <c r="X1567">
        <f>Q1567*R1567*S1567*T1567*U1567*V1567*W1567*--($C1567&lt;&gt;"")</f>
        <v/>
      </c>
    </row>
    <row r="1568">
      <c r="Q1568">
        <f>--($A1568=IF('الداشبورد'!$B$5="الكل",$A1568,'الداشبورد'!$B$5))</f>
        <v/>
      </c>
      <c r="R1568">
        <f>--($E1568=IF('الداشبورد'!$B$6="الكل",$E1568,'الداشبورد'!$B$6))</f>
        <v/>
      </c>
      <c r="S1568">
        <f>--($K1568=IF('الداشبورد'!$B$7="الكل",$K1568,IF('الداشبورد'!$B$7="تصدير","Y","N")))</f>
        <v/>
      </c>
      <c r="T1568">
        <f>--($J1568=IF('الداشبورد'!$B$8="الكل",$J1568,IF('الداشبورد'!$B$8="AL","A","C")))</f>
        <v/>
      </c>
      <c r="U1568">
        <f>--($I1568=IF('الداشبورد'!$B$9="الكل",$I1568,IF('الداشبورد'!$B$9="بدون حالة","P",'الداشبورد'!$B$9)))</f>
        <v/>
      </c>
      <c r="V1568">
        <f>--($D1568=IF('الداشبورد'!$B$10="الكل",$D1568,'الداشبورد'!$B$10))</f>
        <v/>
      </c>
      <c r="W1568">
        <f>--($G1568=IF('الداشبورد'!$B$11="الكل",$G1568,'الداشبورد'!$B$11))</f>
        <v/>
      </c>
      <c r="X1568">
        <f>Q1568*R1568*S1568*T1568*U1568*V1568*W1568*--($C1568&lt;&gt;"")</f>
        <v/>
      </c>
    </row>
    <row r="1569">
      <c r="Q1569">
        <f>--($A1569=IF('الداشبورد'!$B$5="الكل",$A1569,'الداشبورد'!$B$5))</f>
        <v/>
      </c>
      <c r="R1569">
        <f>--($E1569=IF('الداشبورد'!$B$6="الكل",$E1569,'الداشبورد'!$B$6))</f>
        <v/>
      </c>
      <c r="S1569">
        <f>--($K1569=IF('الداشبورد'!$B$7="الكل",$K1569,IF('الداشبورد'!$B$7="تصدير","Y","N")))</f>
        <v/>
      </c>
      <c r="T1569">
        <f>--($J1569=IF('الداشبورد'!$B$8="الكل",$J1569,IF('الداشبورد'!$B$8="AL","A","C")))</f>
        <v/>
      </c>
      <c r="U1569">
        <f>--($I1569=IF('الداشبورد'!$B$9="الكل",$I1569,IF('الداشبورد'!$B$9="بدون حالة","P",'الداشبورد'!$B$9)))</f>
        <v/>
      </c>
      <c r="V1569">
        <f>--($D1569=IF('الداشبورد'!$B$10="الكل",$D1569,'الداشبورد'!$B$10))</f>
        <v/>
      </c>
      <c r="W1569">
        <f>--($G1569=IF('الداشبورد'!$B$11="الكل",$G1569,'الداشبورد'!$B$11))</f>
        <v/>
      </c>
      <c r="X1569">
        <f>Q1569*R1569*S1569*T1569*U1569*V1569*W1569*--($C1569&lt;&gt;"")</f>
        <v/>
      </c>
    </row>
    <row r="1570">
      <c r="Q1570">
        <f>--($A1570=IF('الداشبورد'!$B$5="الكل",$A1570,'الداشبورد'!$B$5))</f>
        <v/>
      </c>
      <c r="R1570">
        <f>--($E1570=IF('الداشبورد'!$B$6="الكل",$E1570,'الداشبورد'!$B$6))</f>
        <v/>
      </c>
      <c r="S1570">
        <f>--($K1570=IF('الداشبورد'!$B$7="الكل",$K1570,IF('الداشبورد'!$B$7="تصدير","Y","N")))</f>
        <v/>
      </c>
      <c r="T1570">
        <f>--($J1570=IF('الداشبورد'!$B$8="الكل",$J1570,IF('الداشبورد'!$B$8="AL","A","C")))</f>
        <v/>
      </c>
      <c r="U1570">
        <f>--($I1570=IF('الداشبورد'!$B$9="الكل",$I1570,IF('الداشبورد'!$B$9="بدون حالة","P",'الداشبورد'!$B$9)))</f>
        <v/>
      </c>
      <c r="V1570">
        <f>--($D1570=IF('الداشبورد'!$B$10="الكل",$D1570,'الداشبورد'!$B$10))</f>
        <v/>
      </c>
      <c r="W1570">
        <f>--($G1570=IF('الداشبورد'!$B$11="الكل",$G1570,'الداشبورد'!$B$11))</f>
        <v/>
      </c>
      <c r="X1570">
        <f>Q1570*R1570*S1570*T1570*U1570*V1570*W1570*--($C1570&lt;&gt;"")</f>
        <v/>
      </c>
    </row>
    <row r="1571">
      <c r="Q1571">
        <f>--($A1571=IF('الداشبورد'!$B$5="الكل",$A1571,'الداشبورد'!$B$5))</f>
        <v/>
      </c>
      <c r="R1571">
        <f>--($E1571=IF('الداشبورد'!$B$6="الكل",$E1571,'الداشبورد'!$B$6))</f>
        <v/>
      </c>
      <c r="S1571">
        <f>--($K1571=IF('الداشبورد'!$B$7="الكل",$K1571,IF('الداشبورد'!$B$7="تصدير","Y","N")))</f>
        <v/>
      </c>
      <c r="T1571">
        <f>--($J1571=IF('الداشبورد'!$B$8="الكل",$J1571,IF('الداشبورد'!$B$8="AL","A","C")))</f>
        <v/>
      </c>
      <c r="U1571">
        <f>--($I1571=IF('الداشبورد'!$B$9="الكل",$I1571,IF('الداشبورد'!$B$9="بدون حالة","P",'الداشبورد'!$B$9)))</f>
        <v/>
      </c>
      <c r="V1571">
        <f>--($D1571=IF('الداشبورد'!$B$10="الكل",$D1571,'الداشبورد'!$B$10))</f>
        <v/>
      </c>
      <c r="W1571">
        <f>--($G1571=IF('الداشبورد'!$B$11="الكل",$G1571,'الداشبورد'!$B$11))</f>
        <v/>
      </c>
      <c r="X1571">
        <f>Q1571*R1571*S1571*T1571*U1571*V1571*W1571*--($C1571&lt;&gt;"")</f>
        <v/>
      </c>
    </row>
    <row r="1572">
      <c r="Q1572">
        <f>--($A1572=IF('الداشبورد'!$B$5="الكل",$A1572,'الداشبورد'!$B$5))</f>
        <v/>
      </c>
      <c r="R1572">
        <f>--($E1572=IF('الداشبورد'!$B$6="الكل",$E1572,'الداشبورد'!$B$6))</f>
        <v/>
      </c>
      <c r="S1572">
        <f>--($K1572=IF('الداشبورد'!$B$7="الكل",$K1572,IF('الداشبورد'!$B$7="تصدير","Y","N")))</f>
        <v/>
      </c>
      <c r="T1572">
        <f>--($J1572=IF('الداشبورد'!$B$8="الكل",$J1572,IF('الداشبورد'!$B$8="AL","A","C")))</f>
        <v/>
      </c>
      <c r="U1572">
        <f>--($I1572=IF('الداشبورد'!$B$9="الكل",$I1572,IF('الداشبورد'!$B$9="بدون حالة","P",'الداشبورد'!$B$9)))</f>
        <v/>
      </c>
      <c r="V1572">
        <f>--($D1572=IF('الداشبورد'!$B$10="الكل",$D1572,'الداشبورد'!$B$10))</f>
        <v/>
      </c>
      <c r="W1572">
        <f>--($G1572=IF('الداشبورد'!$B$11="الكل",$G1572,'الداشبورد'!$B$11))</f>
        <v/>
      </c>
      <c r="X1572">
        <f>Q1572*R1572*S1572*T1572*U1572*V1572*W1572*--($C1572&lt;&gt;"")</f>
        <v/>
      </c>
    </row>
    <row r="1573">
      <c r="Q1573">
        <f>--($A1573=IF('الداشبورد'!$B$5="الكل",$A1573,'الداشبورد'!$B$5))</f>
        <v/>
      </c>
      <c r="R1573">
        <f>--($E1573=IF('الداشبورد'!$B$6="الكل",$E1573,'الداشبورد'!$B$6))</f>
        <v/>
      </c>
      <c r="S1573">
        <f>--($K1573=IF('الداشبورد'!$B$7="الكل",$K1573,IF('الداشبورد'!$B$7="تصدير","Y","N")))</f>
        <v/>
      </c>
      <c r="T1573">
        <f>--($J1573=IF('الداشبورد'!$B$8="الكل",$J1573,IF('الداشبورد'!$B$8="AL","A","C")))</f>
        <v/>
      </c>
      <c r="U1573">
        <f>--($I1573=IF('الداشبورد'!$B$9="الكل",$I1573,IF('الداشبورد'!$B$9="بدون حالة","P",'الداشبورد'!$B$9)))</f>
        <v/>
      </c>
      <c r="V1573">
        <f>--($D1573=IF('الداشبورد'!$B$10="الكل",$D1573,'الداشبورد'!$B$10))</f>
        <v/>
      </c>
      <c r="W1573">
        <f>--($G1573=IF('الداشبورد'!$B$11="الكل",$G1573,'الداشبورد'!$B$11))</f>
        <v/>
      </c>
      <c r="X1573">
        <f>Q1573*R1573*S1573*T1573*U1573*V1573*W1573*--($C1573&lt;&gt;"")</f>
        <v/>
      </c>
    </row>
    <row r="1574">
      <c r="Q1574">
        <f>--($A1574=IF('الداشبورد'!$B$5="الكل",$A1574,'الداشبورد'!$B$5))</f>
        <v/>
      </c>
      <c r="R1574">
        <f>--($E1574=IF('الداشبورد'!$B$6="الكل",$E1574,'الداشبورد'!$B$6))</f>
        <v/>
      </c>
      <c r="S1574">
        <f>--($K1574=IF('الداشبورد'!$B$7="الكل",$K1574,IF('الداشبورد'!$B$7="تصدير","Y","N")))</f>
        <v/>
      </c>
      <c r="T1574">
        <f>--($J1574=IF('الداشبورد'!$B$8="الكل",$J1574,IF('الداشبورد'!$B$8="AL","A","C")))</f>
        <v/>
      </c>
      <c r="U1574">
        <f>--($I1574=IF('الداشبورد'!$B$9="الكل",$I1574,IF('الداشبورد'!$B$9="بدون حالة","P",'الداشبورد'!$B$9)))</f>
        <v/>
      </c>
      <c r="V1574">
        <f>--($D1574=IF('الداشبورد'!$B$10="الكل",$D1574,'الداشبورد'!$B$10))</f>
        <v/>
      </c>
      <c r="W1574">
        <f>--($G1574=IF('الداشبورد'!$B$11="الكل",$G1574,'الداشبورد'!$B$11))</f>
        <v/>
      </c>
      <c r="X1574">
        <f>Q1574*R1574*S1574*T1574*U1574*V1574*W1574*--($C1574&lt;&gt;"")</f>
        <v/>
      </c>
    </row>
    <row r="1575">
      <c r="Q1575">
        <f>--($A1575=IF('الداشبورد'!$B$5="الكل",$A1575,'الداشبورد'!$B$5))</f>
        <v/>
      </c>
      <c r="R1575">
        <f>--($E1575=IF('الداشبورد'!$B$6="الكل",$E1575,'الداشبورد'!$B$6))</f>
        <v/>
      </c>
      <c r="S1575">
        <f>--($K1575=IF('الداشبورد'!$B$7="الكل",$K1575,IF('الداشبورد'!$B$7="تصدير","Y","N")))</f>
        <v/>
      </c>
      <c r="T1575">
        <f>--($J1575=IF('الداشبورد'!$B$8="الكل",$J1575,IF('الداشبورد'!$B$8="AL","A","C")))</f>
        <v/>
      </c>
      <c r="U1575">
        <f>--($I1575=IF('الداشبورد'!$B$9="الكل",$I1575,IF('الداشبورد'!$B$9="بدون حالة","P",'الداشبورد'!$B$9)))</f>
        <v/>
      </c>
      <c r="V1575">
        <f>--($D1575=IF('الداشبورد'!$B$10="الكل",$D1575,'الداشبورد'!$B$10))</f>
        <v/>
      </c>
      <c r="W1575">
        <f>--($G1575=IF('الداشبورد'!$B$11="الكل",$G1575,'الداشبورد'!$B$11))</f>
        <v/>
      </c>
      <c r="X1575">
        <f>Q1575*R1575*S1575*T1575*U1575*V1575*W1575*--($C1575&lt;&gt;"")</f>
        <v/>
      </c>
    </row>
    <row r="1576">
      <c r="Q1576">
        <f>--($A1576=IF('الداشبورد'!$B$5="الكل",$A1576,'الداشبورد'!$B$5))</f>
        <v/>
      </c>
      <c r="R1576">
        <f>--($E1576=IF('الداشبورد'!$B$6="الكل",$E1576,'الداشبورد'!$B$6))</f>
        <v/>
      </c>
      <c r="S1576">
        <f>--($K1576=IF('الداشبورد'!$B$7="الكل",$K1576,IF('الداشبورد'!$B$7="تصدير","Y","N")))</f>
        <v/>
      </c>
      <c r="T1576">
        <f>--($J1576=IF('الداشبورد'!$B$8="الكل",$J1576,IF('الداشبورد'!$B$8="AL","A","C")))</f>
        <v/>
      </c>
      <c r="U1576">
        <f>--($I1576=IF('الداشبورد'!$B$9="الكل",$I1576,IF('الداشبورد'!$B$9="بدون حالة","P",'الداشبورد'!$B$9)))</f>
        <v/>
      </c>
      <c r="V1576">
        <f>--($D1576=IF('الداشبورد'!$B$10="الكل",$D1576,'الداشبورد'!$B$10))</f>
        <v/>
      </c>
      <c r="W1576">
        <f>--($G1576=IF('الداشبورد'!$B$11="الكل",$G1576,'الداشبورد'!$B$11))</f>
        <v/>
      </c>
      <c r="X1576">
        <f>Q1576*R1576*S1576*T1576*U1576*V1576*W1576*--($C1576&lt;&gt;"")</f>
        <v/>
      </c>
    </row>
    <row r="1577">
      <c r="Q1577">
        <f>--($A1577=IF('الداشبورد'!$B$5="الكل",$A1577,'الداشبورد'!$B$5))</f>
        <v/>
      </c>
      <c r="R1577">
        <f>--($E1577=IF('الداشبورد'!$B$6="الكل",$E1577,'الداشبورد'!$B$6))</f>
        <v/>
      </c>
      <c r="S1577">
        <f>--($K1577=IF('الداشبورد'!$B$7="الكل",$K1577,IF('الداشبورد'!$B$7="تصدير","Y","N")))</f>
        <v/>
      </c>
      <c r="T1577">
        <f>--($J1577=IF('الداشبورد'!$B$8="الكل",$J1577,IF('الداشبورد'!$B$8="AL","A","C")))</f>
        <v/>
      </c>
      <c r="U1577">
        <f>--($I1577=IF('الداشبورد'!$B$9="الكل",$I1577,IF('الداشبورد'!$B$9="بدون حالة","P",'الداشبورد'!$B$9)))</f>
        <v/>
      </c>
      <c r="V1577">
        <f>--($D1577=IF('الداشبورد'!$B$10="الكل",$D1577,'الداشبورد'!$B$10))</f>
        <v/>
      </c>
      <c r="W1577">
        <f>--($G1577=IF('الداشبورد'!$B$11="الكل",$G1577,'الداشبورد'!$B$11))</f>
        <v/>
      </c>
      <c r="X1577">
        <f>Q1577*R1577*S1577*T1577*U1577*V1577*W1577*--($C1577&lt;&gt;"")</f>
        <v/>
      </c>
    </row>
    <row r="1578">
      <c r="Q1578">
        <f>--($A1578=IF('الداشبورد'!$B$5="الكل",$A1578,'الداشبورد'!$B$5))</f>
        <v/>
      </c>
      <c r="R1578">
        <f>--($E1578=IF('الداشبورد'!$B$6="الكل",$E1578,'الداشبورد'!$B$6))</f>
        <v/>
      </c>
      <c r="S1578">
        <f>--($K1578=IF('الداشبورد'!$B$7="الكل",$K1578,IF('الداشبورد'!$B$7="تصدير","Y","N")))</f>
        <v/>
      </c>
      <c r="T1578">
        <f>--($J1578=IF('الداشبورد'!$B$8="الكل",$J1578,IF('الداشبورد'!$B$8="AL","A","C")))</f>
        <v/>
      </c>
      <c r="U1578">
        <f>--($I1578=IF('الداشبورد'!$B$9="الكل",$I1578,IF('الداشبورد'!$B$9="بدون حالة","P",'الداشبورد'!$B$9)))</f>
        <v/>
      </c>
      <c r="V1578">
        <f>--($D1578=IF('الداشبورد'!$B$10="الكل",$D1578,'الداشبورد'!$B$10))</f>
        <v/>
      </c>
      <c r="W1578">
        <f>--($G1578=IF('الداشبورد'!$B$11="الكل",$G1578,'الداشبورد'!$B$11))</f>
        <v/>
      </c>
      <c r="X1578">
        <f>Q1578*R1578*S1578*T1578*U1578*V1578*W1578*--($C1578&lt;&gt;"")</f>
        <v/>
      </c>
    </row>
    <row r="1579">
      <c r="Q1579">
        <f>--($A1579=IF('الداشبورد'!$B$5="الكل",$A1579,'الداشبورد'!$B$5))</f>
        <v/>
      </c>
      <c r="R1579">
        <f>--($E1579=IF('الداشبورد'!$B$6="الكل",$E1579,'الداشبورد'!$B$6))</f>
        <v/>
      </c>
      <c r="S1579">
        <f>--($K1579=IF('الداشبورد'!$B$7="الكل",$K1579,IF('الداشبورد'!$B$7="تصدير","Y","N")))</f>
        <v/>
      </c>
      <c r="T1579">
        <f>--($J1579=IF('الداشبورد'!$B$8="الكل",$J1579,IF('الداشبورد'!$B$8="AL","A","C")))</f>
        <v/>
      </c>
      <c r="U1579">
        <f>--($I1579=IF('الداشبورد'!$B$9="الكل",$I1579,IF('الداشبورد'!$B$9="بدون حالة","P",'الداشبورد'!$B$9)))</f>
        <v/>
      </c>
      <c r="V1579">
        <f>--($D1579=IF('الداشبورد'!$B$10="الكل",$D1579,'الداشبورد'!$B$10))</f>
        <v/>
      </c>
      <c r="W1579">
        <f>--($G1579=IF('الداشبورد'!$B$11="الكل",$G1579,'الداشبورد'!$B$11))</f>
        <v/>
      </c>
      <c r="X1579">
        <f>Q1579*R1579*S1579*T1579*U1579*V1579*W1579*--($C1579&lt;&gt;"")</f>
        <v/>
      </c>
    </row>
    <row r="1580">
      <c r="Q1580">
        <f>--($A1580=IF('الداشبورد'!$B$5="الكل",$A1580,'الداشبورد'!$B$5))</f>
        <v/>
      </c>
      <c r="R1580">
        <f>--($E1580=IF('الداشبورد'!$B$6="الكل",$E1580,'الداشبورد'!$B$6))</f>
        <v/>
      </c>
      <c r="S1580">
        <f>--($K1580=IF('الداشبورد'!$B$7="الكل",$K1580,IF('الداشبورد'!$B$7="تصدير","Y","N")))</f>
        <v/>
      </c>
      <c r="T1580">
        <f>--($J1580=IF('الداشبورد'!$B$8="الكل",$J1580,IF('الداشبورد'!$B$8="AL","A","C")))</f>
        <v/>
      </c>
      <c r="U1580">
        <f>--($I1580=IF('الداشبورد'!$B$9="الكل",$I1580,IF('الداشبورد'!$B$9="بدون حالة","P",'الداشبورد'!$B$9)))</f>
        <v/>
      </c>
      <c r="V1580">
        <f>--($D1580=IF('الداشبورد'!$B$10="الكل",$D1580,'الداشبورد'!$B$10))</f>
        <v/>
      </c>
      <c r="W1580">
        <f>--($G1580=IF('الداشبورد'!$B$11="الكل",$G1580,'الداشبورد'!$B$11))</f>
        <v/>
      </c>
      <c r="X1580">
        <f>Q1580*R1580*S1580*T1580*U1580*V1580*W1580*--($C1580&lt;&gt;"")</f>
        <v/>
      </c>
    </row>
    <row r="1581">
      <c r="Q1581">
        <f>--($A1581=IF('الداشبورد'!$B$5="الكل",$A1581,'الداشبورد'!$B$5))</f>
        <v/>
      </c>
      <c r="R1581">
        <f>--($E1581=IF('الداشبورد'!$B$6="الكل",$E1581,'الداشبورد'!$B$6))</f>
        <v/>
      </c>
      <c r="S1581">
        <f>--($K1581=IF('الداشبورد'!$B$7="الكل",$K1581,IF('الداشبورد'!$B$7="تصدير","Y","N")))</f>
        <v/>
      </c>
      <c r="T1581">
        <f>--($J1581=IF('الداشبورد'!$B$8="الكل",$J1581,IF('الداشبورد'!$B$8="AL","A","C")))</f>
        <v/>
      </c>
      <c r="U1581">
        <f>--($I1581=IF('الداشبورد'!$B$9="الكل",$I1581,IF('الداشبورد'!$B$9="بدون حالة","P",'الداشبورد'!$B$9)))</f>
        <v/>
      </c>
      <c r="V1581">
        <f>--($D1581=IF('الداشبورد'!$B$10="الكل",$D1581,'الداشبورد'!$B$10))</f>
        <v/>
      </c>
      <c r="W1581">
        <f>--($G1581=IF('الداشبورد'!$B$11="الكل",$G1581,'الداشبورد'!$B$11))</f>
        <v/>
      </c>
      <c r="X1581">
        <f>Q1581*R1581*S1581*T1581*U1581*V1581*W1581*--($C1581&lt;&gt;"")</f>
        <v/>
      </c>
    </row>
    <row r="1582">
      <c r="Q1582">
        <f>--($A1582=IF('الداشبورد'!$B$5="الكل",$A1582,'الداشبورد'!$B$5))</f>
        <v/>
      </c>
      <c r="R1582">
        <f>--($E1582=IF('الداشبورد'!$B$6="الكل",$E1582,'الداشبورد'!$B$6))</f>
        <v/>
      </c>
      <c r="S1582">
        <f>--($K1582=IF('الداشبورد'!$B$7="الكل",$K1582,IF('الداشبورد'!$B$7="تصدير","Y","N")))</f>
        <v/>
      </c>
      <c r="T1582">
        <f>--($J1582=IF('الداشبورد'!$B$8="الكل",$J1582,IF('الداشبورد'!$B$8="AL","A","C")))</f>
        <v/>
      </c>
      <c r="U1582">
        <f>--($I1582=IF('الداشبورد'!$B$9="الكل",$I1582,IF('الداشبورد'!$B$9="بدون حالة","P",'الداشبورد'!$B$9)))</f>
        <v/>
      </c>
      <c r="V1582">
        <f>--($D1582=IF('الداشبورد'!$B$10="الكل",$D1582,'الداشبورد'!$B$10))</f>
        <v/>
      </c>
      <c r="W1582">
        <f>--($G1582=IF('الداشبورد'!$B$11="الكل",$G1582,'الداشبورد'!$B$11))</f>
        <v/>
      </c>
      <c r="X1582">
        <f>Q1582*R1582*S1582*T1582*U1582*V1582*W1582*--($C1582&lt;&gt;"")</f>
        <v/>
      </c>
    </row>
    <row r="1583">
      <c r="Q1583">
        <f>--($A1583=IF('الداشبورد'!$B$5="الكل",$A1583,'الداشبورد'!$B$5))</f>
        <v/>
      </c>
      <c r="R1583">
        <f>--($E1583=IF('الداشبورد'!$B$6="الكل",$E1583,'الداشبورد'!$B$6))</f>
        <v/>
      </c>
      <c r="S1583">
        <f>--($K1583=IF('الداشبورد'!$B$7="الكل",$K1583,IF('الداشبورد'!$B$7="تصدير","Y","N")))</f>
        <v/>
      </c>
      <c r="T1583">
        <f>--($J1583=IF('الداشبورد'!$B$8="الكل",$J1583,IF('الداشبورد'!$B$8="AL","A","C")))</f>
        <v/>
      </c>
      <c r="U1583">
        <f>--($I1583=IF('الداشبورد'!$B$9="الكل",$I1583,IF('الداشبورد'!$B$9="بدون حالة","P",'الداشبورد'!$B$9)))</f>
        <v/>
      </c>
      <c r="V1583">
        <f>--($D1583=IF('الداشبورد'!$B$10="الكل",$D1583,'الداشبورد'!$B$10))</f>
        <v/>
      </c>
      <c r="W1583">
        <f>--($G1583=IF('الداشبورد'!$B$11="الكل",$G1583,'الداشبورد'!$B$11))</f>
        <v/>
      </c>
      <c r="X1583">
        <f>Q1583*R1583*S1583*T1583*U1583*V1583*W1583*--($C1583&lt;&gt;"")</f>
        <v/>
      </c>
    </row>
    <row r="1584">
      <c r="Q1584">
        <f>--($A1584=IF('الداشبورد'!$B$5="الكل",$A1584,'الداشبورد'!$B$5))</f>
        <v/>
      </c>
      <c r="R1584">
        <f>--($E1584=IF('الداشبورد'!$B$6="الكل",$E1584,'الداشبورد'!$B$6))</f>
        <v/>
      </c>
      <c r="S1584">
        <f>--($K1584=IF('الداشبورد'!$B$7="الكل",$K1584,IF('الداشبورد'!$B$7="تصدير","Y","N")))</f>
        <v/>
      </c>
      <c r="T1584">
        <f>--($J1584=IF('الداشبورد'!$B$8="الكل",$J1584,IF('الداشبورد'!$B$8="AL","A","C")))</f>
        <v/>
      </c>
      <c r="U1584">
        <f>--($I1584=IF('الداشبورد'!$B$9="الكل",$I1584,IF('الداشبورد'!$B$9="بدون حالة","P",'الداشبورد'!$B$9)))</f>
        <v/>
      </c>
      <c r="V1584">
        <f>--($D1584=IF('الداشبورد'!$B$10="الكل",$D1584,'الداشبورد'!$B$10))</f>
        <v/>
      </c>
      <c r="W1584">
        <f>--($G1584=IF('الداشبورد'!$B$11="الكل",$G1584,'الداشبورد'!$B$11))</f>
        <v/>
      </c>
      <c r="X1584">
        <f>Q1584*R1584*S1584*T1584*U1584*V1584*W1584*--($C1584&lt;&gt;"")</f>
        <v/>
      </c>
    </row>
    <row r="1585">
      <c r="Q1585">
        <f>--($A1585=IF('الداشبورد'!$B$5="الكل",$A1585,'الداشبورد'!$B$5))</f>
        <v/>
      </c>
      <c r="R1585">
        <f>--($E1585=IF('الداشبورد'!$B$6="الكل",$E1585,'الداشبورد'!$B$6))</f>
        <v/>
      </c>
      <c r="S1585">
        <f>--($K1585=IF('الداشبورد'!$B$7="الكل",$K1585,IF('الداشبورد'!$B$7="تصدير","Y","N")))</f>
        <v/>
      </c>
      <c r="T1585">
        <f>--($J1585=IF('الداشبورد'!$B$8="الكل",$J1585,IF('الداشبورد'!$B$8="AL","A","C")))</f>
        <v/>
      </c>
      <c r="U1585">
        <f>--($I1585=IF('الداشبورد'!$B$9="الكل",$I1585,IF('الداشبورد'!$B$9="بدون حالة","P",'الداشبورد'!$B$9)))</f>
        <v/>
      </c>
      <c r="V1585">
        <f>--($D1585=IF('الداشبورد'!$B$10="الكل",$D1585,'الداشبورد'!$B$10))</f>
        <v/>
      </c>
      <c r="W1585">
        <f>--($G1585=IF('الداشبورد'!$B$11="الكل",$G1585,'الداشبورد'!$B$11))</f>
        <v/>
      </c>
      <c r="X1585">
        <f>Q1585*R1585*S1585*T1585*U1585*V1585*W1585*--($C1585&lt;&gt;"")</f>
        <v/>
      </c>
    </row>
    <row r="1586">
      <c r="Q1586">
        <f>--($A1586=IF('الداشبورد'!$B$5="الكل",$A1586,'الداشبورد'!$B$5))</f>
        <v/>
      </c>
      <c r="R1586">
        <f>--($E1586=IF('الداشبورد'!$B$6="الكل",$E1586,'الداشبورد'!$B$6))</f>
        <v/>
      </c>
      <c r="S1586">
        <f>--($K1586=IF('الداشبورد'!$B$7="الكل",$K1586,IF('الداشبورد'!$B$7="تصدير","Y","N")))</f>
        <v/>
      </c>
      <c r="T1586">
        <f>--($J1586=IF('الداشبورد'!$B$8="الكل",$J1586,IF('الداشبورد'!$B$8="AL","A","C")))</f>
        <v/>
      </c>
      <c r="U1586">
        <f>--($I1586=IF('الداشبورد'!$B$9="الكل",$I1586,IF('الداشبورد'!$B$9="بدون حالة","P",'الداشبورد'!$B$9)))</f>
        <v/>
      </c>
      <c r="V1586">
        <f>--($D1586=IF('الداشبورد'!$B$10="الكل",$D1586,'الداشبورد'!$B$10))</f>
        <v/>
      </c>
      <c r="W1586">
        <f>--($G1586=IF('الداشبورد'!$B$11="الكل",$G1586,'الداشبورد'!$B$11))</f>
        <v/>
      </c>
      <c r="X1586">
        <f>Q1586*R1586*S1586*T1586*U1586*V1586*W1586*--($C1586&lt;&gt;"")</f>
        <v/>
      </c>
    </row>
    <row r="1587">
      <c r="Q1587">
        <f>--($A1587=IF('الداشبورد'!$B$5="الكل",$A1587,'الداشبورد'!$B$5))</f>
        <v/>
      </c>
      <c r="R1587">
        <f>--($E1587=IF('الداشبورد'!$B$6="الكل",$E1587,'الداشبورد'!$B$6))</f>
        <v/>
      </c>
      <c r="S1587">
        <f>--($K1587=IF('الداشبورد'!$B$7="الكل",$K1587,IF('الداشبورد'!$B$7="تصدير","Y","N")))</f>
        <v/>
      </c>
      <c r="T1587">
        <f>--($J1587=IF('الداشبورد'!$B$8="الكل",$J1587,IF('الداشبورد'!$B$8="AL","A","C")))</f>
        <v/>
      </c>
      <c r="U1587">
        <f>--($I1587=IF('الداشبورد'!$B$9="الكل",$I1587,IF('الداشبورد'!$B$9="بدون حالة","P",'الداشبورد'!$B$9)))</f>
        <v/>
      </c>
      <c r="V1587">
        <f>--($D1587=IF('الداشبورد'!$B$10="الكل",$D1587,'الداشبورد'!$B$10))</f>
        <v/>
      </c>
      <c r="W1587">
        <f>--($G1587=IF('الداشبورد'!$B$11="الكل",$G1587,'الداشبورد'!$B$11))</f>
        <v/>
      </c>
      <c r="X1587">
        <f>Q1587*R1587*S1587*T1587*U1587*V1587*W1587*--($C1587&lt;&gt;"")</f>
        <v/>
      </c>
    </row>
    <row r="1588">
      <c r="Q1588">
        <f>--($A1588=IF('الداشبورد'!$B$5="الكل",$A1588,'الداشبورد'!$B$5))</f>
        <v/>
      </c>
      <c r="R1588">
        <f>--($E1588=IF('الداشبورد'!$B$6="الكل",$E1588,'الداشبورد'!$B$6))</f>
        <v/>
      </c>
      <c r="S1588">
        <f>--($K1588=IF('الداشبورد'!$B$7="الكل",$K1588,IF('الداشبورد'!$B$7="تصدير","Y","N")))</f>
        <v/>
      </c>
      <c r="T1588">
        <f>--($J1588=IF('الداشبورد'!$B$8="الكل",$J1588,IF('الداشبورد'!$B$8="AL","A","C")))</f>
        <v/>
      </c>
      <c r="U1588">
        <f>--($I1588=IF('الداشبورد'!$B$9="الكل",$I1588,IF('الداشبورد'!$B$9="بدون حالة","P",'الداشبورد'!$B$9)))</f>
        <v/>
      </c>
      <c r="V1588">
        <f>--($D1588=IF('الداشبورد'!$B$10="الكل",$D1588,'الداشبورد'!$B$10))</f>
        <v/>
      </c>
      <c r="W1588">
        <f>--($G1588=IF('الداشبورد'!$B$11="الكل",$G1588,'الداشبورد'!$B$11))</f>
        <v/>
      </c>
      <c r="X1588">
        <f>Q1588*R1588*S1588*T1588*U1588*V1588*W1588*--($C1588&lt;&gt;"")</f>
        <v/>
      </c>
    </row>
    <row r="1589">
      <c r="Q1589">
        <f>--($A1589=IF('الداشبورد'!$B$5="الكل",$A1589,'الداشبورد'!$B$5))</f>
        <v/>
      </c>
      <c r="R1589">
        <f>--($E1589=IF('الداشبورد'!$B$6="الكل",$E1589,'الداشبورد'!$B$6))</f>
        <v/>
      </c>
      <c r="S1589">
        <f>--($K1589=IF('الداشبورد'!$B$7="الكل",$K1589,IF('الداشبورد'!$B$7="تصدير","Y","N")))</f>
        <v/>
      </c>
      <c r="T1589">
        <f>--($J1589=IF('الداشبورد'!$B$8="الكل",$J1589,IF('الداشبورد'!$B$8="AL","A","C")))</f>
        <v/>
      </c>
      <c r="U1589">
        <f>--($I1589=IF('الداشبورد'!$B$9="الكل",$I1589,IF('الداشبورد'!$B$9="بدون حالة","P",'الداشبورد'!$B$9)))</f>
        <v/>
      </c>
      <c r="V1589">
        <f>--($D1589=IF('الداشبورد'!$B$10="الكل",$D1589,'الداشبورد'!$B$10))</f>
        <v/>
      </c>
      <c r="W1589">
        <f>--($G1589=IF('الداشبورد'!$B$11="الكل",$G1589,'الداشبورد'!$B$11))</f>
        <v/>
      </c>
      <c r="X1589">
        <f>Q1589*R1589*S1589*T1589*U1589*V1589*W1589*--($C1589&lt;&gt;"")</f>
        <v/>
      </c>
    </row>
    <row r="1590">
      <c r="Q1590">
        <f>--($A1590=IF('الداشبورد'!$B$5="الكل",$A1590,'الداشبورد'!$B$5))</f>
        <v/>
      </c>
      <c r="R1590">
        <f>--($E1590=IF('الداشبورد'!$B$6="الكل",$E1590,'الداشبورد'!$B$6))</f>
        <v/>
      </c>
      <c r="S1590">
        <f>--($K1590=IF('الداشبورد'!$B$7="الكل",$K1590,IF('الداشبورد'!$B$7="تصدير","Y","N")))</f>
        <v/>
      </c>
      <c r="T1590">
        <f>--($J1590=IF('الداشبورد'!$B$8="الكل",$J1590,IF('الداشبورد'!$B$8="AL","A","C")))</f>
        <v/>
      </c>
      <c r="U1590">
        <f>--($I1590=IF('الداشبورد'!$B$9="الكل",$I1590,IF('الداشبورد'!$B$9="بدون حالة","P",'الداشبورد'!$B$9)))</f>
        <v/>
      </c>
      <c r="V1590">
        <f>--($D1590=IF('الداشبورد'!$B$10="الكل",$D1590,'الداشبورد'!$B$10))</f>
        <v/>
      </c>
      <c r="W1590">
        <f>--($G1590=IF('الداشبورد'!$B$11="الكل",$G1590,'الداشبورد'!$B$11))</f>
        <v/>
      </c>
      <c r="X1590">
        <f>Q1590*R1590*S1590*T1590*U1590*V1590*W1590*--($C1590&lt;&gt;"")</f>
        <v/>
      </c>
    </row>
    <row r="1591">
      <c r="Q1591">
        <f>--($A1591=IF('الداشبورد'!$B$5="الكل",$A1591,'الداشبورد'!$B$5))</f>
        <v/>
      </c>
      <c r="R1591">
        <f>--($E1591=IF('الداشبورد'!$B$6="الكل",$E1591,'الداشبورد'!$B$6))</f>
        <v/>
      </c>
      <c r="S1591">
        <f>--($K1591=IF('الداشبورد'!$B$7="الكل",$K1591,IF('الداشبورد'!$B$7="تصدير","Y","N")))</f>
        <v/>
      </c>
      <c r="T1591">
        <f>--($J1591=IF('الداشبورد'!$B$8="الكل",$J1591,IF('الداشبورد'!$B$8="AL","A","C")))</f>
        <v/>
      </c>
      <c r="U1591">
        <f>--($I1591=IF('الداشبورد'!$B$9="الكل",$I1591,IF('الداشبورد'!$B$9="بدون حالة","P",'الداشبورد'!$B$9)))</f>
        <v/>
      </c>
      <c r="V1591">
        <f>--($D1591=IF('الداشبورد'!$B$10="الكل",$D1591,'الداشبورد'!$B$10))</f>
        <v/>
      </c>
      <c r="W1591">
        <f>--($G1591=IF('الداشبورد'!$B$11="الكل",$G1591,'الداشبورد'!$B$11))</f>
        <v/>
      </c>
      <c r="X1591">
        <f>Q1591*R1591*S1591*T1591*U1591*V1591*W1591*--($C1591&lt;&gt;"")</f>
        <v/>
      </c>
    </row>
    <row r="1592">
      <c r="Q1592">
        <f>--($A1592=IF('الداشبورد'!$B$5="الكل",$A1592,'الداشبورد'!$B$5))</f>
        <v/>
      </c>
      <c r="R1592">
        <f>--($E1592=IF('الداشبورد'!$B$6="الكل",$E1592,'الداشبورد'!$B$6))</f>
        <v/>
      </c>
      <c r="S1592">
        <f>--($K1592=IF('الداشبورد'!$B$7="الكل",$K1592,IF('الداشبورد'!$B$7="تصدير","Y","N")))</f>
        <v/>
      </c>
      <c r="T1592">
        <f>--($J1592=IF('الداشبورد'!$B$8="الكل",$J1592,IF('الداشبورد'!$B$8="AL","A","C")))</f>
        <v/>
      </c>
      <c r="U1592">
        <f>--($I1592=IF('الداشبورد'!$B$9="الكل",$I1592,IF('الداشبورد'!$B$9="بدون حالة","P",'الداشبورد'!$B$9)))</f>
        <v/>
      </c>
      <c r="V1592">
        <f>--($D1592=IF('الداشبورد'!$B$10="الكل",$D1592,'الداشبورد'!$B$10))</f>
        <v/>
      </c>
      <c r="W1592">
        <f>--($G1592=IF('الداشبورد'!$B$11="الكل",$G1592,'الداشبورد'!$B$11))</f>
        <v/>
      </c>
      <c r="X1592">
        <f>Q1592*R1592*S1592*T1592*U1592*V1592*W1592*--($C1592&lt;&gt;"")</f>
        <v/>
      </c>
    </row>
    <row r="1593">
      <c r="Q1593">
        <f>--($A1593=IF('الداشبورد'!$B$5="الكل",$A1593,'الداشبورد'!$B$5))</f>
        <v/>
      </c>
      <c r="R1593">
        <f>--($E1593=IF('الداشبورد'!$B$6="الكل",$E1593,'الداشبورد'!$B$6))</f>
        <v/>
      </c>
      <c r="S1593">
        <f>--($K1593=IF('الداشبورد'!$B$7="الكل",$K1593,IF('الداشبورد'!$B$7="تصدير","Y","N")))</f>
        <v/>
      </c>
      <c r="T1593">
        <f>--($J1593=IF('الداشبورد'!$B$8="الكل",$J1593,IF('الداشبورد'!$B$8="AL","A","C")))</f>
        <v/>
      </c>
      <c r="U1593">
        <f>--($I1593=IF('الداشبورد'!$B$9="الكل",$I1593,IF('الداشبورد'!$B$9="بدون حالة","P",'الداشبورد'!$B$9)))</f>
        <v/>
      </c>
      <c r="V1593">
        <f>--($D1593=IF('الداشبورد'!$B$10="الكل",$D1593,'الداشبورد'!$B$10))</f>
        <v/>
      </c>
      <c r="W1593">
        <f>--($G1593=IF('الداشبورد'!$B$11="الكل",$G1593,'الداشبورد'!$B$11))</f>
        <v/>
      </c>
      <c r="X1593">
        <f>Q1593*R1593*S1593*T1593*U1593*V1593*W1593*--($C1593&lt;&gt;"")</f>
        <v/>
      </c>
    </row>
    <row r="1594">
      <c r="Q1594">
        <f>--($A1594=IF('الداشبورد'!$B$5="الكل",$A1594,'الداشبورد'!$B$5))</f>
        <v/>
      </c>
      <c r="R1594">
        <f>--($E1594=IF('الداشبورد'!$B$6="الكل",$E1594,'الداشبورد'!$B$6))</f>
        <v/>
      </c>
      <c r="S1594">
        <f>--($K1594=IF('الداشبورد'!$B$7="الكل",$K1594,IF('الداشبورد'!$B$7="تصدير","Y","N")))</f>
        <v/>
      </c>
      <c r="T1594">
        <f>--($J1594=IF('الداشبورد'!$B$8="الكل",$J1594,IF('الداشبورد'!$B$8="AL","A","C")))</f>
        <v/>
      </c>
      <c r="U1594">
        <f>--($I1594=IF('الداشبورد'!$B$9="الكل",$I1594,IF('الداشبورد'!$B$9="بدون حالة","P",'الداشبورد'!$B$9)))</f>
        <v/>
      </c>
      <c r="V1594">
        <f>--($D1594=IF('الداشبورد'!$B$10="الكل",$D1594,'الداشبورد'!$B$10))</f>
        <v/>
      </c>
      <c r="W1594">
        <f>--($G1594=IF('الداشبورد'!$B$11="الكل",$G1594,'الداشبورد'!$B$11))</f>
        <v/>
      </c>
      <c r="X1594">
        <f>Q1594*R1594*S1594*T1594*U1594*V1594*W1594*--($C1594&lt;&gt;"")</f>
        <v/>
      </c>
    </row>
    <row r="1595">
      <c r="Q1595">
        <f>--($A1595=IF('الداشبورد'!$B$5="الكل",$A1595,'الداشبورد'!$B$5))</f>
        <v/>
      </c>
      <c r="R1595">
        <f>--($E1595=IF('الداشبورد'!$B$6="الكل",$E1595,'الداشبورد'!$B$6))</f>
        <v/>
      </c>
      <c r="S1595">
        <f>--($K1595=IF('الداشبورد'!$B$7="الكل",$K1595,IF('الداشبورد'!$B$7="تصدير","Y","N")))</f>
        <v/>
      </c>
      <c r="T1595">
        <f>--($J1595=IF('الداشبورد'!$B$8="الكل",$J1595,IF('الداشبورد'!$B$8="AL","A","C")))</f>
        <v/>
      </c>
      <c r="U1595">
        <f>--($I1595=IF('الداشبورد'!$B$9="الكل",$I1595,IF('الداشبورد'!$B$9="بدون حالة","P",'الداشبورد'!$B$9)))</f>
        <v/>
      </c>
      <c r="V1595">
        <f>--($D1595=IF('الداشبورد'!$B$10="الكل",$D1595,'الداشبورد'!$B$10))</f>
        <v/>
      </c>
      <c r="W1595">
        <f>--($G1595=IF('الداشبورد'!$B$11="الكل",$G1595,'الداشبورد'!$B$11))</f>
        <v/>
      </c>
      <c r="X1595">
        <f>Q1595*R1595*S1595*T1595*U1595*V1595*W1595*--($C1595&lt;&gt;"")</f>
        <v/>
      </c>
    </row>
    <row r="1596">
      <c r="Q1596">
        <f>--($A1596=IF('الداشبورد'!$B$5="الكل",$A1596,'الداشبورد'!$B$5))</f>
        <v/>
      </c>
      <c r="R1596">
        <f>--($E1596=IF('الداشبورد'!$B$6="الكل",$E1596,'الداشبورد'!$B$6))</f>
        <v/>
      </c>
      <c r="S1596">
        <f>--($K1596=IF('الداشبورد'!$B$7="الكل",$K1596,IF('الداشبورد'!$B$7="تصدير","Y","N")))</f>
        <v/>
      </c>
      <c r="T1596">
        <f>--($J1596=IF('الداشبورد'!$B$8="الكل",$J1596,IF('الداشبورد'!$B$8="AL","A","C")))</f>
        <v/>
      </c>
      <c r="U1596">
        <f>--($I1596=IF('الداشبورد'!$B$9="الكل",$I1596,IF('الداشبورد'!$B$9="بدون حالة","P",'الداشبورد'!$B$9)))</f>
        <v/>
      </c>
      <c r="V1596">
        <f>--($D1596=IF('الداشبورد'!$B$10="الكل",$D1596,'الداشبورد'!$B$10))</f>
        <v/>
      </c>
      <c r="W1596">
        <f>--($G1596=IF('الداشبورد'!$B$11="الكل",$G1596,'الداشبورد'!$B$11))</f>
        <v/>
      </c>
      <c r="X1596">
        <f>Q1596*R1596*S1596*T1596*U1596*V1596*W1596*--($C1596&lt;&gt;"")</f>
        <v/>
      </c>
    </row>
    <row r="1597">
      <c r="Q1597">
        <f>--($A1597=IF('الداشبورد'!$B$5="الكل",$A1597,'الداشبورد'!$B$5))</f>
        <v/>
      </c>
      <c r="R1597">
        <f>--($E1597=IF('الداشبورد'!$B$6="الكل",$E1597,'الداشبورد'!$B$6))</f>
        <v/>
      </c>
      <c r="S1597">
        <f>--($K1597=IF('الداشبورد'!$B$7="الكل",$K1597,IF('الداشبورد'!$B$7="تصدير","Y","N")))</f>
        <v/>
      </c>
      <c r="T1597">
        <f>--($J1597=IF('الداشبورد'!$B$8="الكل",$J1597,IF('الداشبورد'!$B$8="AL","A","C")))</f>
        <v/>
      </c>
      <c r="U1597">
        <f>--($I1597=IF('الداشبورد'!$B$9="الكل",$I1597,IF('الداشبورد'!$B$9="بدون حالة","P",'الداشبورد'!$B$9)))</f>
        <v/>
      </c>
      <c r="V1597">
        <f>--($D1597=IF('الداشبورد'!$B$10="الكل",$D1597,'الداشبورد'!$B$10))</f>
        <v/>
      </c>
      <c r="W1597">
        <f>--($G1597=IF('الداشبورد'!$B$11="الكل",$G1597,'الداشبورد'!$B$11))</f>
        <v/>
      </c>
      <c r="X1597">
        <f>Q1597*R1597*S1597*T1597*U1597*V1597*W1597*--($C1597&lt;&gt;"")</f>
        <v/>
      </c>
    </row>
    <row r="1598">
      <c r="Q1598">
        <f>--($A1598=IF('الداشبورد'!$B$5="الكل",$A1598,'الداشبورد'!$B$5))</f>
        <v/>
      </c>
      <c r="R1598">
        <f>--($E1598=IF('الداشبورد'!$B$6="الكل",$E1598,'الداشبورد'!$B$6))</f>
        <v/>
      </c>
      <c r="S1598">
        <f>--($K1598=IF('الداشبورد'!$B$7="الكل",$K1598,IF('الداشبورد'!$B$7="تصدير","Y","N")))</f>
        <v/>
      </c>
      <c r="T1598">
        <f>--($J1598=IF('الداشبورد'!$B$8="الكل",$J1598,IF('الداشبورد'!$B$8="AL","A","C")))</f>
        <v/>
      </c>
      <c r="U1598">
        <f>--($I1598=IF('الداشبورد'!$B$9="الكل",$I1598,IF('الداشبورد'!$B$9="بدون حالة","P",'الداشبورد'!$B$9)))</f>
        <v/>
      </c>
      <c r="V1598">
        <f>--($D1598=IF('الداشبورد'!$B$10="الكل",$D1598,'الداشبورد'!$B$10))</f>
        <v/>
      </c>
      <c r="W1598">
        <f>--($G1598=IF('الداشبورد'!$B$11="الكل",$G1598,'الداشبورد'!$B$11))</f>
        <v/>
      </c>
      <c r="X1598">
        <f>Q1598*R1598*S1598*T1598*U1598*V1598*W1598*--($C1598&lt;&gt;"")</f>
        <v/>
      </c>
    </row>
    <row r="1599">
      <c r="Q1599">
        <f>--($A1599=IF('الداشبورد'!$B$5="الكل",$A1599,'الداشبورد'!$B$5))</f>
        <v/>
      </c>
      <c r="R1599">
        <f>--($E1599=IF('الداشبورد'!$B$6="الكل",$E1599,'الداشبورد'!$B$6))</f>
        <v/>
      </c>
      <c r="S1599">
        <f>--($K1599=IF('الداشبورد'!$B$7="الكل",$K1599,IF('الداشبورد'!$B$7="تصدير","Y","N")))</f>
        <v/>
      </c>
      <c r="T1599">
        <f>--($J1599=IF('الداشبورد'!$B$8="الكل",$J1599,IF('الداشبورد'!$B$8="AL","A","C")))</f>
        <v/>
      </c>
      <c r="U1599">
        <f>--($I1599=IF('الداشبورد'!$B$9="الكل",$I1599,IF('الداشبورد'!$B$9="بدون حالة","P",'الداشبورد'!$B$9)))</f>
        <v/>
      </c>
      <c r="V1599">
        <f>--($D1599=IF('الداشبورد'!$B$10="الكل",$D1599,'الداشبورد'!$B$10))</f>
        <v/>
      </c>
      <c r="W1599">
        <f>--($G1599=IF('الداشبورد'!$B$11="الكل",$G1599,'الداشبورد'!$B$11))</f>
        <v/>
      </c>
      <c r="X1599">
        <f>Q1599*R1599*S1599*T1599*U1599*V1599*W1599*--($C1599&lt;&gt;"")</f>
        <v/>
      </c>
    </row>
    <row r="1600">
      <c r="Q1600">
        <f>--($A1600=IF('الداشبورد'!$B$5="الكل",$A1600,'الداشبورد'!$B$5))</f>
        <v/>
      </c>
      <c r="R1600">
        <f>--($E1600=IF('الداشبورد'!$B$6="الكل",$E1600,'الداشبورد'!$B$6))</f>
        <v/>
      </c>
      <c r="S1600">
        <f>--($K1600=IF('الداشبورد'!$B$7="الكل",$K1600,IF('الداشبورد'!$B$7="تصدير","Y","N")))</f>
        <v/>
      </c>
      <c r="T1600">
        <f>--($J1600=IF('الداشبورد'!$B$8="الكل",$J1600,IF('الداشبورد'!$B$8="AL","A","C")))</f>
        <v/>
      </c>
      <c r="U1600">
        <f>--($I1600=IF('الداشبورد'!$B$9="الكل",$I1600,IF('الداشبورد'!$B$9="بدون حالة","P",'الداشبورد'!$B$9)))</f>
        <v/>
      </c>
      <c r="V1600">
        <f>--($D1600=IF('الداشبورد'!$B$10="الكل",$D1600,'الداشبورد'!$B$10))</f>
        <v/>
      </c>
      <c r="W1600">
        <f>--($G1600=IF('الداشبورد'!$B$11="الكل",$G1600,'الداشبورد'!$B$11))</f>
        <v/>
      </c>
      <c r="X1600">
        <f>Q1600*R1600*S1600*T1600*U1600*V1600*W1600*--($C1600&lt;&gt;"")</f>
        <v/>
      </c>
    </row>
    <row r="1601">
      <c r="Q1601">
        <f>--($A1601=IF('الداشبورد'!$B$5="الكل",$A1601,'الداشبورد'!$B$5))</f>
        <v/>
      </c>
      <c r="R1601">
        <f>--($E1601=IF('الداشبورد'!$B$6="الكل",$E1601,'الداشبورد'!$B$6))</f>
        <v/>
      </c>
      <c r="S1601">
        <f>--($K1601=IF('الداشبورد'!$B$7="الكل",$K1601,IF('الداشبورد'!$B$7="تصدير","Y","N")))</f>
        <v/>
      </c>
      <c r="T1601">
        <f>--($J1601=IF('الداشبورد'!$B$8="الكل",$J1601,IF('الداشبورد'!$B$8="AL","A","C")))</f>
        <v/>
      </c>
      <c r="U1601">
        <f>--($I1601=IF('الداشبورد'!$B$9="الكل",$I1601,IF('الداشبورد'!$B$9="بدون حالة","P",'الداشبورد'!$B$9)))</f>
        <v/>
      </c>
      <c r="V1601">
        <f>--($D1601=IF('الداشبورد'!$B$10="الكل",$D1601,'الداشبورد'!$B$10))</f>
        <v/>
      </c>
      <c r="W1601">
        <f>--($G1601=IF('الداشبورد'!$B$11="الكل",$G1601,'الداشبورد'!$B$11))</f>
        <v/>
      </c>
      <c r="X1601">
        <f>Q1601*R1601*S1601*T1601*U1601*V1601*W1601*--($C1601&lt;&gt;"")</f>
        <v/>
      </c>
    </row>
    <row r="1602">
      <c r="Q1602">
        <f>--($A1602=IF('الداشبورد'!$B$5="الكل",$A1602,'الداشبورد'!$B$5))</f>
        <v/>
      </c>
      <c r="R1602">
        <f>--($E1602=IF('الداشبورد'!$B$6="الكل",$E1602,'الداشبورد'!$B$6))</f>
        <v/>
      </c>
      <c r="S1602">
        <f>--($K1602=IF('الداشبورد'!$B$7="الكل",$K1602,IF('الداشبورد'!$B$7="تصدير","Y","N")))</f>
        <v/>
      </c>
      <c r="T1602">
        <f>--($J1602=IF('الداشبورد'!$B$8="الكل",$J1602,IF('الداشبورد'!$B$8="AL","A","C")))</f>
        <v/>
      </c>
      <c r="U1602">
        <f>--($I1602=IF('الداشبورد'!$B$9="الكل",$I1602,IF('الداشبورد'!$B$9="بدون حالة","P",'الداشبورد'!$B$9)))</f>
        <v/>
      </c>
      <c r="V1602">
        <f>--($D1602=IF('الداشبورد'!$B$10="الكل",$D1602,'الداشبورد'!$B$10))</f>
        <v/>
      </c>
      <c r="W1602">
        <f>--($G1602=IF('الداشبورد'!$B$11="الكل",$G1602,'الداشبورد'!$B$11))</f>
        <v/>
      </c>
      <c r="X1602">
        <f>Q1602*R1602*S1602*T1602*U1602*V1602*W1602*--($C1602&lt;&gt;"")</f>
        <v/>
      </c>
    </row>
    <row r="1603">
      <c r="Q1603">
        <f>--($A1603=IF('الداشبورد'!$B$5="الكل",$A1603,'الداشبورد'!$B$5))</f>
        <v/>
      </c>
      <c r="R1603">
        <f>--($E1603=IF('الداشبورد'!$B$6="الكل",$E1603,'الداشبورد'!$B$6))</f>
        <v/>
      </c>
      <c r="S1603">
        <f>--($K1603=IF('الداشبورد'!$B$7="الكل",$K1603,IF('الداشبورد'!$B$7="تصدير","Y","N")))</f>
        <v/>
      </c>
      <c r="T1603">
        <f>--($J1603=IF('الداشبورد'!$B$8="الكل",$J1603,IF('الداشبورد'!$B$8="AL","A","C")))</f>
        <v/>
      </c>
      <c r="U1603">
        <f>--($I1603=IF('الداشبورد'!$B$9="الكل",$I1603,IF('الداشبورد'!$B$9="بدون حالة","P",'الداشبورد'!$B$9)))</f>
        <v/>
      </c>
      <c r="V1603">
        <f>--($D1603=IF('الداشبورد'!$B$10="الكل",$D1603,'الداشبورد'!$B$10))</f>
        <v/>
      </c>
      <c r="W1603">
        <f>--($G1603=IF('الداشبورد'!$B$11="الكل",$G1603,'الداشبورد'!$B$11))</f>
        <v/>
      </c>
      <c r="X1603">
        <f>Q1603*R1603*S1603*T1603*U1603*V1603*W1603*--($C1603&lt;&gt;"")</f>
        <v/>
      </c>
    </row>
    <row r="1604">
      <c r="Q1604">
        <f>--($A1604=IF('الداشبورد'!$B$5="الكل",$A1604,'الداشبورد'!$B$5))</f>
        <v/>
      </c>
      <c r="R1604">
        <f>--($E1604=IF('الداشبورد'!$B$6="الكل",$E1604,'الداشبورد'!$B$6))</f>
        <v/>
      </c>
      <c r="S1604">
        <f>--($K1604=IF('الداشبورد'!$B$7="الكل",$K1604,IF('الداشبورد'!$B$7="تصدير","Y","N")))</f>
        <v/>
      </c>
      <c r="T1604">
        <f>--($J1604=IF('الداشبورد'!$B$8="الكل",$J1604,IF('الداشبورد'!$B$8="AL","A","C")))</f>
        <v/>
      </c>
      <c r="U1604">
        <f>--($I1604=IF('الداشبورد'!$B$9="الكل",$I1604,IF('الداشبورد'!$B$9="بدون حالة","P",'الداشبورد'!$B$9)))</f>
        <v/>
      </c>
      <c r="V1604">
        <f>--($D1604=IF('الداشبورد'!$B$10="الكل",$D1604,'الداشبورد'!$B$10))</f>
        <v/>
      </c>
      <c r="W1604">
        <f>--($G1604=IF('الداشبورد'!$B$11="الكل",$G1604,'الداشبورد'!$B$11))</f>
        <v/>
      </c>
      <c r="X1604">
        <f>Q1604*R1604*S1604*T1604*U1604*V1604*W1604*--($C1604&lt;&gt;"")</f>
        <v/>
      </c>
    </row>
    <row r="1605">
      <c r="Q1605">
        <f>--($A1605=IF('الداشبورد'!$B$5="الكل",$A1605,'الداشبورد'!$B$5))</f>
        <v/>
      </c>
      <c r="R1605">
        <f>--($E1605=IF('الداشبورد'!$B$6="الكل",$E1605,'الداشبورد'!$B$6))</f>
        <v/>
      </c>
      <c r="S1605">
        <f>--($K1605=IF('الداشبورد'!$B$7="الكل",$K1605,IF('الداشبورد'!$B$7="تصدير","Y","N")))</f>
        <v/>
      </c>
      <c r="T1605">
        <f>--($J1605=IF('الداشبورد'!$B$8="الكل",$J1605,IF('الداشبورد'!$B$8="AL","A","C")))</f>
        <v/>
      </c>
      <c r="U1605">
        <f>--($I1605=IF('الداشبورد'!$B$9="الكل",$I1605,IF('الداشبورد'!$B$9="بدون حالة","P",'الداشبورد'!$B$9)))</f>
        <v/>
      </c>
      <c r="V1605">
        <f>--($D1605=IF('الداشبورد'!$B$10="الكل",$D1605,'الداشبورد'!$B$10))</f>
        <v/>
      </c>
      <c r="W1605">
        <f>--($G1605=IF('الداشبورد'!$B$11="الكل",$G1605,'الداشبورد'!$B$11))</f>
        <v/>
      </c>
      <c r="X1605">
        <f>Q1605*R1605*S1605*T1605*U1605*V1605*W1605*--($C1605&lt;&gt;"")</f>
        <v/>
      </c>
    </row>
    <row r="1606">
      <c r="Q1606">
        <f>--($A1606=IF('الداشبورد'!$B$5="الكل",$A1606,'الداشبورد'!$B$5))</f>
        <v/>
      </c>
      <c r="R1606">
        <f>--($E1606=IF('الداشبورد'!$B$6="الكل",$E1606,'الداشبورد'!$B$6))</f>
        <v/>
      </c>
      <c r="S1606">
        <f>--($K1606=IF('الداشبورد'!$B$7="الكل",$K1606,IF('الداشبورد'!$B$7="تصدير","Y","N")))</f>
        <v/>
      </c>
      <c r="T1606">
        <f>--($J1606=IF('الداشبورد'!$B$8="الكل",$J1606,IF('الداشبورد'!$B$8="AL","A","C")))</f>
        <v/>
      </c>
      <c r="U1606">
        <f>--($I1606=IF('الداشبورد'!$B$9="الكل",$I1606,IF('الداشبورد'!$B$9="بدون حالة","P",'الداشبورد'!$B$9)))</f>
        <v/>
      </c>
      <c r="V1606">
        <f>--($D1606=IF('الداشبورد'!$B$10="الكل",$D1606,'الداشبورد'!$B$10))</f>
        <v/>
      </c>
      <c r="W1606">
        <f>--($G1606=IF('الداشبورد'!$B$11="الكل",$G1606,'الداشبورد'!$B$11))</f>
        <v/>
      </c>
      <c r="X1606">
        <f>Q1606*R1606*S1606*T1606*U1606*V1606*W1606*--($C1606&lt;&gt;"")</f>
        <v/>
      </c>
    </row>
    <row r="1607">
      <c r="Q1607">
        <f>--($A1607=IF('الداشبورد'!$B$5="الكل",$A1607,'الداشبورد'!$B$5))</f>
        <v/>
      </c>
      <c r="R1607">
        <f>--($E1607=IF('الداشبورد'!$B$6="الكل",$E1607,'الداشبورد'!$B$6))</f>
        <v/>
      </c>
      <c r="S1607">
        <f>--($K1607=IF('الداشبورد'!$B$7="الكل",$K1607,IF('الداشبورد'!$B$7="تصدير","Y","N")))</f>
        <v/>
      </c>
      <c r="T1607">
        <f>--($J1607=IF('الداشبورد'!$B$8="الكل",$J1607,IF('الداشبورد'!$B$8="AL","A","C")))</f>
        <v/>
      </c>
      <c r="U1607">
        <f>--($I1607=IF('الداشبورد'!$B$9="الكل",$I1607,IF('الداشبورد'!$B$9="بدون حالة","P",'الداشبورد'!$B$9)))</f>
        <v/>
      </c>
      <c r="V1607">
        <f>--($D1607=IF('الداشبورد'!$B$10="الكل",$D1607,'الداشبورد'!$B$10))</f>
        <v/>
      </c>
      <c r="W1607">
        <f>--($G1607=IF('الداشبورد'!$B$11="الكل",$G1607,'الداشبورد'!$B$11))</f>
        <v/>
      </c>
      <c r="X1607">
        <f>Q1607*R1607*S1607*T1607*U1607*V1607*W1607*--($C1607&lt;&gt;"")</f>
        <v/>
      </c>
    </row>
    <row r="1608">
      <c r="Q1608">
        <f>--($A1608=IF('الداشبورد'!$B$5="الكل",$A1608,'الداشبورد'!$B$5))</f>
        <v/>
      </c>
      <c r="R1608">
        <f>--($E1608=IF('الداشبورد'!$B$6="الكل",$E1608,'الداشبورد'!$B$6))</f>
        <v/>
      </c>
      <c r="S1608">
        <f>--($K1608=IF('الداشبورد'!$B$7="الكل",$K1608,IF('الداشبورد'!$B$7="تصدير","Y","N")))</f>
        <v/>
      </c>
      <c r="T1608">
        <f>--($J1608=IF('الداشبورد'!$B$8="الكل",$J1608,IF('الداشبورد'!$B$8="AL","A","C")))</f>
        <v/>
      </c>
      <c r="U1608">
        <f>--($I1608=IF('الداشبورد'!$B$9="الكل",$I1608,IF('الداشبورد'!$B$9="بدون حالة","P",'الداشبورد'!$B$9)))</f>
        <v/>
      </c>
      <c r="V1608">
        <f>--($D1608=IF('الداشبورد'!$B$10="الكل",$D1608,'الداشبورد'!$B$10))</f>
        <v/>
      </c>
      <c r="W1608">
        <f>--($G1608=IF('الداشبورد'!$B$11="الكل",$G1608,'الداشبورد'!$B$11))</f>
        <v/>
      </c>
      <c r="X1608">
        <f>Q1608*R1608*S1608*T1608*U1608*V1608*W1608*--($C1608&lt;&gt;"")</f>
        <v/>
      </c>
    </row>
    <row r="1609">
      <c r="Q1609">
        <f>--($A1609=IF('الداشبورد'!$B$5="الكل",$A1609,'الداشبورد'!$B$5))</f>
        <v/>
      </c>
      <c r="R1609">
        <f>--($E1609=IF('الداشبورد'!$B$6="الكل",$E1609,'الداشبورد'!$B$6))</f>
        <v/>
      </c>
      <c r="S1609">
        <f>--($K1609=IF('الداشبورد'!$B$7="الكل",$K1609,IF('الداشبورد'!$B$7="تصدير","Y","N")))</f>
        <v/>
      </c>
      <c r="T1609">
        <f>--($J1609=IF('الداشبورد'!$B$8="الكل",$J1609,IF('الداشبورد'!$B$8="AL","A","C")))</f>
        <v/>
      </c>
      <c r="U1609">
        <f>--($I1609=IF('الداشبورد'!$B$9="الكل",$I1609,IF('الداشبورد'!$B$9="بدون حالة","P",'الداشبورد'!$B$9)))</f>
        <v/>
      </c>
      <c r="V1609">
        <f>--($D1609=IF('الداشبورد'!$B$10="الكل",$D1609,'الداشبورد'!$B$10))</f>
        <v/>
      </c>
      <c r="W1609">
        <f>--($G1609=IF('الداشبورد'!$B$11="الكل",$G1609,'الداشبورد'!$B$11))</f>
        <v/>
      </c>
      <c r="X1609">
        <f>Q1609*R1609*S1609*T1609*U1609*V1609*W1609*--($C1609&lt;&gt;"")</f>
        <v/>
      </c>
    </row>
    <row r="1610">
      <c r="Q1610">
        <f>--($A1610=IF('الداشبورد'!$B$5="الكل",$A1610,'الداشبورد'!$B$5))</f>
        <v/>
      </c>
      <c r="R1610">
        <f>--($E1610=IF('الداشبورد'!$B$6="الكل",$E1610,'الداشبورد'!$B$6))</f>
        <v/>
      </c>
      <c r="S1610">
        <f>--($K1610=IF('الداشبورد'!$B$7="الكل",$K1610,IF('الداشبورد'!$B$7="تصدير","Y","N")))</f>
        <v/>
      </c>
      <c r="T1610">
        <f>--($J1610=IF('الداشبورد'!$B$8="الكل",$J1610,IF('الداشبورد'!$B$8="AL","A","C")))</f>
        <v/>
      </c>
      <c r="U1610">
        <f>--($I1610=IF('الداشبورد'!$B$9="الكل",$I1610,IF('الداشبورد'!$B$9="بدون حالة","P",'الداشبورد'!$B$9)))</f>
        <v/>
      </c>
      <c r="V1610">
        <f>--($D1610=IF('الداشبورد'!$B$10="الكل",$D1610,'الداشبورد'!$B$10))</f>
        <v/>
      </c>
      <c r="W1610">
        <f>--($G1610=IF('الداشبورد'!$B$11="الكل",$G1610,'الداشبورد'!$B$11))</f>
        <v/>
      </c>
      <c r="X1610">
        <f>Q1610*R1610*S1610*T1610*U1610*V1610*W1610*--($C1610&lt;&gt;"")</f>
        <v/>
      </c>
    </row>
    <row r="1611">
      <c r="Q1611">
        <f>--($A1611=IF('الداشبورد'!$B$5="الكل",$A1611,'الداشبورد'!$B$5))</f>
        <v/>
      </c>
      <c r="R1611">
        <f>--($E1611=IF('الداشبورد'!$B$6="الكل",$E1611,'الداشبورد'!$B$6))</f>
        <v/>
      </c>
      <c r="S1611">
        <f>--($K1611=IF('الداشبورد'!$B$7="الكل",$K1611,IF('الداشبورد'!$B$7="تصدير","Y","N")))</f>
        <v/>
      </c>
      <c r="T1611">
        <f>--($J1611=IF('الداشبورد'!$B$8="الكل",$J1611,IF('الداشبورد'!$B$8="AL","A","C")))</f>
        <v/>
      </c>
      <c r="U1611">
        <f>--($I1611=IF('الداشبورد'!$B$9="الكل",$I1611,IF('الداشبورد'!$B$9="بدون حالة","P",'الداشبورد'!$B$9)))</f>
        <v/>
      </c>
      <c r="V1611">
        <f>--($D1611=IF('الداشبورد'!$B$10="الكل",$D1611,'الداشبورد'!$B$10))</f>
        <v/>
      </c>
      <c r="W1611">
        <f>--($G1611=IF('الداشبورد'!$B$11="الكل",$G1611,'الداشبورد'!$B$11))</f>
        <v/>
      </c>
      <c r="X1611">
        <f>Q1611*R1611*S1611*T1611*U1611*V1611*W1611*--($C1611&lt;&gt;"")</f>
        <v/>
      </c>
    </row>
    <row r="1612">
      <c r="Q1612">
        <f>--($A1612=IF('الداشبورد'!$B$5="الكل",$A1612,'الداشبورد'!$B$5))</f>
        <v/>
      </c>
      <c r="R1612">
        <f>--($E1612=IF('الداشبورد'!$B$6="الكل",$E1612,'الداشبورد'!$B$6))</f>
        <v/>
      </c>
      <c r="S1612">
        <f>--($K1612=IF('الداشبورد'!$B$7="الكل",$K1612,IF('الداشبورد'!$B$7="تصدير","Y","N")))</f>
        <v/>
      </c>
      <c r="T1612">
        <f>--($J1612=IF('الداشبورد'!$B$8="الكل",$J1612,IF('الداشبورد'!$B$8="AL","A","C")))</f>
        <v/>
      </c>
      <c r="U1612">
        <f>--($I1612=IF('الداشبورد'!$B$9="الكل",$I1612,IF('الداشبورد'!$B$9="بدون حالة","P",'الداشبورد'!$B$9)))</f>
        <v/>
      </c>
      <c r="V1612">
        <f>--($D1612=IF('الداشبورد'!$B$10="الكل",$D1612,'الداشبورد'!$B$10))</f>
        <v/>
      </c>
      <c r="W1612">
        <f>--($G1612=IF('الداشبورد'!$B$11="الكل",$G1612,'الداشبورد'!$B$11))</f>
        <v/>
      </c>
      <c r="X1612">
        <f>Q1612*R1612*S1612*T1612*U1612*V1612*W1612*--($C1612&lt;&gt;"")</f>
        <v/>
      </c>
    </row>
    <row r="1613">
      <c r="Q1613">
        <f>--($A1613=IF('الداشبورد'!$B$5="الكل",$A1613,'الداشبورد'!$B$5))</f>
        <v/>
      </c>
      <c r="R1613">
        <f>--($E1613=IF('الداشبورد'!$B$6="الكل",$E1613,'الداشبورد'!$B$6))</f>
        <v/>
      </c>
      <c r="S1613">
        <f>--($K1613=IF('الداشبورد'!$B$7="الكل",$K1613,IF('الداشبورد'!$B$7="تصدير","Y","N")))</f>
        <v/>
      </c>
      <c r="T1613">
        <f>--($J1613=IF('الداشبورد'!$B$8="الكل",$J1613,IF('الداشبورد'!$B$8="AL","A","C")))</f>
        <v/>
      </c>
      <c r="U1613">
        <f>--($I1613=IF('الداشبورد'!$B$9="الكل",$I1613,IF('الداشبورد'!$B$9="بدون حالة","P",'الداشبورد'!$B$9)))</f>
        <v/>
      </c>
      <c r="V1613">
        <f>--($D1613=IF('الداشبورد'!$B$10="الكل",$D1613,'الداشبورد'!$B$10))</f>
        <v/>
      </c>
      <c r="W1613">
        <f>--($G1613=IF('الداشبورد'!$B$11="الكل",$G1613,'الداشبورد'!$B$11))</f>
        <v/>
      </c>
      <c r="X1613">
        <f>Q1613*R1613*S1613*T1613*U1613*V1613*W1613*--($C1613&lt;&gt;"")</f>
        <v/>
      </c>
    </row>
    <row r="1614">
      <c r="Q1614">
        <f>--($A1614=IF('الداشبورد'!$B$5="الكل",$A1614,'الداشبورد'!$B$5))</f>
        <v/>
      </c>
      <c r="R1614">
        <f>--($E1614=IF('الداشبورد'!$B$6="الكل",$E1614,'الداشبورد'!$B$6))</f>
        <v/>
      </c>
      <c r="S1614">
        <f>--($K1614=IF('الداشبورد'!$B$7="الكل",$K1614,IF('الداشبورد'!$B$7="تصدير","Y","N")))</f>
        <v/>
      </c>
      <c r="T1614">
        <f>--($J1614=IF('الداشبورد'!$B$8="الكل",$J1614,IF('الداشبورد'!$B$8="AL","A","C")))</f>
        <v/>
      </c>
      <c r="U1614">
        <f>--($I1614=IF('الداشبورد'!$B$9="الكل",$I1614,IF('الداشبورد'!$B$9="بدون حالة","P",'الداشبورد'!$B$9)))</f>
        <v/>
      </c>
      <c r="V1614">
        <f>--($D1614=IF('الداشبورد'!$B$10="الكل",$D1614,'الداشبورد'!$B$10))</f>
        <v/>
      </c>
      <c r="W1614">
        <f>--($G1614=IF('الداشبورد'!$B$11="الكل",$G1614,'الداشبورد'!$B$11))</f>
        <v/>
      </c>
      <c r="X1614">
        <f>Q1614*R1614*S1614*T1614*U1614*V1614*W1614*--($C1614&lt;&gt;"")</f>
        <v/>
      </c>
    </row>
    <row r="1615">
      <c r="Q1615">
        <f>--($A1615=IF('الداشبورد'!$B$5="الكل",$A1615,'الداشبورد'!$B$5))</f>
        <v/>
      </c>
      <c r="R1615">
        <f>--($E1615=IF('الداشبورد'!$B$6="الكل",$E1615,'الداشبورد'!$B$6))</f>
        <v/>
      </c>
      <c r="S1615">
        <f>--($K1615=IF('الداشبورد'!$B$7="الكل",$K1615,IF('الداشبورد'!$B$7="تصدير","Y","N")))</f>
        <v/>
      </c>
      <c r="T1615">
        <f>--($J1615=IF('الداشبورد'!$B$8="الكل",$J1615,IF('الداشبورد'!$B$8="AL","A","C")))</f>
        <v/>
      </c>
      <c r="U1615">
        <f>--($I1615=IF('الداشبورد'!$B$9="الكل",$I1615,IF('الداشبورد'!$B$9="بدون حالة","P",'الداشبورد'!$B$9)))</f>
        <v/>
      </c>
      <c r="V1615">
        <f>--($D1615=IF('الداشبورد'!$B$10="الكل",$D1615,'الداشبورد'!$B$10))</f>
        <v/>
      </c>
      <c r="W1615">
        <f>--($G1615=IF('الداشبورد'!$B$11="الكل",$G1615,'الداشبورد'!$B$11))</f>
        <v/>
      </c>
      <c r="X1615">
        <f>Q1615*R1615*S1615*T1615*U1615*V1615*W1615*--($C1615&lt;&gt;"")</f>
        <v/>
      </c>
    </row>
    <row r="1616">
      <c r="Q1616">
        <f>--($A1616=IF('الداشبورد'!$B$5="الكل",$A1616,'الداشبورد'!$B$5))</f>
        <v/>
      </c>
      <c r="R1616">
        <f>--($E1616=IF('الداشبورد'!$B$6="الكل",$E1616,'الداشبورد'!$B$6))</f>
        <v/>
      </c>
      <c r="S1616">
        <f>--($K1616=IF('الداشبورد'!$B$7="الكل",$K1616,IF('الداشبورد'!$B$7="تصدير","Y","N")))</f>
        <v/>
      </c>
      <c r="T1616">
        <f>--($J1616=IF('الداشبورد'!$B$8="الكل",$J1616,IF('الداشبورد'!$B$8="AL","A","C")))</f>
        <v/>
      </c>
      <c r="U1616">
        <f>--($I1616=IF('الداشبورد'!$B$9="الكل",$I1616,IF('الداشبورد'!$B$9="بدون حالة","P",'الداشبورد'!$B$9)))</f>
        <v/>
      </c>
      <c r="V1616">
        <f>--($D1616=IF('الداشبورد'!$B$10="الكل",$D1616,'الداشبورد'!$B$10))</f>
        <v/>
      </c>
      <c r="W1616">
        <f>--($G1616=IF('الداشبورد'!$B$11="الكل",$G1616,'الداشبورد'!$B$11))</f>
        <v/>
      </c>
      <c r="X1616">
        <f>Q1616*R1616*S1616*T1616*U1616*V1616*W1616*--($C1616&lt;&gt;"")</f>
        <v/>
      </c>
    </row>
    <row r="1617">
      <c r="Q1617">
        <f>--($A1617=IF('الداشبورد'!$B$5="الكل",$A1617,'الداشبورد'!$B$5))</f>
        <v/>
      </c>
      <c r="R1617">
        <f>--($E1617=IF('الداشبورد'!$B$6="الكل",$E1617,'الداشبورد'!$B$6))</f>
        <v/>
      </c>
      <c r="S1617">
        <f>--($K1617=IF('الداشبورد'!$B$7="الكل",$K1617,IF('الداشبورد'!$B$7="تصدير","Y","N")))</f>
        <v/>
      </c>
      <c r="T1617">
        <f>--($J1617=IF('الداشبورد'!$B$8="الكل",$J1617,IF('الداشبورد'!$B$8="AL","A","C")))</f>
        <v/>
      </c>
      <c r="U1617">
        <f>--($I1617=IF('الداشبورد'!$B$9="الكل",$I1617,IF('الداشبورد'!$B$9="بدون حالة","P",'الداشبورد'!$B$9)))</f>
        <v/>
      </c>
      <c r="V1617">
        <f>--($D1617=IF('الداشبورد'!$B$10="الكل",$D1617,'الداشبورد'!$B$10))</f>
        <v/>
      </c>
      <c r="W1617">
        <f>--($G1617=IF('الداشبورد'!$B$11="الكل",$G1617,'الداشبورد'!$B$11))</f>
        <v/>
      </c>
      <c r="X1617">
        <f>Q1617*R1617*S1617*T1617*U1617*V1617*W1617*--($C1617&lt;&gt;"")</f>
        <v/>
      </c>
    </row>
    <row r="1618">
      <c r="Q1618">
        <f>--($A1618=IF('الداشبورد'!$B$5="الكل",$A1618,'الداشبورد'!$B$5))</f>
        <v/>
      </c>
      <c r="R1618">
        <f>--($E1618=IF('الداشبورد'!$B$6="الكل",$E1618,'الداشبورد'!$B$6))</f>
        <v/>
      </c>
      <c r="S1618">
        <f>--($K1618=IF('الداشبورد'!$B$7="الكل",$K1618,IF('الداشبورد'!$B$7="تصدير","Y","N")))</f>
        <v/>
      </c>
      <c r="T1618">
        <f>--($J1618=IF('الداشبورد'!$B$8="الكل",$J1618,IF('الداشبورد'!$B$8="AL","A","C")))</f>
        <v/>
      </c>
      <c r="U1618">
        <f>--($I1618=IF('الداشبورد'!$B$9="الكل",$I1618,IF('الداشبورد'!$B$9="بدون حالة","P",'الداشبورد'!$B$9)))</f>
        <v/>
      </c>
      <c r="V1618">
        <f>--($D1618=IF('الداشبورد'!$B$10="الكل",$D1618,'الداشبورد'!$B$10))</f>
        <v/>
      </c>
      <c r="W1618">
        <f>--($G1618=IF('الداشبورد'!$B$11="الكل",$G1618,'الداشبورد'!$B$11))</f>
        <v/>
      </c>
      <c r="X1618">
        <f>Q1618*R1618*S1618*T1618*U1618*V1618*W1618*--($C1618&lt;&gt;"")</f>
        <v/>
      </c>
    </row>
    <row r="1619">
      <c r="Q1619">
        <f>--($A1619=IF('الداشبورد'!$B$5="الكل",$A1619,'الداشبورد'!$B$5))</f>
        <v/>
      </c>
      <c r="R1619">
        <f>--($E1619=IF('الداشبورد'!$B$6="الكل",$E1619,'الداشبورد'!$B$6))</f>
        <v/>
      </c>
      <c r="S1619">
        <f>--($K1619=IF('الداشبورد'!$B$7="الكل",$K1619,IF('الداشبورد'!$B$7="تصدير","Y","N")))</f>
        <v/>
      </c>
      <c r="T1619">
        <f>--($J1619=IF('الداشبورد'!$B$8="الكل",$J1619,IF('الداشبورد'!$B$8="AL","A","C")))</f>
        <v/>
      </c>
      <c r="U1619">
        <f>--($I1619=IF('الداشبورد'!$B$9="الكل",$I1619,IF('الداشبورد'!$B$9="بدون حالة","P",'الداشبورد'!$B$9)))</f>
        <v/>
      </c>
      <c r="V1619">
        <f>--($D1619=IF('الداشبورد'!$B$10="الكل",$D1619,'الداشبورد'!$B$10))</f>
        <v/>
      </c>
      <c r="W1619">
        <f>--($G1619=IF('الداشبورد'!$B$11="الكل",$G1619,'الداشبورد'!$B$11))</f>
        <v/>
      </c>
      <c r="X1619">
        <f>Q1619*R1619*S1619*T1619*U1619*V1619*W1619*--($C1619&lt;&gt;"")</f>
        <v/>
      </c>
    </row>
    <row r="1620">
      <c r="Q1620">
        <f>--($A1620=IF('الداشبورد'!$B$5="الكل",$A1620,'الداشبورد'!$B$5))</f>
        <v/>
      </c>
      <c r="R1620">
        <f>--($E1620=IF('الداشبورد'!$B$6="الكل",$E1620,'الداشبورد'!$B$6))</f>
        <v/>
      </c>
      <c r="S1620">
        <f>--($K1620=IF('الداشبورد'!$B$7="الكل",$K1620,IF('الداشبورد'!$B$7="تصدير","Y","N")))</f>
        <v/>
      </c>
      <c r="T1620">
        <f>--($J1620=IF('الداشبورد'!$B$8="الكل",$J1620,IF('الداشبورد'!$B$8="AL","A","C")))</f>
        <v/>
      </c>
      <c r="U1620">
        <f>--($I1620=IF('الداشبورد'!$B$9="الكل",$I1620,IF('الداشبورد'!$B$9="بدون حالة","P",'الداشبورد'!$B$9)))</f>
        <v/>
      </c>
      <c r="V1620">
        <f>--($D1620=IF('الداشبورد'!$B$10="الكل",$D1620,'الداشبورد'!$B$10))</f>
        <v/>
      </c>
      <c r="W1620">
        <f>--($G1620=IF('الداشبورد'!$B$11="الكل",$G1620,'الداشبورد'!$B$11))</f>
        <v/>
      </c>
      <c r="X1620">
        <f>Q1620*R1620*S1620*T1620*U1620*V1620*W1620*--($C1620&lt;&gt;"")</f>
        <v/>
      </c>
    </row>
    <row r="1621">
      <c r="Q1621">
        <f>--($A1621=IF('الداشبورد'!$B$5="الكل",$A1621,'الداشبورد'!$B$5))</f>
        <v/>
      </c>
      <c r="R1621">
        <f>--($E1621=IF('الداشبورد'!$B$6="الكل",$E1621,'الداشبورد'!$B$6))</f>
        <v/>
      </c>
      <c r="S1621">
        <f>--($K1621=IF('الداشبورد'!$B$7="الكل",$K1621,IF('الداشبورد'!$B$7="تصدير","Y","N")))</f>
        <v/>
      </c>
      <c r="T1621">
        <f>--($J1621=IF('الداشبورد'!$B$8="الكل",$J1621,IF('الداشبورد'!$B$8="AL","A","C")))</f>
        <v/>
      </c>
      <c r="U1621">
        <f>--($I1621=IF('الداشبورد'!$B$9="الكل",$I1621,IF('الداشبورد'!$B$9="بدون حالة","P",'الداشبورد'!$B$9)))</f>
        <v/>
      </c>
      <c r="V1621">
        <f>--($D1621=IF('الداشبورد'!$B$10="الكل",$D1621,'الداشبورد'!$B$10))</f>
        <v/>
      </c>
      <c r="W1621">
        <f>--($G1621=IF('الداشبورد'!$B$11="الكل",$G1621,'الداشبورد'!$B$11))</f>
        <v/>
      </c>
      <c r="X1621">
        <f>Q1621*R1621*S1621*T1621*U1621*V1621*W1621*--($C1621&lt;&gt;"")</f>
        <v/>
      </c>
    </row>
    <row r="1622">
      <c r="Q1622">
        <f>--($A1622=IF('الداشبورد'!$B$5="الكل",$A1622,'الداشبورد'!$B$5))</f>
        <v/>
      </c>
      <c r="R1622">
        <f>--($E1622=IF('الداشبورد'!$B$6="الكل",$E1622,'الداشبورد'!$B$6))</f>
        <v/>
      </c>
      <c r="S1622">
        <f>--($K1622=IF('الداشبورد'!$B$7="الكل",$K1622,IF('الداشبورد'!$B$7="تصدير","Y","N")))</f>
        <v/>
      </c>
      <c r="T1622">
        <f>--($J1622=IF('الداشبورد'!$B$8="الكل",$J1622,IF('الداشبورد'!$B$8="AL","A","C")))</f>
        <v/>
      </c>
      <c r="U1622">
        <f>--($I1622=IF('الداشبورد'!$B$9="الكل",$I1622,IF('الداشبورد'!$B$9="بدون حالة","P",'الداشبورد'!$B$9)))</f>
        <v/>
      </c>
      <c r="V1622">
        <f>--($D1622=IF('الداشبورد'!$B$10="الكل",$D1622,'الداشبورد'!$B$10))</f>
        <v/>
      </c>
      <c r="W1622">
        <f>--($G1622=IF('الداشبورد'!$B$11="الكل",$G1622,'الداشبورد'!$B$11))</f>
        <v/>
      </c>
      <c r="X1622">
        <f>Q1622*R1622*S1622*T1622*U1622*V1622*W1622*--($C1622&lt;&gt;"")</f>
        <v/>
      </c>
    </row>
    <row r="1623">
      <c r="Q1623">
        <f>--($A1623=IF('الداشبورد'!$B$5="الكل",$A1623,'الداشبورد'!$B$5))</f>
        <v/>
      </c>
      <c r="R1623">
        <f>--($E1623=IF('الداشبورد'!$B$6="الكل",$E1623,'الداشبورد'!$B$6))</f>
        <v/>
      </c>
      <c r="S1623">
        <f>--($K1623=IF('الداشبورد'!$B$7="الكل",$K1623,IF('الداشبورد'!$B$7="تصدير","Y","N")))</f>
        <v/>
      </c>
      <c r="T1623">
        <f>--($J1623=IF('الداشبورد'!$B$8="الكل",$J1623,IF('الداشبورد'!$B$8="AL","A","C")))</f>
        <v/>
      </c>
      <c r="U1623">
        <f>--($I1623=IF('الداشبورد'!$B$9="الكل",$I1623,IF('الداشبورد'!$B$9="بدون حالة","P",'الداشبورد'!$B$9)))</f>
        <v/>
      </c>
      <c r="V1623">
        <f>--($D1623=IF('الداشبورد'!$B$10="الكل",$D1623,'الداشبورد'!$B$10))</f>
        <v/>
      </c>
      <c r="W1623">
        <f>--($G1623=IF('الداشبورد'!$B$11="الكل",$G1623,'الداشبورد'!$B$11))</f>
        <v/>
      </c>
      <c r="X1623">
        <f>Q1623*R1623*S1623*T1623*U1623*V1623*W1623*--($C1623&lt;&gt;"")</f>
        <v/>
      </c>
    </row>
    <row r="1624">
      <c r="Q1624">
        <f>--($A1624=IF('الداشبورد'!$B$5="الكل",$A1624,'الداشبورد'!$B$5))</f>
        <v/>
      </c>
      <c r="R1624">
        <f>--($E1624=IF('الداشبورد'!$B$6="الكل",$E1624,'الداشبورد'!$B$6))</f>
        <v/>
      </c>
      <c r="S1624">
        <f>--($K1624=IF('الداشبورد'!$B$7="الكل",$K1624,IF('الداشبورد'!$B$7="تصدير","Y","N")))</f>
        <v/>
      </c>
      <c r="T1624">
        <f>--($J1624=IF('الداشبورد'!$B$8="الكل",$J1624,IF('الداشبورد'!$B$8="AL","A","C")))</f>
        <v/>
      </c>
      <c r="U1624">
        <f>--($I1624=IF('الداشبورد'!$B$9="الكل",$I1624,IF('الداشبورد'!$B$9="بدون حالة","P",'الداشبورد'!$B$9)))</f>
        <v/>
      </c>
      <c r="V1624">
        <f>--($D1624=IF('الداشبورد'!$B$10="الكل",$D1624,'الداشبورد'!$B$10))</f>
        <v/>
      </c>
      <c r="W1624">
        <f>--($G1624=IF('الداشبورد'!$B$11="الكل",$G1624,'الداشبورد'!$B$11))</f>
        <v/>
      </c>
      <c r="X1624">
        <f>Q1624*R1624*S1624*T1624*U1624*V1624*W1624*--($C1624&lt;&gt;"")</f>
        <v/>
      </c>
    </row>
    <row r="1625">
      <c r="Q1625">
        <f>--($A1625=IF('الداشبورد'!$B$5="الكل",$A1625,'الداشبورد'!$B$5))</f>
        <v/>
      </c>
      <c r="R1625">
        <f>--($E1625=IF('الداشبورد'!$B$6="الكل",$E1625,'الداشبورد'!$B$6))</f>
        <v/>
      </c>
      <c r="S1625">
        <f>--($K1625=IF('الداشبورد'!$B$7="الكل",$K1625,IF('الداشبورد'!$B$7="تصدير","Y","N")))</f>
        <v/>
      </c>
      <c r="T1625">
        <f>--($J1625=IF('الداشبورد'!$B$8="الكل",$J1625,IF('الداشبورد'!$B$8="AL","A","C")))</f>
        <v/>
      </c>
      <c r="U1625">
        <f>--($I1625=IF('الداشبورد'!$B$9="الكل",$I1625,IF('الداشبورد'!$B$9="بدون حالة","P",'الداشبورد'!$B$9)))</f>
        <v/>
      </c>
      <c r="V1625">
        <f>--($D1625=IF('الداشبورد'!$B$10="الكل",$D1625,'الداشبورد'!$B$10))</f>
        <v/>
      </c>
      <c r="W1625">
        <f>--($G1625=IF('الداشبورد'!$B$11="الكل",$G1625,'الداشبورد'!$B$11))</f>
        <v/>
      </c>
      <c r="X1625">
        <f>Q1625*R1625*S1625*T1625*U1625*V1625*W1625*--($C1625&lt;&gt;"")</f>
        <v/>
      </c>
    </row>
    <row r="1626">
      <c r="Q1626">
        <f>--($A1626=IF('الداشبورد'!$B$5="الكل",$A1626,'الداشبورد'!$B$5))</f>
        <v/>
      </c>
      <c r="R1626">
        <f>--($E1626=IF('الداشبورد'!$B$6="الكل",$E1626,'الداشبورد'!$B$6))</f>
        <v/>
      </c>
      <c r="S1626">
        <f>--($K1626=IF('الداشبورد'!$B$7="الكل",$K1626,IF('الداشبورد'!$B$7="تصدير","Y","N")))</f>
        <v/>
      </c>
      <c r="T1626">
        <f>--($J1626=IF('الداشبورد'!$B$8="الكل",$J1626,IF('الداشبورد'!$B$8="AL","A","C")))</f>
        <v/>
      </c>
      <c r="U1626">
        <f>--($I1626=IF('الداشبورد'!$B$9="الكل",$I1626,IF('الداشبورد'!$B$9="بدون حالة","P",'الداشبورد'!$B$9)))</f>
        <v/>
      </c>
      <c r="V1626">
        <f>--($D1626=IF('الداشبورد'!$B$10="الكل",$D1626,'الداشبورد'!$B$10))</f>
        <v/>
      </c>
      <c r="W1626">
        <f>--($G1626=IF('الداشبورد'!$B$11="الكل",$G1626,'الداشبورد'!$B$11))</f>
        <v/>
      </c>
      <c r="X1626">
        <f>Q1626*R1626*S1626*T1626*U1626*V1626*W1626*--($C1626&lt;&gt;"")</f>
        <v/>
      </c>
    </row>
    <row r="1627">
      <c r="Q1627">
        <f>--($A1627=IF('الداشبورد'!$B$5="الكل",$A1627,'الداشبورد'!$B$5))</f>
        <v/>
      </c>
      <c r="R1627">
        <f>--($E1627=IF('الداشبورد'!$B$6="الكل",$E1627,'الداشبورد'!$B$6))</f>
        <v/>
      </c>
      <c r="S1627">
        <f>--($K1627=IF('الداشبورد'!$B$7="الكل",$K1627,IF('الداشبورد'!$B$7="تصدير","Y","N")))</f>
        <v/>
      </c>
      <c r="T1627">
        <f>--($J1627=IF('الداشبورد'!$B$8="الكل",$J1627,IF('الداشبورد'!$B$8="AL","A","C")))</f>
        <v/>
      </c>
      <c r="U1627">
        <f>--($I1627=IF('الداشبورد'!$B$9="الكل",$I1627,IF('الداشبورد'!$B$9="بدون حالة","P",'الداشبورد'!$B$9)))</f>
        <v/>
      </c>
      <c r="V1627">
        <f>--($D1627=IF('الداشبورد'!$B$10="الكل",$D1627,'الداشبورد'!$B$10))</f>
        <v/>
      </c>
      <c r="W1627">
        <f>--($G1627=IF('الداشبورد'!$B$11="الكل",$G1627,'الداشبورد'!$B$11))</f>
        <v/>
      </c>
      <c r="X1627">
        <f>Q1627*R1627*S1627*T1627*U1627*V1627*W1627*--($C1627&lt;&gt;"")</f>
        <v/>
      </c>
    </row>
    <row r="1628">
      <c r="Q1628">
        <f>--($A1628=IF('الداشبورد'!$B$5="الكل",$A1628,'الداشبورد'!$B$5))</f>
        <v/>
      </c>
      <c r="R1628">
        <f>--($E1628=IF('الداشبورد'!$B$6="الكل",$E1628,'الداشبورد'!$B$6))</f>
        <v/>
      </c>
      <c r="S1628">
        <f>--($K1628=IF('الداشبورد'!$B$7="الكل",$K1628,IF('الداشبورد'!$B$7="تصدير","Y","N")))</f>
        <v/>
      </c>
      <c r="T1628">
        <f>--($J1628=IF('الداشبورد'!$B$8="الكل",$J1628,IF('الداشبورد'!$B$8="AL","A","C")))</f>
        <v/>
      </c>
      <c r="U1628">
        <f>--($I1628=IF('الداشبورد'!$B$9="الكل",$I1628,IF('الداشبورد'!$B$9="بدون حالة","P",'الداشبورد'!$B$9)))</f>
        <v/>
      </c>
      <c r="V1628">
        <f>--($D1628=IF('الداشبورد'!$B$10="الكل",$D1628,'الداشبورد'!$B$10))</f>
        <v/>
      </c>
      <c r="W1628">
        <f>--($G1628=IF('الداشبورد'!$B$11="الكل",$G1628,'الداشبورد'!$B$11))</f>
        <v/>
      </c>
      <c r="X1628">
        <f>Q1628*R1628*S1628*T1628*U1628*V1628*W1628*--($C1628&lt;&gt;"")</f>
        <v/>
      </c>
    </row>
    <row r="1629">
      <c r="Q1629">
        <f>--($A1629=IF('الداشبورد'!$B$5="الكل",$A1629,'الداشبورد'!$B$5))</f>
        <v/>
      </c>
      <c r="R1629">
        <f>--($E1629=IF('الداشبورد'!$B$6="الكل",$E1629,'الداشبورد'!$B$6))</f>
        <v/>
      </c>
      <c r="S1629">
        <f>--($K1629=IF('الداشبورد'!$B$7="الكل",$K1629,IF('الداشبورد'!$B$7="تصدير","Y","N")))</f>
        <v/>
      </c>
      <c r="T1629">
        <f>--($J1629=IF('الداشبورد'!$B$8="الكل",$J1629,IF('الداشبورد'!$B$8="AL","A","C")))</f>
        <v/>
      </c>
      <c r="U1629">
        <f>--($I1629=IF('الداشبورد'!$B$9="الكل",$I1629,IF('الداشبورد'!$B$9="بدون حالة","P",'الداشبورد'!$B$9)))</f>
        <v/>
      </c>
      <c r="V1629">
        <f>--($D1629=IF('الداشبورد'!$B$10="الكل",$D1629,'الداشبورد'!$B$10))</f>
        <v/>
      </c>
      <c r="W1629">
        <f>--($G1629=IF('الداشبورد'!$B$11="الكل",$G1629,'الداشبورد'!$B$11))</f>
        <v/>
      </c>
      <c r="X1629">
        <f>Q1629*R1629*S1629*T1629*U1629*V1629*W1629*--($C1629&lt;&gt;"")</f>
        <v/>
      </c>
    </row>
    <row r="1630">
      <c r="Q1630">
        <f>--($A1630=IF('الداشبورد'!$B$5="الكل",$A1630,'الداشبورد'!$B$5))</f>
        <v/>
      </c>
      <c r="R1630">
        <f>--($E1630=IF('الداشبورد'!$B$6="الكل",$E1630,'الداشبورد'!$B$6))</f>
        <v/>
      </c>
      <c r="S1630">
        <f>--($K1630=IF('الداشبورد'!$B$7="الكل",$K1630,IF('الداشبورد'!$B$7="تصدير","Y","N")))</f>
        <v/>
      </c>
      <c r="T1630">
        <f>--($J1630=IF('الداشبورد'!$B$8="الكل",$J1630,IF('الداشبورد'!$B$8="AL","A","C")))</f>
        <v/>
      </c>
      <c r="U1630">
        <f>--($I1630=IF('الداشبورد'!$B$9="الكل",$I1630,IF('الداشبورد'!$B$9="بدون حالة","P",'الداشبورد'!$B$9)))</f>
        <v/>
      </c>
      <c r="V1630">
        <f>--($D1630=IF('الداشبورد'!$B$10="الكل",$D1630,'الداشبورد'!$B$10))</f>
        <v/>
      </c>
      <c r="W1630">
        <f>--($G1630=IF('الداشبورد'!$B$11="الكل",$G1630,'الداشبورد'!$B$11))</f>
        <v/>
      </c>
      <c r="X1630">
        <f>Q1630*R1630*S1630*T1630*U1630*V1630*W1630*--($C1630&lt;&gt;"")</f>
        <v/>
      </c>
    </row>
    <row r="1631">
      <c r="Q1631">
        <f>--($A1631=IF('الداشبورد'!$B$5="الكل",$A1631,'الداشبورد'!$B$5))</f>
        <v/>
      </c>
      <c r="R1631">
        <f>--($E1631=IF('الداشبورد'!$B$6="الكل",$E1631,'الداشبورد'!$B$6))</f>
        <v/>
      </c>
      <c r="S1631">
        <f>--($K1631=IF('الداشبورد'!$B$7="الكل",$K1631,IF('الداشبورد'!$B$7="تصدير","Y","N")))</f>
        <v/>
      </c>
      <c r="T1631">
        <f>--($J1631=IF('الداشبورد'!$B$8="الكل",$J1631,IF('الداشبورد'!$B$8="AL","A","C")))</f>
        <v/>
      </c>
      <c r="U1631">
        <f>--($I1631=IF('الداشبورد'!$B$9="الكل",$I1631,IF('الداشبورد'!$B$9="بدون حالة","P",'الداشبورد'!$B$9)))</f>
        <v/>
      </c>
      <c r="V1631">
        <f>--($D1631=IF('الداشبورد'!$B$10="الكل",$D1631,'الداشبورد'!$B$10))</f>
        <v/>
      </c>
      <c r="W1631">
        <f>--($G1631=IF('الداشبورد'!$B$11="الكل",$G1631,'الداشبورد'!$B$11))</f>
        <v/>
      </c>
      <c r="X1631">
        <f>Q1631*R1631*S1631*T1631*U1631*V1631*W1631*--($C1631&lt;&gt;"")</f>
        <v/>
      </c>
    </row>
    <row r="1632">
      <c r="Q1632">
        <f>--($A1632=IF('الداشبورد'!$B$5="الكل",$A1632,'الداشبورد'!$B$5))</f>
        <v/>
      </c>
      <c r="R1632">
        <f>--($E1632=IF('الداشبورد'!$B$6="الكل",$E1632,'الداشبورد'!$B$6))</f>
        <v/>
      </c>
      <c r="S1632">
        <f>--($K1632=IF('الداشبورد'!$B$7="الكل",$K1632,IF('الداشبورد'!$B$7="تصدير","Y","N")))</f>
        <v/>
      </c>
      <c r="T1632">
        <f>--($J1632=IF('الداشبورد'!$B$8="الكل",$J1632,IF('الداشبورد'!$B$8="AL","A","C")))</f>
        <v/>
      </c>
      <c r="U1632">
        <f>--($I1632=IF('الداشبورد'!$B$9="الكل",$I1632,IF('الداشبورد'!$B$9="بدون حالة","P",'الداشبورد'!$B$9)))</f>
        <v/>
      </c>
      <c r="V1632">
        <f>--($D1632=IF('الداشبورد'!$B$10="الكل",$D1632,'الداشبورد'!$B$10))</f>
        <v/>
      </c>
      <c r="W1632">
        <f>--($G1632=IF('الداشبورد'!$B$11="الكل",$G1632,'الداشبورد'!$B$11))</f>
        <v/>
      </c>
      <c r="X1632">
        <f>Q1632*R1632*S1632*T1632*U1632*V1632*W1632*--($C1632&lt;&gt;"")</f>
        <v/>
      </c>
    </row>
    <row r="1633">
      <c r="Q1633">
        <f>--($A1633=IF('الداشبورد'!$B$5="الكل",$A1633,'الداشبورد'!$B$5))</f>
        <v/>
      </c>
      <c r="R1633">
        <f>--($E1633=IF('الداشبورد'!$B$6="الكل",$E1633,'الداشبورد'!$B$6))</f>
        <v/>
      </c>
      <c r="S1633">
        <f>--($K1633=IF('الداشبورد'!$B$7="الكل",$K1633,IF('الداشبورد'!$B$7="تصدير","Y","N")))</f>
        <v/>
      </c>
      <c r="T1633">
        <f>--($J1633=IF('الداشبورد'!$B$8="الكل",$J1633,IF('الداشبورد'!$B$8="AL","A","C")))</f>
        <v/>
      </c>
      <c r="U1633">
        <f>--($I1633=IF('الداشبورد'!$B$9="الكل",$I1633,IF('الداشبورد'!$B$9="بدون حالة","P",'الداشبورد'!$B$9)))</f>
        <v/>
      </c>
      <c r="V1633">
        <f>--($D1633=IF('الداشبورد'!$B$10="الكل",$D1633,'الداشبورد'!$B$10))</f>
        <v/>
      </c>
      <c r="W1633">
        <f>--($G1633=IF('الداشبورد'!$B$11="الكل",$G1633,'الداشبورد'!$B$11))</f>
        <v/>
      </c>
      <c r="X1633">
        <f>Q1633*R1633*S1633*T1633*U1633*V1633*W1633*--($C1633&lt;&gt;"")</f>
        <v/>
      </c>
    </row>
    <row r="1634">
      <c r="Q1634">
        <f>--($A1634=IF('الداشبورد'!$B$5="الكل",$A1634,'الداشبورد'!$B$5))</f>
        <v/>
      </c>
      <c r="R1634">
        <f>--($E1634=IF('الداشبورد'!$B$6="الكل",$E1634,'الداشبورد'!$B$6))</f>
        <v/>
      </c>
      <c r="S1634">
        <f>--($K1634=IF('الداشبورد'!$B$7="الكل",$K1634,IF('الداشبورد'!$B$7="تصدير","Y","N")))</f>
        <v/>
      </c>
      <c r="T1634">
        <f>--($J1634=IF('الداشبورد'!$B$8="الكل",$J1634,IF('الداشبورد'!$B$8="AL","A","C")))</f>
        <v/>
      </c>
      <c r="U1634">
        <f>--($I1634=IF('الداشبورد'!$B$9="الكل",$I1634,IF('الداشبورد'!$B$9="بدون حالة","P",'الداشبورد'!$B$9)))</f>
        <v/>
      </c>
      <c r="V1634">
        <f>--($D1634=IF('الداشبورد'!$B$10="الكل",$D1634,'الداشبورد'!$B$10))</f>
        <v/>
      </c>
      <c r="W1634">
        <f>--($G1634=IF('الداشبورد'!$B$11="الكل",$G1634,'الداشبورد'!$B$11))</f>
        <v/>
      </c>
      <c r="X1634">
        <f>Q1634*R1634*S1634*T1634*U1634*V1634*W1634*--($C1634&lt;&gt;"")</f>
        <v/>
      </c>
    </row>
    <row r="1635">
      <c r="Q1635">
        <f>--($A1635=IF('الداشبورد'!$B$5="الكل",$A1635,'الداشبورد'!$B$5))</f>
        <v/>
      </c>
      <c r="R1635">
        <f>--($E1635=IF('الداشبورد'!$B$6="الكل",$E1635,'الداشبورد'!$B$6))</f>
        <v/>
      </c>
      <c r="S1635">
        <f>--($K1635=IF('الداشبورد'!$B$7="الكل",$K1635,IF('الداشبورد'!$B$7="تصدير","Y","N")))</f>
        <v/>
      </c>
      <c r="T1635">
        <f>--($J1635=IF('الداشبورد'!$B$8="الكل",$J1635,IF('الداشبورد'!$B$8="AL","A","C")))</f>
        <v/>
      </c>
      <c r="U1635">
        <f>--($I1635=IF('الداشبورد'!$B$9="الكل",$I1635,IF('الداشبورد'!$B$9="بدون حالة","P",'الداشبورد'!$B$9)))</f>
        <v/>
      </c>
      <c r="V1635">
        <f>--($D1635=IF('الداشبورد'!$B$10="الكل",$D1635,'الداشبورد'!$B$10))</f>
        <v/>
      </c>
      <c r="W1635">
        <f>--($G1635=IF('الداشبورد'!$B$11="الكل",$G1635,'الداشبورد'!$B$11))</f>
        <v/>
      </c>
      <c r="X1635">
        <f>Q1635*R1635*S1635*T1635*U1635*V1635*W1635*--($C1635&lt;&gt;"")</f>
        <v/>
      </c>
    </row>
    <row r="1636">
      <c r="Q1636">
        <f>--($A1636=IF('الداشبورد'!$B$5="الكل",$A1636,'الداشبورد'!$B$5))</f>
        <v/>
      </c>
      <c r="R1636">
        <f>--($E1636=IF('الداشبورد'!$B$6="الكل",$E1636,'الداشبورد'!$B$6))</f>
        <v/>
      </c>
      <c r="S1636">
        <f>--($K1636=IF('الداشبورد'!$B$7="الكل",$K1636,IF('الداشبورد'!$B$7="تصدير","Y","N")))</f>
        <v/>
      </c>
      <c r="T1636">
        <f>--($J1636=IF('الداشبورد'!$B$8="الكل",$J1636,IF('الداشبورد'!$B$8="AL","A","C")))</f>
        <v/>
      </c>
      <c r="U1636">
        <f>--($I1636=IF('الداشبورد'!$B$9="الكل",$I1636,IF('الداشبورد'!$B$9="بدون حالة","P",'الداشبورد'!$B$9)))</f>
        <v/>
      </c>
      <c r="V1636">
        <f>--($D1636=IF('الداشبورد'!$B$10="الكل",$D1636,'الداشبورد'!$B$10))</f>
        <v/>
      </c>
      <c r="W1636">
        <f>--($G1636=IF('الداشبورد'!$B$11="الكل",$G1636,'الداشبورد'!$B$11))</f>
        <v/>
      </c>
      <c r="X1636">
        <f>Q1636*R1636*S1636*T1636*U1636*V1636*W1636*--($C1636&lt;&gt;"")</f>
        <v/>
      </c>
    </row>
    <row r="1637">
      <c r="Q1637">
        <f>--($A1637=IF('الداشبورد'!$B$5="الكل",$A1637,'الداشبورد'!$B$5))</f>
        <v/>
      </c>
      <c r="R1637">
        <f>--($E1637=IF('الداشبورد'!$B$6="الكل",$E1637,'الداشبورد'!$B$6))</f>
        <v/>
      </c>
      <c r="S1637">
        <f>--($K1637=IF('الداشبورد'!$B$7="الكل",$K1637,IF('الداشبورد'!$B$7="تصدير","Y","N")))</f>
        <v/>
      </c>
      <c r="T1637">
        <f>--($J1637=IF('الداشبورد'!$B$8="الكل",$J1637,IF('الداشبورد'!$B$8="AL","A","C")))</f>
        <v/>
      </c>
      <c r="U1637">
        <f>--($I1637=IF('الداشبورد'!$B$9="الكل",$I1637,IF('الداشبورد'!$B$9="بدون حالة","P",'الداشبورد'!$B$9)))</f>
        <v/>
      </c>
      <c r="V1637">
        <f>--($D1637=IF('الداشبورد'!$B$10="الكل",$D1637,'الداشبورد'!$B$10))</f>
        <v/>
      </c>
      <c r="W1637">
        <f>--($G1637=IF('الداشبورد'!$B$11="الكل",$G1637,'الداشبورد'!$B$11))</f>
        <v/>
      </c>
      <c r="X1637">
        <f>Q1637*R1637*S1637*T1637*U1637*V1637*W1637*--($C1637&lt;&gt;"")</f>
        <v/>
      </c>
    </row>
    <row r="1638">
      <c r="Q1638">
        <f>--($A1638=IF('الداشبورد'!$B$5="الكل",$A1638,'الداشبورد'!$B$5))</f>
        <v/>
      </c>
      <c r="R1638">
        <f>--($E1638=IF('الداشبورد'!$B$6="الكل",$E1638,'الداشبورد'!$B$6))</f>
        <v/>
      </c>
      <c r="S1638">
        <f>--($K1638=IF('الداشبورد'!$B$7="الكل",$K1638,IF('الداشبورد'!$B$7="تصدير","Y","N")))</f>
        <v/>
      </c>
      <c r="T1638">
        <f>--($J1638=IF('الداشبورد'!$B$8="الكل",$J1638,IF('الداشبورد'!$B$8="AL","A","C")))</f>
        <v/>
      </c>
      <c r="U1638">
        <f>--($I1638=IF('الداشبورد'!$B$9="الكل",$I1638,IF('الداشبورد'!$B$9="بدون حالة","P",'الداشبورد'!$B$9)))</f>
        <v/>
      </c>
      <c r="V1638">
        <f>--($D1638=IF('الداشبورد'!$B$10="الكل",$D1638,'الداشبورد'!$B$10))</f>
        <v/>
      </c>
      <c r="W1638">
        <f>--($G1638=IF('الداشبورد'!$B$11="الكل",$G1638,'الداشبورد'!$B$11))</f>
        <v/>
      </c>
      <c r="X1638">
        <f>Q1638*R1638*S1638*T1638*U1638*V1638*W1638*--($C1638&lt;&gt;"")</f>
        <v/>
      </c>
    </row>
    <row r="1639">
      <c r="Q1639">
        <f>--($A1639=IF('الداشبورد'!$B$5="الكل",$A1639,'الداشبورد'!$B$5))</f>
        <v/>
      </c>
      <c r="R1639">
        <f>--($E1639=IF('الداشبورد'!$B$6="الكل",$E1639,'الداشبورد'!$B$6))</f>
        <v/>
      </c>
      <c r="S1639">
        <f>--($K1639=IF('الداشبورد'!$B$7="الكل",$K1639,IF('الداشبورد'!$B$7="تصدير","Y","N")))</f>
        <v/>
      </c>
      <c r="T1639">
        <f>--($J1639=IF('الداشبورد'!$B$8="الكل",$J1639,IF('الداشبورد'!$B$8="AL","A","C")))</f>
        <v/>
      </c>
      <c r="U1639">
        <f>--($I1639=IF('الداشبورد'!$B$9="الكل",$I1639,IF('الداشبورد'!$B$9="بدون حالة","P",'الداشبورد'!$B$9)))</f>
        <v/>
      </c>
      <c r="V1639">
        <f>--($D1639=IF('الداشبورد'!$B$10="الكل",$D1639,'الداشبورد'!$B$10))</f>
        <v/>
      </c>
      <c r="W1639">
        <f>--($G1639=IF('الداشبورد'!$B$11="الكل",$G1639,'الداشبورد'!$B$11))</f>
        <v/>
      </c>
      <c r="X1639">
        <f>Q1639*R1639*S1639*T1639*U1639*V1639*W1639*--($C1639&lt;&gt;"")</f>
        <v/>
      </c>
    </row>
    <row r="1640">
      <c r="Q1640">
        <f>--($A1640=IF('الداشبورد'!$B$5="الكل",$A1640,'الداشبورد'!$B$5))</f>
        <v/>
      </c>
      <c r="R1640">
        <f>--($E1640=IF('الداشبورد'!$B$6="الكل",$E1640,'الداشبورد'!$B$6))</f>
        <v/>
      </c>
      <c r="S1640">
        <f>--($K1640=IF('الداشبورد'!$B$7="الكل",$K1640,IF('الداشبورد'!$B$7="تصدير","Y","N")))</f>
        <v/>
      </c>
      <c r="T1640">
        <f>--($J1640=IF('الداشبورد'!$B$8="الكل",$J1640,IF('الداشبورد'!$B$8="AL","A","C")))</f>
        <v/>
      </c>
      <c r="U1640">
        <f>--($I1640=IF('الداشبورد'!$B$9="الكل",$I1640,IF('الداشبورد'!$B$9="بدون حالة","P",'الداشبورد'!$B$9)))</f>
        <v/>
      </c>
      <c r="V1640">
        <f>--($D1640=IF('الداشبورد'!$B$10="الكل",$D1640,'الداشبورد'!$B$10))</f>
        <v/>
      </c>
      <c r="W1640">
        <f>--($G1640=IF('الداشبورد'!$B$11="الكل",$G1640,'الداشبورد'!$B$11))</f>
        <v/>
      </c>
      <c r="X1640">
        <f>Q1640*R1640*S1640*T1640*U1640*V1640*W1640*--($C1640&lt;&gt;"")</f>
        <v/>
      </c>
    </row>
    <row r="1641">
      <c r="Q1641">
        <f>--($A1641=IF('الداشبورد'!$B$5="الكل",$A1641,'الداشبورد'!$B$5))</f>
        <v/>
      </c>
      <c r="R1641">
        <f>--($E1641=IF('الداشبورد'!$B$6="الكل",$E1641,'الداشبورد'!$B$6))</f>
        <v/>
      </c>
      <c r="S1641">
        <f>--($K1641=IF('الداشبورد'!$B$7="الكل",$K1641,IF('الداشبورد'!$B$7="تصدير","Y","N")))</f>
        <v/>
      </c>
      <c r="T1641">
        <f>--($J1641=IF('الداشبورد'!$B$8="الكل",$J1641,IF('الداشبورد'!$B$8="AL","A","C")))</f>
        <v/>
      </c>
      <c r="U1641">
        <f>--($I1641=IF('الداشبورد'!$B$9="الكل",$I1641,IF('الداشبورد'!$B$9="بدون حالة","P",'الداشبورد'!$B$9)))</f>
        <v/>
      </c>
      <c r="V1641">
        <f>--($D1641=IF('الداشبورد'!$B$10="الكل",$D1641,'الداشبورد'!$B$10))</f>
        <v/>
      </c>
      <c r="W1641">
        <f>--($G1641=IF('الداشبورد'!$B$11="الكل",$G1641,'الداشبورد'!$B$11))</f>
        <v/>
      </c>
      <c r="X1641">
        <f>Q1641*R1641*S1641*T1641*U1641*V1641*W1641*--($C1641&lt;&gt;"")</f>
        <v/>
      </c>
    </row>
    <row r="1642">
      <c r="Q1642">
        <f>--($A1642=IF('الداشبورد'!$B$5="الكل",$A1642,'الداشبورد'!$B$5))</f>
        <v/>
      </c>
      <c r="R1642">
        <f>--($E1642=IF('الداشبورد'!$B$6="الكل",$E1642,'الداشبورد'!$B$6))</f>
        <v/>
      </c>
      <c r="S1642">
        <f>--($K1642=IF('الداشبورد'!$B$7="الكل",$K1642,IF('الداشبورد'!$B$7="تصدير","Y","N")))</f>
        <v/>
      </c>
      <c r="T1642">
        <f>--($J1642=IF('الداشبورد'!$B$8="الكل",$J1642,IF('الداشبورد'!$B$8="AL","A","C")))</f>
        <v/>
      </c>
      <c r="U1642">
        <f>--($I1642=IF('الداشبورد'!$B$9="الكل",$I1642,IF('الداشبورد'!$B$9="بدون حالة","P",'الداشبورد'!$B$9)))</f>
        <v/>
      </c>
      <c r="V1642">
        <f>--($D1642=IF('الداشبورد'!$B$10="الكل",$D1642,'الداشبورد'!$B$10))</f>
        <v/>
      </c>
      <c r="W1642">
        <f>--($G1642=IF('الداشبورد'!$B$11="الكل",$G1642,'الداشبورد'!$B$11))</f>
        <v/>
      </c>
      <c r="X1642">
        <f>Q1642*R1642*S1642*T1642*U1642*V1642*W1642*--($C1642&lt;&gt;"")</f>
        <v/>
      </c>
    </row>
    <row r="1643">
      <c r="Q1643">
        <f>--($A1643=IF('الداشبورد'!$B$5="الكل",$A1643,'الداشبورد'!$B$5))</f>
        <v/>
      </c>
      <c r="R1643">
        <f>--($E1643=IF('الداشبورد'!$B$6="الكل",$E1643,'الداشبورد'!$B$6))</f>
        <v/>
      </c>
      <c r="S1643">
        <f>--($K1643=IF('الداشبورد'!$B$7="الكل",$K1643,IF('الداشبورد'!$B$7="تصدير","Y","N")))</f>
        <v/>
      </c>
      <c r="T1643">
        <f>--($J1643=IF('الداشبورد'!$B$8="الكل",$J1643,IF('الداشبورد'!$B$8="AL","A","C")))</f>
        <v/>
      </c>
      <c r="U1643">
        <f>--($I1643=IF('الداشبورد'!$B$9="الكل",$I1643,IF('الداشبورد'!$B$9="بدون حالة","P",'الداشبورد'!$B$9)))</f>
        <v/>
      </c>
      <c r="V1643">
        <f>--($D1643=IF('الداشبورد'!$B$10="الكل",$D1643,'الداشبورد'!$B$10))</f>
        <v/>
      </c>
      <c r="W1643">
        <f>--($G1643=IF('الداشبورد'!$B$11="الكل",$G1643,'الداشبورد'!$B$11))</f>
        <v/>
      </c>
      <c r="X1643">
        <f>Q1643*R1643*S1643*T1643*U1643*V1643*W1643*--($C1643&lt;&gt;"")</f>
        <v/>
      </c>
    </row>
    <row r="1644">
      <c r="Q1644">
        <f>--($A1644=IF('الداشبورد'!$B$5="الكل",$A1644,'الداشبورد'!$B$5))</f>
        <v/>
      </c>
      <c r="R1644">
        <f>--($E1644=IF('الداشبورد'!$B$6="الكل",$E1644,'الداشبورد'!$B$6))</f>
        <v/>
      </c>
      <c r="S1644">
        <f>--($K1644=IF('الداشبورد'!$B$7="الكل",$K1644,IF('الداشبورد'!$B$7="تصدير","Y","N")))</f>
        <v/>
      </c>
      <c r="T1644">
        <f>--($J1644=IF('الداشبورد'!$B$8="الكل",$J1644,IF('الداشبورد'!$B$8="AL","A","C")))</f>
        <v/>
      </c>
      <c r="U1644">
        <f>--($I1644=IF('الداشبورد'!$B$9="الكل",$I1644,IF('الداشبورد'!$B$9="بدون حالة","P",'الداشبورد'!$B$9)))</f>
        <v/>
      </c>
      <c r="V1644">
        <f>--($D1644=IF('الداشبورد'!$B$10="الكل",$D1644,'الداشبورد'!$B$10))</f>
        <v/>
      </c>
      <c r="W1644">
        <f>--($G1644=IF('الداشبورد'!$B$11="الكل",$G1644,'الداشبورد'!$B$11))</f>
        <v/>
      </c>
      <c r="X1644">
        <f>Q1644*R1644*S1644*T1644*U1644*V1644*W1644*--($C1644&lt;&gt;"")</f>
        <v/>
      </c>
    </row>
    <row r="1645">
      <c r="Q1645">
        <f>--($A1645=IF('الداشبورد'!$B$5="الكل",$A1645,'الداشبورد'!$B$5))</f>
        <v/>
      </c>
      <c r="R1645">
        <f>--($E1645=IF('الداشبورد'!$B$6="الكل",$E1645,'الداشبورد'!$B$6))</f>
        <v/>
      </c>
      <c r="S1645">
        <f>--($K1645=IF('الداشبورد'!$B$7="الكل",$K1645,IF('الداشبورد'!$B$7="تصدير","Y","N")))</f>
        <v/>
      </c>
      <c r="T1645">
        <f>--($J1645=IF('الداشبورد'!$B$8="الكل",$J1645,IF('الداشبورد'!$B$8="AL","A","C")))</f>
        <v/>
      </c>
      <c r="U1645">
        <f>--($I1645=IF('الداشبورد'!$B$9="الكل",$I1645,IF('الداشبورد'!$B$9="بدون حالة","P",'الداشبورد'!$B$9)))</f>
        <v/>
      </c>
      <c r="V1645">
        <f>--($D1645=IF('الداشبورد'!$B$10="الكل",$D1645,'الداشبورد'!$B$10))</f>
        <v/>
      </c>
      <c r="W1645">
        <f>--($G1645=IF('الداشبورد'!$B$11="الكل",$G1645,'الداشبورد'!$B$11))</f>
        <v/>
      </c>
      <c r="X1645">
        <f>Q1645*R1645*S1645*T1645*U1645*V1645*W1645*--($C1645&lt;&gt;"")</f>
        <v/>
      </c>
    </row>
    <row r="1646">
      <c r="Q1646">
        <f>--($A1646=IF('الداشبورد'!$B$5="الكل",$A1646,'الداشبورد'!$B$5))</f>
        <v/>
      </c>
      <c r="R1646">
        <f>--($E1646=IF('الداشبورد'!$B$6="الكل",$E1646,'الداشبورد'!$B$6))</f>
        <v/>
      </c>
      <c r="S1646">
        <f>--($K1646=IF('الداشبورد'!$B$7="الكل",$K1646,IF('الداشبورد'!$B$7="تصدير","Y","N")))</f>
        <v/>
      </c>
      <c r="T1646">
        <f>--($J1646=IF('الداشبورد'!$B$8="الكل",$J1646,IF('الداشبورد'!$B$8="AL","A","C")))</f>
        <v/>
      </c>
      <c r="U1646">
        <f>--($I1646=IF('الداشبورد'!$B$9="الكل",$I1646,IF('الداشبورد'!$B$9="بدون حالة","P",'الداشبورد'!$B$9)))</f>
        <v/>
      </c>
      <c r="V1646">
        <f>--($D1646=IF('الداشبورد'!$B$10="الكل",$D1646,'الداشبورد'!$B$10))</f>
        <v/>
      </c>
      <c r="W1646">
        <f>--($G1646=IF('الداشبورد'!$B$11="الكل",$G1646,'الداشبورد'!$B$11))</f>
        <v/>
      </c>
      <c r="X1646">
        <f>Q1646*R1646*S1646*T1646*U1646*V1646*W1646*--($C1646&lt;&gt;"")</f>
        <v/>
      </c>
    </row>
    <row r="1647">
      <c r="Q1647">
        <f>--($A1647=IF('الداشبورد'!$B$5="الكل",$A1647,'الداشبورد'!$B$5))</f>
        <v/>
      </c>
      <c r="R1647">
        <f>--($E1647=IF('الداشبورد'!$B$6="الكل",$E1647,'الداشبورد'!$B$6))</f>
        <v/>
      </c>
      <c r="S1647">
        <f>--($K1647=IF('الداشبورد'!$B$7="الكل",$K1647,IF('الداشبورد'!$B$7="تصدير","Y","N")))</f>
        <v/>
      </c>
      <c r="T1647">
        <f>--($J1647=IF('الداشبورد'!$B$8="الكل",$J1647,IF('الداشبورد'!$B$8="AL","A","C")))</f>
        <v/>
      </c>
      <c r="U1647">
        <f>--($I1647=IF('الداشبورد'!$B$9="الكل",$I1647,IF('الداشبورد'!$B$9="بدون حالة","P",'الداشبورد'!$B$9)))</f>
        <v/>
      </c>
      <c r="V1647">
        <f>--($D1647=IF('الداشبورد'!$B$10="الكل",$D1647,'الداشبورد'!$B$10))</f>
        <v/>
      </c>
      <c r="W1647">
        <f>--($G1647=IF('الداشبورد'!$B$11="الكل",$G1647,'الداشبورد'!$B$11))</f>
        <v/>
      </c>
      <c r="X1647">
        <f>Q1647*R1647*S1647*T1647*U1647*V1647*W1647*--($C1647&lt;&gt;"")</f>
        <v/>
      </c>
    </row>
    <row r="1648">
      <c r="Q1648">
        <f>--($A1648=IF('الداشبورد'!$B$5="الكل",$A1648,'الداشبورد'!$B$5))</f>
        <v/>
      </c>
      <c r="R1648">
        <f>--($E1648=IF('الداشبورد'!$B$6="الكل",$E1648,'الداشبورد'!$B$6))</f>
        <v/>
      </c>
      <c r="S1648">
        <f>--($K1648=IF('الداشبورد'!$B$7="الكل",$K1648,IF('الداشبورد'!$B$7="تصدير","Y","N")))</f>
        <v/>
      </c>
      <c r="T1648">
        <f>--($J1648=IF('الداشبورد'!$B$8="الكل",$J1648,IF('الداشبورد'!$B$8="AL","A","C")))</f>
        <v/>
      </c>
      <c r="U1648">
        <f>--($I1648=IF('الداشبورد'!$B$9="الكل",$I1648,IF('الداشبورد'!$B$9="بدون حالة","P",'الداشبورد'!$B$9)))</f>
        <v/>
      </c>
      <c r="V1648">
        <f>--($D1648=IF('الداشبورد'!$B$10="الكل",$D1648,'الداشبورد'!$B$10))</f>
        <v/>
      </c>
      <c r="W1648">
        <f>--($G1648=IF('الداشبورد'!$B$11="الكل",$G1648,'الداشبورد'!$B$11))</f>
        <v/>
      </c>
      <c r="X1648">
        <f>Q1648*R1648*S1648*T1648*U1648*V1648*W1648*--($C1648&lt;&gt;"")</f>
        <v/>
      </c>
    </row>
    <row r="1649">
      <c r="Q1649">
        <f>--($A1649=IF('الداشبورد'!$B$5="الكل",$A1649,'الداشبورد'!$B$5))</f>
        <v/>
      </c>
      <c r="R1649">
        <f>--($E1649=IF('الداشبورد'!$B$6="الكل",$E1649,'الداشبورد'!$B$6))</f>
        <v/>
      </c>
      <c r="S1649">
        <f>--($K1649=IF('الداشبورد'!$B$7="الكل",$K1649,IF('الداشبورد'!$B$7="تصدير","Y","N")))</f>
        <v/>
      </c>
      <c r="T1649">
        <f>--($J1649=IF('الداشبورد'!$B$8="الكل",$J1649,IF('الداشبورد'!$B$8="AL","A","C")))</f>
        <v/>
      </c>
      <c r="U1649">
        <f>--($I1649=IF('الداشبورد'!$B$9="الكل",$I1649,IF('الداشبورد'!$B$9="بدون حالة","P",'الداشبورد'!$B$9)))</f>
        <v/>
      </c>
      <c r="V1649">
        <f>--($D1649=IF('الداشبورد'!$B$10="الكل",$D1649,'الداشبورد'!$B$10))</f>
        <v/>
      </c>
      <c r="W1649">
        <f>--($G1649=IF('الداشبورد'!$B$11="الكل",$G1649,'الداشبورد'!$B$11))</f>
        <v/>
      </c>
      <c r="X1649">
        <f>Q1649*R1649*S1649*T1649*U1649*V1649*W1649*--($C1649&lt;&gt;"")</f>
        <v/>
      </c>
    </row>
    <row r="1650">
      <c r="Q1650">
        <f>--($A1650=IF('الداشبورد'!$B$5="الكل",$A1650,'الداشبورد'!$B$5))</f>
        <v/>
      </c>
      <c r="R1650">
        <f>--($E1650=IF('الداشبورد'!$B$6="الكل",$E1650,'الداشبورد'!$B$6))</f>
        <v/>
      </c>
      <c r="S1650">
        <f>--($K1650=IF('الداشبورد'!$B$7="الكل",$K1650,IF('الداشبورد'!$B$7="تصدير","Y","N")))</f>
        <v/>
      </c>
      <c r="T1650">
        <f>--($J1650=IF('الداشبورد'!$B$8="الكل",$J1650,IF('الداشبورد'!$B$8="AL","A","C")))</f>
        <v/>
      </c>
      <c r="U1650">
        <f>--($I1650=IF('الداشبورد'!$B$9="الكل",$I1650,IF('الداشبورد'!$B$9="بدون حالة","P",'الداشبورد'!$B$9)))</f>
        <v/>
      </c>
      <c r="V1650">
        <f>--($D1650=IF('الداشبورد'!$B$10="الكل",$D1650,'الداشبورد'!$B$10))</f>
        <v/>
      </c>
      <c r="W1650">
        <f>--($G1650=IF('الداشبورد'!$B$11="الكل",$G1650,'الداشبورد'!$B$11))</f>
        <v/>
      </c>
      <c r="X1650">
        <f>Q1650*R1650*S1650*T1650*U1650*V1650*W1650*--($C1650&lt;&gt;"")</f>
        <v/>
      </c>
    </row>
    <row r="1651">
      <c r="Q1651">
        <f>--($A1651=IF('الداشبورد'!$B$5="الكل",$A1651,'الداشبورد'!$B$5))</f>
        <v/>
      </c>
      <c r="R1651">
        <f>--($E1651=IF('الداشبورد'!$B$6="الكل",$E1651,'الداشبورد'!$B$6))</f>
        <v/>
      </c>
      <c r="S1651">
        <f>--($K1651=IF('الداشبورد'!$B$7="الكل",$K1651,IF('الداشبورد'!$B$7="تصدير","Y","N")))</f>
        <v/>
      </c>
      <c r="T1651">
        <f>--($J1651=IF('الداشبورد'!$B$8="الكل",$J1651,IF('الداشبورد'!$B$8="AL","A","C")))</f>
        <v/>
      </c>
      <c r="U1651">
        <f>--($I1651=IF('الداشبورد'!$B$9="الكل",$I1651,IF('الداشبورد'!$B$9="بدون حالة","P",'الداشبورد'!$B$9)))</f>
        <v/>
      </c>
      <c r="V1651">
        <f>--($D1651=IF('الداشبورد'!$B$10="الكل",$D1651,'الداشبورد'!$B$10))</f>
        <v/>
      </c>
      <c r="W1651">
        <f>--($G1651=IF('الداشبورد'!$B$11="الكل",$G1651,'الداشبورد'!$B$11))</f>
        <v/>
      </c>
      <c r="X1651">
        <f>Q1651*R1651*S1651*T1651*U1651*V1651*W1651*--($C1651&lt;&gt;"")</f>
        <v/>
      </c>
    </row>
    <row r="1652">
      <c r="Q1652">
        <f>--($A1652=IF('الداشبورد'!$B$5="الكل",$A1652,'الداشبورد'!$B$5))</f>
        <v/>
      </c>
      <c r="R1652">
        <f>--($E1652=IF('الداشبورد'!$B$6="الكل",$E1652,'الداشبورد'!$B$6))</f>
        <v/>
      </c>
      <c r="S1652">
        <f>--($K1652=IF('الداشبورد'!$B$7="الكل",$K1652,IF('الداشبورد'!$B$7="تصدير","Y","N")))</f>
        <v/>
      </c>
      <c r="T1652">
        <f>--($J1652=IF('الداشبورد'!$B$8="الكل",$J1652,IF('الداشبورد'!$B$8="AL","A","C")))</f>
        <v/>
      </c>
      <c r="U1652">
        <f>--($I1652=IF('الداشبورد'!$B$9="الكل",$I1652,IF('الداشبورد'!$B$9="بدون حالة","P",'الداشبورد'!$B$9)))</f>
        <v/>
      </c>
      <c r="V1652">
        <f>--($D1652=IF('الداشبورد'!$B$10="الكل",$D1652,'الداشبورد'!$B$10))</f>
        <v/>
      </c>
      <c r="W1652">
        <f>--($G1652=IF('الداشبورد'!$B$11="الكل",$G1652,'الداشبورد'!$B$11))</f>
        <v/>
      </c>
      <c r="X1652">
        <f>Q1652*R1652*S1652*T1652*U1652*V1652*W1652*--($C1652&lt;&gt;"")</f>
        <v/>
      </c>
    </row>
    <row r="1653">
      <c r="Q1653">
        <f>--($A1653=IF('الداشبورد'!$B$5="الكل",$A1653,'الداشبورد'!$B$5))</f>
        <v/>
      </c>
      <c r="R1653">
        <f>--($E1653=IF('الداشبورد'!$B$6="الكل",$E1653,'الداشبورد'!$B$6))</f>
        <v/>
      </c>
      <c r="S1653">
        <f>--($K1653=IF('الداشبورد'!$B$7="الكل",$K1653,IF('الداشبورد'!$B$7="تصدير","Y","N")))</f>
        <v/>
      </c>
      <c r="T1653">
        <f>--($J1653=IF('الداشبورد'!$B$8="الكل",$J1653,IF('الداشبورد'!$B$8="AL","A","C")))</f>
        <v/>
      </c>
      <c r="U1653">
        <f>--($I1653=IF('الداشبورد'!$B$9="الكل",$I1653,IF('الداشبورد'!$B$9="بدون حالة","P",'الداشبورد'!$B$9)))</f>
        <v/>
      </c>
      <c r="V1653">
        <f>--($D1653=IF('الداشبورد'!$B$10="الكل",$D1653,'الداشبورد'!$B$10))</f>
        <v/>
      </c>
      <c r="W1653">
        <f>--($G1653=IF('الداشبورد'!$B$11="الكل",$G1653,'الداشبورد'!$B$11))</f>
        <v/>
      </c>
      <c r="X1653">
        <f>Q1653*R1653*S1653*T1653*U1653*V1653*W1653*--($C1653&lt;&gt;"")</f>
        <v/>
      </c>
    </row>
    <row r="1654">
      <c r="Q1654">
        <f>--($A1654=IF('الداشبورد'!$B$5="الكل",$A1654,'الداشبورد'!$B$5))</f>
        <v/>
      </c>
      <c r="R1654">
        <f>--($E1654=IF('الداشبورد'!$B$6="الكل",$E1654,'الداشبورد'!$B$6))</f>
        <v/>
      </c>
      <c r="S1654">
        <f>--($K1654=IF('الداشبورد'!$B$7="الكل",$K1654,IF('الداشبورد'!$B$7="تصدير","Y","N")))</f>
        <v/>
      </c>
      <c r="T1654">
        <f>--($J1654=IF('الداشبورد'!$B$8="الكل",$J1654,IF('الداشبورد'!$B$8="AL","A","C")))</f>
        <v/>
      </c>
      <c r="U1654">
        <f>--($I1654=IF('الداشبورد'!$B$9="الكل",$I1654,IF('الداشبورد'!$B$9="بدون حالة","P",'الداشبورد'!$B$9)))</f>
        <v/>
      </c>
      <c r="V1654">
        <f>--($D1654=IF('الداشبورد'!$B$10="الكل",$D1654,'الداشبورد'!$B$10))</f>
        <v/>
      </c>
      <c r="W1654">
        <f>--($G1654=IF('الداشبورد'!$B$11="الكل",$G1654,'الداشبورد'!$B$11))</f>
        <v/>
      </c>
      <c r="X1654">
        <f>Q1654*R1654*S1654*T1654*U1654*V1654*W1654*--($C1654&lt;&gt;"")</f>
        <v/>
      </c>
    </row>
    <row r="1655">
      <c r="Q1655">
        <f>--($A1655=IF('الداشبورد'!$B$5="الكل",$A1655,'الداشبورد'!$B$5))</f>
        <v/>
      </c>
      <c r="R1655">
        <f>--($E1655=IF('الداشبورد'!$B$6="الكل",$E1655,'الداشبورد'!$B$6))</f>
        <v/>
      </c>
      <c r="S1655">
        <f>--($K1655=IF('الداشبورد'!$B$7="الكل",$K1655,IF('الداشبورد'!$B$7="تصدير","Y","N")))</f>
        <v/>
      </c>
      <c r="T1655">
        <f>--($J1655=IF('الداشبورد'!$B$8="الكل",$J1655,IF('الداشبورد'!$B$8="AL","A","C")))</f>
        <v/>
      </c>
      <c r="U1655">
        <f>--($I1655=IF('الداشبورد'!$B$9="الكل",$I1655,IF('الداشبورد'!$B$9="بدون حالة","P",'الداشبورد'!$B$9)))</f>
        <v/>
      </c>
      <c r="V1655">
        <f>--($D1655=IF('الداشبورد'!$B$10="الكل",$D1655,'الداشبورد'!$B$10))</f>
        <v/>
      </c>
      <c r="W1655">
        <f>--($G1655=IF('الداشبورد'!$B$11="الكل",$G1655,'الداشبورد'!$B$11))</f>
        <v/>
      </c>
      <c r="X1655">
        <f>Q1655*R1655*S1655*T1655*U1655*V1655*W1655*--($C1655&lt;&gt;"")</f>
        <v/>
      </c>
    </row>
    <row r="1656">
      <c r="Q1656">
        <f>--($A1656=IF('الداشبورد'!$B$5="الكل",$A1656,'الداشبورد'!$B$5))</f>
        <v/>
      </c>
      <c r="R1656">
        <f>--($E1656=IF('الداشبورد'!$B$6="الكل",$E1656,'الداشبورد'!$B$6))</f>
        <v/>
      </c>
      <c r="S1656">
        <f>--($K1656=IF('الداشبورد'!$B$7="الكل",$K1656,IF('الداشبورد'!$B$7="تصدير","Y","N")))</f>
        <v/>
      </c>
      <c r="T1656">
        <f>--($J1656=IF('الداشبورد'!$B$8="الكل",$J1656,IF('الداشبورد'!$B$8="AL","A","C")))</f>
        <v/>
      </c>
      <c r="U1656">
        <f>--($I1656=IF('الداشبورد'!$B$9="الكل",$I1656,IF('الداشبورد'!$B$9="بدون حالة","P",'الداشبورد'!$B$9)))</f>
        <v/>
      </c>
      <c r="V1656">
        <f>--($D1656=IF('الداشبورد'!$B$10="الكل",$D1656,'الداشبورد'!$B$10))</f>
        <v/>
      </c>
      <c r="W1656">
        <f>--($G1656=IF('الداشبورد'!$B$11="الكل",$G1656,'الداشبورد'!$B$11))</f>
        <v/>
      </c>
      <c r="X1656">
        <f>Q1656*R1656*S1656*T1656*U1656*V1656*W1656*--($C1656&lt;&gt;"")</f>
        <v/>
      </c>
    </row>
    <row r="1657">
      <c r="Q1657">
        <f>--($A1657=IF('الداشبورد'!$B$5="الكل",$A1657,'الداشبورد'!$B$5))</f>
        <v/>
      </c>
      <c r="R1657">
        <f>--($E1657=IF('الداشبورد'!$B$6="الكل",$E1657,'الداشبورد'!$B$6))</f>
        <v/>
      </c>
      <c r="S1657">
        <f>--($K1657=IF('الداشبورد'!$B$7="الكل",$K1657,IF('الداشبورد'!$B$7="تصدير","Y","N")))</f>
        <v/>
      </c>
      <c r="T1657">
        <f>--($J1657=IF('الداشبورد'!$B$8="الكل",$J1657,IF('الداشبورد'!$B$8="AL","A","C")))</f>
        <v/>
      </c>
      <c r="U1657">
        <f>--($I1657=IF('الداشبورد'!$B$9="الكل",$I1657,IF('الداشبورد'!$B$9="بدون حالة","P",'الداشبورد'!$B$9)))</f>
        <v/>
      </c>
      <c r="V1657">
        <f>--($D1657=IF('الداشبورد'!$B$10="الكل",$D1657,'الداشبورد'!$B$10))</f>
        <v/>
      </c>
      <c r="W1657">
        <f>--($G1657=IF('الداشبورد'!$B$11="الكل",$G1657,'الداشبورد'!$B$11))</f>
        <v/>
      </c>
      <c r="X1657">
        <f>Q1657*R1657*S1657*T1657*U1657*V1657*W1657*--($C1657&lt;&gt;"")</f>
        <v/>
      </c>
    </row>
    <row r="1658">
      <c r="Q1658">
        <f>--($A1658=IF('الداشبورد'!$B$5="الكل",$A1658,'الداشبورد'!$B$5))</f>
        <v/>
      </c>
      <c r="R1658">
        <f>--($E1658=IF('الداشبورد'!$B$6="الكل",$E1658,'الداشبورد'!$B$6))</f>
        <v/>
      </c>
      <c r="S1658">
        <f>--($K1658=IF('الداشبورد'!$B$7="الكل",$K1658,IF('الداشبورد'!$B$7="تصدير","Y","N")))</f>
        <v/>
      </c>
      <c r="T1658">
        <f>--($J1658=IF('الداشبورد'!$B$8="الكل",$J1658,IF('الداشبورد'!$B$8="AL","A","C")))</f>
        <v/>
      </c>
      <c r="U1658">
        <f>--($I1658=IF('الداشبورد'!$B$9="الكل",$I1658,IF('الداشبورد'!$B$9="بدون حالة","P",'الداشبورد'!$B$9)))</f>
        <v/>
      </c>
      <c r="V1658">
        <f>--($D1658=IF('الداشبورد'!$B$10="الكل",$D1658,'الداشبورد'!$B$10))</f>
        <v/>
      </c>
      <c r="W1658">
        <f>--($G1658=IF('الداشبورد'!$B$11="الكل",$G1658,'الداشبورد'!$B$11))</f>
        <v/>
      </c>
      <c r="X1658">
        <f>Q1658*R1658*S1658*T1658*U1658*V1658*W1658*--($C1658&lt;&gt;"")</f>
        <v/>
      </c>
    </row>
    <row r="1659">
      <c r="Q1659">
        <f>--($A1659=IF('الداشبورد'!$B$5="الكل",$A1659,'الداشبورد'!$B$5))</f>
        <v/>
      </c>
      <c r="R1659">
        <f>--($E1659=IF('الداشبورد'!$B$6="الكل",$E1659,'الداشبورد'!$B$6))</f>
        <v/>
      </c>
      <c r="S1659">
        <f>--($K1659=IF('الداشبورد'!$B$7="الكل",$K1659,IF('الداشبورد'!$B$7="تصدير","Y","N")))</f>
        <v/>
      </c>
      <c r="T1659">
        <f>--($J1659=IF('الداشبورد'!$B$8="الكل",$J1659,IF('الداشبورد'!$B$8="AL","A","C")))</f>
        <v/>
      </c>
      <c r="U1659">
        <f>--($I1659=IF('الداشبورد'!$B$9="الكل",$I1659,IF('الداشبورد'!$B$9="بدون حالة","P",'الداشبورد'!$B$9)))</f>
        <v/>
      </c>
      <c r="V1659">
        <f>--($D1659=IF('الداشبورد'!$B$10="الكل",$D1659,'الداشبورد'!$B$10))</f>
        <v/>
      </c>
      <c r="W1659">
        <f>--($G1659=IF('الداشبورد'!$B$11="الكل",$G1659,'الداشبورد'!$B$11))</f>
        <v/>
      </c>
      <c r="X1659">
        <f>Q1659*R1659*S1659*T1659*U1659*V1659*W1659*--($C1659&lt;&gt;"")</f>
        <v/>
      </c>
    </row>
    <row r="1660">
      <c r="Q1660">
        <f>--($A1660=IF('الداشبورد'!$B$5="الكل",$A1660,'الداشبورد'!$B$5))</f>
        <v/>
      </c>
      <c r="R1660">
        <f>--($E1660=IF('الداشبورد'!$B$6="الكل",$E1660,'الداشبورد'!$B$6))</f>
        <v/>
      </c>
      <c r="S1660">
        <f>--($K1660=IF('الداشبورد'!$B$7="الكل",$K1660,IF('الداشبورد'!$B$7="تصدير","Y","N")))</f>
        <v/>
      </c>
      <c r="T1660">
        <f>--($J1660=IF('الداشبورد'!$B$8="الكل",$J1660,IF('الداشبورد'!$B$8="AL","A","C")))</f>
        <v/>
      </c>
      <c r="U1660">
        <f>--($I1660=IF('الداشبورد'!$B$9="الكل",$I1660,IF('الداشبورد'!$B$9="بدون حالة","P",'الداشبورد'!$B$9)))</f>
        <v/>
      </c>
      <c r="V1660">
        <f>--($D1660=IF('الداشبورد'!$B$10="الكل",$D1660,'الداشبورد'!$B$10))</f>
        <v/>
      </c>
      <c r="W1660">
        <f>--($G1660=IF('الداشبورد'!$B$11="الكل",$G1660,'الداشبورد'!$B$11))</f>
        <v/>
      </c>
      <c r="X1660">
        <f>Q1660*R1660*S1660*T1660*U1660*V1660*W1660*--($C1660&lt;&gt;"")</f>
        <v/>
      </c>
    </row>
    <row r="1661">
      <c r="Q1661">
        <f>--($A1661=IF('الداشبورد'!$B$5="الكل",$A1661,'الداشبورد'!$B$5))</f>
        <v/>
      </c>
      <c r="R1661">
        <f>--($E1661=IF('الداشبورد'!$B$6="الكل",$E1661,'الداشبورد'!$B$6))</f>
        <v/>
      </c>
      <c r="S1661">
        <f>--($K1661=IF('الداشبورد'!$B$7="الكل",$K1661,IF('الداشبورد'!$B$7="تصدير","Y","N")))</f>
        <v/>
      </c>
      <c r="T1661">
        <f>--($J1661=IF('الداشبورد'!$B$8="الكل",$J1661,IF('الداشبورد'!$B$8="AL","A","C")))</f>
        <v/>
      </c>
      <c r="U1661">
        <f>--($I1661=IF('الداشبورد'!$B$9="الكل",$I1661,IF('الداشبورد'!$B$9="بدون حالة","P",'الداشبورد'!$B$9)))</f>
        <v/>
      </c>
      <c r="V1661">
        <f>--($D1661=IF('الداشبورد'!$B$10="الكل",$D1661,'الداشبورد'!$B$10))</f>
        <v/>
      </c>
      <c r="W1661">
        <f>--($G1661=IF('الداشبورد'!$B$11="الكل",$G1661,'الداشبورد'!$B$11))</f>
        <v/>
      </c>
      <c r="X1661">
        <f>Q1661*R1661*S1661*T1661*U1661*V1661*W1661*--($C1661&lt;&gt;"")</f>
        <v/>
      </c>
    </row>
    <row r="1662">
      <c r="Q1662">
        <f>--($A1662=IF('الداشبورد'!$B$5="الكل",$A1662,'الداشبورد'!$B$5))</f>
        <v/>
      </c>
      <c r="R1662">
        <f>--($E1662=IF('الداشبورد'!$B$6="الكل",$E1662,'الداشبورد'!$B$6))</f>
        <v/>
      </c>
      <c r="S1662">
        <f>--($K1662=IF('الداشبورد'!$B$7="الكل",$K1662,IF('الداشبورد'!$B$7="تصدير","Y","N")))</f>
        <v/>
      </c>
      <c r="T1662">
        <f>--($J1662=IF('الداشبورد'!$B$8="الكل",$J1662,IF('الداشبورد'!$B$8="AL","A","C")))</f>
        <v/>
      </c>
      <c r="U1662">
        <f>--($I1662=IF('الداشبورد'!$B$9="الكل",$I1662,IF('الداشبورد'!$B$9="بدون حالة","P",'الداشبورد'!$B$9)))</f>
        <v/>
      </c>
      <c r="V1662">
        <f>--($D1662=IF('الداشبورد'!$B$10="الكل",$D1662,'الداشبورد'!$B$10))</f>
        <v/>
      </c>
      <c r="W1662">
        <f>--($G1662=IF('الداشبورد'!$B$11="الكل",$G1662,'الداشبورد'!$B$11))</f>
        <v/>
      </c>
      <c r="X1662">
        <f>Q1662*R1662*S1662*T1662*U1662*V1662*W1662*--($C1662&lt;&gt;"")</f>
        <v/>
      </c>
    </row>
    <row r="1663">
      <c r="Q1663">
        <f>--($A1663=IF('الداشبورد'!$B$5="الكل",$A1663,'الداشبورد'!$B$5))</f>
        <v/>
      </c>
      <c r="R1663">
        <f>--($E1663=IF('الداشبورد'!$B$6="الكل",$E1663,'الداشبورد'!$B$6))</f>
        <v/>
      </c>
      <c r="S1663">
        <f>--($K1663=IF('الداشبورد'!$B$7="الكل",$K1663,IF('الداشبورد'!$B$7="تصدير","Y","N")))</f>
        <v/>
      </c>
      <c r="T1663">
        <f>--($J1663=IF('الداشبورد'!$B$8="الكل",$J1663,IF('الداشبورد'!$B$8="AL","A","C")))</f>
        <v/>
      </c>
      <c r="U1663">
        <f>--($I1663=IF('الداشبورد'!$B$9="الكل",$I1663,IF('الداشبورد'!$B$9="بدون حالة","P",'الداشبورد'!$B$9)))</f>
        <v/>
      </c>
      <c r="V1663">
        <f>--($D1663=IF('الداشبورد'!$B$10="الكل",$D1663,'الداشبورد'!$B$10))</f>
        <v/>
      </c>
      <c r="W1663">
        <f>--($G1663=IF('الداشبورد'!$B$11="الكل",$G1663,'الداشبورد'!$B$11))</f>
        <v/>
      </c>
      <c r="X1663">
        <f>Q1663*R1663*S1663*T1663*U1663*V1663*W1663*--($C1663&lt;&gt;"")</f>
        <v/>
      </c>
    </row>
    <row r="1664">
      <c r="Q1664">
        <f>--($A1664=IF('الداشبورد'!$B$5="الكل",$A1664,'الداشبورد'!$B$5))</f>
        <v/>
      </c>
      <c r="R1664">
        <f>--($E1664=IF('الداشبورد'!$B$6="الكل",$E1664,'الداشبورد'!$B$6))</f>
        <v/>
      </c>
      <c r="S1664">
        <f>--($K1664=IF('الداشبورد'!$B$7="الكل",$K1664,IF('الداشبورد'!$B$7="تصدير","Y","N")))</f>
        <v/>
      </c>
      <c r="T1664">
        <f>--($J1664=IF('الداشبورد'!$B$8="الكل",$J1664,IF('الداشبورد'!$B$8="AL","A","C")))</f>
        <v/>
      </c>
      <c r="U1664">
        <f>--($I1664=IF('الداشبورد'!$B$9="الكل",$I1664,IF('الداشبورد'!$B$9="بدون حالة","P",'الداشبورد'!$B$9)))</f>
        <v/>
      </c>
      <c r="V1664">
        <f>--($D1664=IF('الداشبورد'!$B$10="الكل",$D1664,'الداشبورد'!$B$10))</f>
        <v/>
      </c>
      <c r="W1664">
        <f>--($G1664=IF('الداشبورد'!$B$11="الكل",$G1664,'الداشبورد'!$B$11))</f>
        <v/>
      </c>
      <c r="X1664">
        <f>Q1664*R1664*S1664*T1664*U1664*V1664*W1664*--($C1664&lt;&gt;"")</f>
        <v/>
      </c>
    </row>
    <row r="1665">
      <c r="Q1665">
        <f>--($A1665=IF('الداشبورد'!$B$5="الكل",$A1665,'الداشبورد'!$B$5))</f>
        <v/>
      </c>
      <c r="R1665">
        <f>--($E1665=IF('الداشبورد'!$B$6="الكل",$E1665,'الداشبورد'!$B$6))</f>
        <v/>
      </c>
      <c r="S1665">
        <f>--($K1665=IF('الداشبورد'!$B$7="الكل",$K1665,IF('الداشبورد'!$B$7="تصدير","Y","N")))</f>
        <v/>
      </c>
      <c r="T1665">
        <f>--($J1665=IF('الداشبورد'!$B$8="الكل",$J1665,IF('الداشبورد'!$B$8="AL","A","C")))</f>
        <v/>
      </c>
      <c r="U1665">
        <f>--($I1665=IF('الداشبورد'!$B$9="الكل",$I1665,IF('الداشبورد'!$B$9="بدون حالة","P",'الداشبورد'!$B$9)))</f>
        <v/>
      </c>
      <c r="V1665">
        <f>--($D1665=IF('الداشبورد'!$B$10="الكل",$D1665,'الداشبورد'!$B$10))</f>
        <v/>
      </c>
      <c r="W1665">
        <f>--($G1665=IF('الداشبورد'!$B$11="الكل",$G1665,'الداشبورد'!$B$11))</f>
        <v/>
      </c>
      <c r="X1665">
        <f>Q1665*R1665*S1665*T1665*U1665*V1665*W1665*--($C1665&lt;&gt;"")</f>
        <v/>
      </c>
    </row>
    <row r="1666">
      <c r="Q1666">
        <f>--($A1666=IF('الداشبورد'!$B$5="الكل",$A1666,'الداشبورد'!$B$5))</f>
        <v/>
      </c>
      <c r="R1666">
        <f>--($E1666=IF('الداشبورد'!$B$6="الكل",$E1666,'الداشبورد'!$B$6))</f>
        <v/>
      </c>
      <c r="S1666">
        <f>--($K1666=IF('الداشبورد'!$B$7="الكل",$K1666,IF('الداشبورد'!$B$7="تصدير","Y","N")))</f>
        <v/>
      </c>
      <c r="T1666">
        <f>--($J1666=IF('الداشبورد'!$B$8="الكل",$J1666,IF('الداشبورد'!$B$8="AL","A","C")))</f>
        <v/>
      </c>
      <c r="U1666">
        <f>--($I1666=IF('الداشبورد'!$B$9="الكل",$I1666,IF('الداشبورد'!$B$9="بدون حالة","P",'الداشبورد'!$B$9)))</f>
        <v/>
      </c>
      <c r="V1666">
        <f>--($D1666=IF('الداشبورد'!$B$10="الكل",$D1666,'الداشبورد'!$B$10))</f>
        <v/>
      </c>
      <c r="W1666">
        <f>--($G1666=IF('الداشبورد'!$B$11="الكل",$G1666,'الداشبورد'!$B$11))</f>
        <v/>
      </c>
      <c r="X1666">
        <f>Q1666*R1666*S1666*T1666*U1666*V1666*W1666*--($C1666&lt;&gt;"")</f>
        <v/>
      </c>
    </row>
    <row r="1667">
      <c r="Q1667">
        <f>--($A1667=IF('الداشبورد'!$B$5="الكل",$A1667,'الداشبورد'!$B$5))</f>
        <v/>
      </c>
      <c r="R1667">
        <f>--($E1667=IF('الداشبورد'!$B$6="الكل",$E1667,'الداشبورد'!$B$6))</f>
        <v/>
      </c>
      <c r="S1667">
        <f>--($K1667=IF('الداشبورد'!$B$7="الكل",$K1667,IF('الداشبورد'!$B$7="تصدير","Y","N")))</f>
        <v/>
      </c>
      <c r="T1667">
        <f>--($J1667=IF('الداشبورد'!$B$8="الكل",$J1667,IF('الداشبورد'!$B$8="AL","A","C")))</f>
        <v/>
      </c>
      <c r="U1667">
        <f>--($I1667=IF('الداشبورد'!$B$9="الكل",$I1667,IF('الداشبورد'!$B$9="بدون حالة","P",'الداشبورد'!$B$9)))</f>
        <v/>
      </c>
      <c r="V1667">
        <f>--($D1667=IF('الداشبورد'!$B$10="الكل",$D1667,'الداشبورد'!$B$10))</f>
        <v/>
      </c>
      <c r="W1667">
        <f>--($G1667=IF('الداشبورد'!$B$11="الكل",$G1667,'الداشبورد'!$B$11))</f>
        <v/>
      </c>
      <c r="X1667">
        <f>Q1667*R1667*S1667*T1667*U1667*V1667*W1667*--($C1667&lt;&gt;"")</f>
        <v/>
      </c>
    </row>
    <row r="1668">
      <c r="Q1668">
        <f>--($A1668=IF('الداشبورد'!$B$5="الكل",$A1668,'الداشبورد'!$B$5))</f>
        <v/>
      </c>
      <c r="R1668">
        <f>--($E1668=IF('الداشبورد'!$B$6="الكل",$E1668,'الداشبورد'!$B$6))</f>
        <v/>
      </c>
      <c r="S1668">
        <f>--($K1668=IF('الداشبورد'!$B$7="الكل",$K1668,IF('الداشبورد'!$B$7="تصدير","Y","N")))</f>
        <v/>
      </c>
      <c r="T1668">
        <f>--($J1668=IF('الداشبورد'!$B$8="الكل",$J1668,IF('الداشبورد'!$B$8="AL","A","C")))</f>
        <v/>
      </c>
      <c r="U1668">
        <f>--($I1668=IF('الداشبورد'!$B$9="الكل",$I1668,IF('الداشبورد'!$B$9="بدون حالة","P",'الداشبورد'!$B$9)))</f>
        <v/>
      </c>
      <c r="V1668">
        <f>--($D1668=IF('الداشبورد'!$B$10="الكل",$D1668,'الداشبورد'!$B$10))</f>
        <v/>
      </c>
      <c r="W1668">
        <f>--($G1668=IF('الداشبورد'!$B$11="الكل",$G1668,'الداشبورد'!$B$11))</f>
        <v/>
      </c>
      <c r="X1668">
        <f>Q1668*R1668*S1668*T1668*U1668*V1668*W1668*--($C1668&lt;&gt;"")</f>
        <v/>
      </c>
    </row>
    <row r="1669">
      <c r="Q1669">
        <f>--($A1669=IF('الداشبورد'!$B$5="الكل",$A1669,'الداشبورد'!$B$5))</f>
        <v/>
      </c>
      <c r="R1669">
        <f>--($E1669=IF('الداشبورد'!$B$6="الكل",$E1669,'الداشبورد'!$B$6))</f>
        <v/>
      </c>
      <c r="S1669">
        <f>--($K1669=IF('الداشبورد'!$B$7="الكل",$K1669,IF('الداشبورد'!$B$7="تصدير","Y","N")))</f>
        <v/>
      </c>
      <c r="T1669">
        <f>--($J1669=IF('الداشبورد'!$B$8="الكل",$J1669,IF('الداشبورد'!$B$8="AL","A","C")))</f>
        <v/>
      </c>
      <c r="U1669">
        <f>--($I1669=IF('الداشبورد'!$B$9="الكل",$I1669,IF('الداشبورد'!$B$9="بدون حالة","P",'الداشبورد'!$B$9)))</f>
        <v/>
      </c>
      <c r="V1669">
        <f>--($D1669=IF('الداشبورد'!$B$10="الكل",$D1669,'الداشبورد'!$B$10))</f>
        <v/>
      </c>
      <c r="W1669">
        <f>--($G1669=IF('الداشبورد'!$B$11="الكل",$G1669,'الداشبورد'!$B$11))</f>
        <v/>
      </c>
      <c r="X1669">
        <f>Q1669*R1669*S1669*T1669*U1669*V1669*W1669*--($C1669&lt;&gt;"")</f>
        <v/>
      </c>
    </row>
    <row r="1670">
      <c r="Q1670">
        <f>--($A1670=IF('الداشبورد'!$B$5="الكل",$A1670,'الداشبورد'!$B$5))</f>
        <v/>
      </c>
      <c r="R1670">
        <f>--($E1670=IF('الداشبورد'!$B$6="الكل",$E1670,'الداشبورد'!$B$6))</f>
        <v/>
      </c>
      <c r="S1670">
        <f>--($K1670=IF('الداشبورد'!$B$7="الكل",$K1670,IF('الداشبورد'!$B$7="تصدير","Y","N")))</f>
        <v/>
      </c>
      <c r="T1670">
        <f>--($J1670=IF('الداشبورد'!$B$8="الكل",$J1670,IF('الداشبورد'!$B$8="AL","A","C")))</f>
        <v/>
      </c>
      <c r="U1670">
        <f>--($I1670=IF('الداشبورد'!$B$9="الكل",$I1670,IF('الداشبورد'!$B$9="بدون حالة","P",'الداشبورد'!$B$9)))</f>
        <v/>
      </c>
      <c r="V1670">
        <f>--($D1670=IF('الداشبورد'!$B$10="الكل",$D1670,'الداشبورد'!$B$10))</f>
        <v/>
      </c>
      <c r="W1670">
        <f>--($G1670=IF('الداشبورد'!$B$11="الكل",$G1670,'الداشبورد'!$B$11))</f>
        <v/>
      </c>
      <c r="X1670">
        <f>Q1670*R1670*S1670*T1670*U1670*V1670*W1670*--($C1670&lt;&gt;"")</f>
        <v/>
      </c>
    </row>
    <row r="1671">
      <c r="Q1671">
        <f>--($A1671=IF('الداشبورد'!$B$5="الكل",$A1671,'الداشبورد'!$B$5))</f>
        <v/>
      </c>
      <c r="R1671">
        <f>--($E1671=IF('الداشبورد'!$B$6="الكل",$E1671,'الداشبورد'!$B$6))</f>
        <v/>
      </c>
      <c r="S1671">
        <f>--($K1671=IF('الداشبورد'!$B$7="الكل",$K1671,IF('الداشبورد'!$B$7="تصدير","Y","N")))</f>
        <v/>
      </c>
      <c r="T1671">
        <f>--($J1671=IF('الداشبورد'!$B$8="الكل",$J1671,IF('الداشبورد'!$B$8="AL","A","C")))</f>
        <v/>
      </c>
      <c r="U1671">
        <f>--($I1671=IF('الداشبورد'!$B$9="الكل",$I1671,IF('الداشبورد'!$B$9="بدون حالة","P",'الداشبورد'!$B$9)))</f>
        <v/>
      </c>
      <c r="V1671">
        <f>--($D1671=IF('الداشبورد'!$B$10="الكل",$D1671,'الداشبورد'!$B$10))</f>
        <v/>
      </c>
      <c r="W1671">
        <f>--($G1671=IF('الداشبورد'!$B$11="الكل",$G1671,'الداشبورد'!$B$11))</f>
        <v/>
      </c>
      <c r="X1671">
        <f>Q1671*R1671*S1671*T1671*U1671*V1671*W1671*--($C1671&lt;&gt;"")</f>
        <v/>
      </c>
    </row>
    <row r="1672">
      <c r="Q1672">
        <f>--($A1672=IF('الداشبورد'!$B$5="الكل",$A1672,'الداشبورد'!$B$5))</f>
        <v/>
      </c>
      <c r="R1672">
        <f>--($E1672=IF('الداشبورد'!$B$6="الكل",$E1672,'الداشبورد'!$B$6))</f>
        <v/>
      </c>
      <c r="S1672">
        <f>--($K1672=IF('الداشبورد'!$B$7="الكل",$K1672,IF('الداشبورد'!$B$7="تصدير","Y","N")))</f>
        <v/>
      </c>
      <c r="T1672">
        <f>--($J1672=IF('الداشبورد'!$B$8="الكل",$J1672,IF('الداشبورد'!$B$8="AL","A","C")))</f>
        <v/>
      </c>
      <c r="U1672">
        <f>--($I1672=IF('الداشبورد'!$B$9="الكل",$I1672,IF('الداشبورد'!$B$9="بدون حالة","P",'الداشبورد'!$B$9)))</f>
        <v/>
      </c>
      <c r="V1672">
        <f>--($D1672=IF('الداشبورد'!$B$10="الكل",$D1672,'الداشبورد'!$B$10))</f>
        <v/>
      </c>
      <c r="W1672">
        <f>--($G1672=IF('الداشبورد'!$B$11="الكل",$G1672,'الداشبورد'!$B$11))</f>
        <v/>
      </c>
      <c r="X1672">
        <f>Q1672*R1672*S1672*T1672*U1672*V1672*W1672*--($C1672&lt;&gt;"")</f>
        <v/>
      </c>
    </row>
    <row r="1673">
      <c r="Q1673">
        <f>--($A1673=IF('الداشبورد'!$B$5="الكل",$A1673,'الداشبورد'!$B$5))</f>
        <v/>
      </c>
      <c r="R1673">
        <f>--($E1673=IF('الداشبورد'!$B$6="الكل",$E1673,'الداشبورد'!$B$6))</f>
        <v/>
      </c>
      <c r="S1673">
        <f>--($K1673=IF('الداشبورد'!$B$7="الكل",$K1673,IF('الداشبورد'!$B$7="تصدير","Y","N")))</f>
        <v/>
      </c>
      <c r="T1673">
        <f>--($J1673=IF('الداشبورد'!$B$8="الكل",$J1673,IF('الداشبورد'!$B$8="AL","A","C")))</f>
        <v/>
      </c>
      <c r="U1673">
        <f>--($I1673=IF('الداشبورد'!$B$9="الكل",$I1673,IF('الداشبورد'!$B$9="بدون حالة","P",'الداشبورد'!$B$9)))</f>
        <v/>
      </c>
      <c r="V1673">
        <f>--($D1673=IF('الداشبورد'!$B$10="الكل",$D1673,'الداشبورد'!$B$10))</f>
        <v/>
      </c>
      <c r="W1673">
        <f>--($G1673=IF('الداشبورد'!$B$11="الكل",$G1673,'الداشبورد'!$B$11))</f>
        <v/>
      </c>
      <c r="X1673">
        <f>Q1673*R1673*S1673*T1673*U1673*V1673*W1673*--($C1673&lt;&gt;"")</f>
        <v/>
      </c>
    </row>
    <row r="1674">
      <c r="Q1674">
        <f>--($A1674=IF('الداشبورد'!$B$5="الكل",$A1674,'الداشبورد'!$B$5))</f>
        <v/>
      </c>
      <c r="R1674">
        <f>--($E1674=IF('الداشبورد'!$B$6="الكل",$E1674,'الداشبورد'!$B$6))</f>
        <v/>
      </c>
      <c r="S1674">
        <f>--($K1674=IF('الداشبورد'!$B$7="الكل",$K1674,IF('الداشبورد'!$B$7="تصدير","Y","N")))</f>
        <v/>
      </c>
      <c r="T1674">
        <f>--($J1674=IF('الداشبورد'!$B$8="الكل",$J1674,IF('الداشبورد'!$B$8="AL","A","C")))</f>
        <v/>
      </c>
      <c r="U1674">
        <f>--($I1674=IF('الداشبورد'!$B$9="الكل",$I1674,IF('الداشبورد'!$B$9="بدون حالة","P",'الداشبورد'!$B$9)))</f>
        <v/>
      </c>
      <c r="V1674">
        <f>--($D1674=IF('الداشبورد'!$B$10="الكل",$D1674,'الداشبورد'!$B$10))</f>
        <v/>
      </c>
      <c r="W1674">
        <f>--($G1674=IF('الداشبورد'!$B$11="الكل",$G1674,'الداشبورد'!$B$11))</f>
        <v/>
      </c>
      <c r="X1674">
        <f>Q1674*R1674*S1674*T1674*U1674*V1674*W1674*--($C1674&lt;&gt;"")</f>
        <v/>
      </c>
    </row>
    <row r="1675">
      <c r="Q1675">
        <f>--($A1675=IF('الداشبورد'!$B$5="الكل",$A1675,'الداشبورد'!$B$5))</f>
        <v/>
      </c>
      <c r="R1675">
        <f>--($E1675=IF('الداشبورد'!$B$6="الكل",$E1675,'الداشبورد'!$B$6))</f>
        <v/>
      </c>
      <c r="S1675">
        <f>--($K1675=IF('الداشبورد'!$B$7="الكل",$K1675,IF('الداشبورد'!$B$7="تصدير","Y","N")))</f>
        <v/>
      </c>
      <c r="T1675">
        <f>--($J1675=IF('الداشبورد'!$B$8="الكل",$J1675,IF('الداشبورد'!$B$8="AL","A","C")))</f>
        <v/>
      </c>
      <c r="U1675">
        <f>--($I1675=IF('الداشبورد'!$B$9="الكل",$I1675,IF('الداشبورد'!$B$9="بدون حالة","P",'الداشبورد'!$B$9)))</f>
        <v/>
      </c>
      <c r="V1675">
        <f>--($D1675=IF('الداشبورد'!$B$10="الكل",$D1675,'الداشبورد'!$B$10))</f>
        <v/>
      </c>
      <c r="W1675">
        <f>--($G1675=IF('الداشبورد'!$B$11="الكل",$G1675,'الداشبورد'!$B$11))</f>
        <v/>
      </c>
      <c r="X1675">
        <f>Q1675*R1675*S1675*T1675*U1675*V1675*W1675*--($C1675&lt;&gt;"")</f>
        <v/>
      </c>
    </row>
    <row r="1676">
      <c r="Q1676">
        <f>--($A1676=IF('الداشبورد'!$B$5="الكل",$A1676,'الداشبورد'!$B$5))</f>
        <v/>
      </c>
      <c r="R1676">
        <f>--($E1676=IF('الداشبورد'!$B$6="الكل",$E1676,'الداشبورد'!$B$6))</f>
        <v/>
      </c>
      <c r="S1676">
        <f>--($K1676=IF('الداشبورد'!$B$7="الكل",$K1676,IF('الداشبورد'!$B$7="تصدير","Y","N")))</f>
        <v/>
      </c>
      <c r="T1676">
        <f>--($J1676=IF('الداشبورد'!$B$8="الكل",$J1676,IF('الداشبورد'!$B$8="AL","A","C")))</f>
        <v/>
      </c>
      <c r="U1676">
        <f>--($I1676=IF('الداشبورد'!$B$9="الكل",$I1676,IF('الداشبورد'!$B$9="بدون حالة","P",'الداشبورد'!$B$9)))</f>
        <v/>
      </c>
      <c r="V1676">
        <f>--($D1676=IF('الداشبورد'!$B$10="الكل",$D1676,'الداشبورد'!$B$10))</f>
        <v/>
      </c>
      <c r="W1676">
        <f>--($G1676=IF('الداشبورد'!$B$11="الكل",$G1676,'الداشبورد'!$B$11))</f>
        <v/>
      </c>
      <c r="X1676">
        <f>Q1676*R1676*S1676*T1676*U1676*V1676*W1676*--($C1676&lt;&gt;"")</f>
        <v/>
      </c>
    </row>
    <row r="1677">
      <c r="Q1677">
        <f>--($A1677=IF('الداشبورد'!$B$5="الكل",$A1677,'الداشبورد'!$B$5))</f>
        <v/>
      </c>
      <c r="R1677">
        <f>--($E1677=IF('الداشبورد'!$B$6="الكل",$E1677,'الداشبورد'!$B$6))</f>
        <v/>
      </c>
      <c r="S1677">
        <f>--($K1677=IF('الداشبورد'!$B$7="الكل",$K1677,IF('الداشبورد'!$B$7="تصدير","Y","N")))</f>
        <v/>
      </c>
      <c r="T1677">
        <f>--($J1677=IF('الداشبورد'!$B$8="الكل",$J1677,IF('الداشبورد'!$B$8="AL","A","C")))</f>
        <v/>
      </c>
      <c r="U1677">
        <f>--($I1677=IF('الداشبورد'!$B$9="الكل",$I1677,IF('الداشبورد'!$B$9="بدون حالة","P",'الداشبورد'!$B$9)))</f>
        <v/>
      </c>
      <c r="V1677">
        <f>--($D1677=IF('الداشبورد'!$B$10="الكل",$D1677,'الداشبورد'!$B$10))</f>
        <v/>
      </c>
      <c r="W1677">
        <f>--($G1677=IF('الداشبورد'!$B$11="الكل",$G1677,'الداشبورد'!$B$11))</f>
        <v/>
      </c>
      <c r="X1677">
        <f>Q1677*R1677*S1677*T1677*U1677*V1677*W1677*--($C1677&lt;&gt;"")</f>
        <v/>
      </c>
    </row>
    <row r="1678">
      <c r="Q1678">
        <f>--($A1678=IF('الداشبورد'!$B$5="الكل",$A1678,'الداشبورد'!$B$5))</f>
        <v/>
      </c>
      <c r="R1678">
        <f>--($E1678=IF('الداشبورد'!$B$6="الكل",$E1678,'الداشبورد'!$B$6))</f>
        <v/>
      </c>
      <c r="S1678">
        <f>--($K1678=IF('الداشبورد'!$B$7="الكل",$K1678,IF('الداشبورد'!$B$7="تصدير","Y","N")))</f>
        <v/>
      </c>
      <c r="T1678">
        <f>--($J1678=IF('الداشبورد'!$B$8="الكل",$J1678,IF('الداشبورد'!$B$8="AL","A","C")))</f>
        <v/>
      </c>
      <c r="U1678">
        <f>--($I1678=IF('الداشبورد'!$B$9="الكل",$I1678,IF('الداشبورد'!$B$9="بدون حالة","P",'الداشبورد'!$B$9)))</f>
        <v/>
      </c>
      <c r="V1678">
        <f>--($D1678=IF('الداشبورد'!$B$10="الكل",$D1678,'الداشبورد'!$B$10))</f>
        <v/>
      </c>
      <c r="W1678">
        <f>--($G1678=IF('الداشبورد'!$B$11="الكل",$G1678,'الداشبورد'!$B$11))</f>
        <v/>
      </c>
      <c r="X1678">
        <f>Q1678*R1678*S1678*T1678*U1678*V1678*W1678*--($C1678&lt;&gt;"")</f>
        <v/>
      </c>
    </row>
    <row r="1679">
      <c r="Q1679">
        <f>--($A1679=IF('الداشبورد'!$B$5="الكل",$A1679,'الداشبورد'!$B$5))</f>
        <v/>
      </c>
      <c r="R1679">
        <f>--($E1679=IF('الداشبورد'!$B$6="الكل",$E1679,'الداشبورد'!$B$6))</f>
        <v/>
      </c>
      <c r="S1679">
        <f>--($K1679=IF('الداشبورد'!$B$7="الكل",$K1679,IF('الداشبورد'!$B$7="تصدير","Y","N")))</f>
        <v/>
      </c>
      <c r="T1679">
        <f>--($J1679=IF('الداشبورد'!$B$8="الكل",$J1679,IF('الداشبورد'!$B$8="AL","A","C")))</f>
        <v/>
      </c>
      <c r="U1679">
        <f>--($I1679=IF('الداشبورد'!$B$9="الكل",$I1679,IF('الداشبورد'!$B$9="بدون حالة","P",'الداشبورد'!$B$9)))</f>
        <v/>
      </c>
      <c r="V1679">
        <f>--($D1679=IF('الداشبورد'!$B$10="الكل",$D1679,'الداشبورد'!$B$10))</f>
        <v/>
      </c>
      <c r="W1679">
        <f>--($G1679=IF('الداشبورد'!$B$11="الكل",$G1679,'الداشبورد'!$B$11))</f>
        <v/>
      </c>
      <c r="X1679">
        <f>Q1679*R1679*S1679*T1679*U1679*V1679*W1679*--($C1679&lt;&gt;"")</f>
        <v/>
      </c>
    </row>
    <row r="1680">
      <c r="Q1680">
        <f>--($A1680=IF('الداشبورد'!$B$5="الكل",$A1680,'الداشبورد'!$B$5))</f>
        <v/>
      </c>
      <c r="R1680">
        <f>--($E1680=IF('الداشبورد'!$B$6="الكل",$E1680,'الداشبورد'!$B$6))</f>
        <v/>
      </c>
      <c r="S1680">
        <f>--($K1680=IF('الداشبورد'!$B$7="الكل",$K1680,IF('الداشبورد'!$B$7="تصدير","Y","N")))</f>
        <v/>
      </c>
      <c r="T1680">
        <f>--($J1680=IF('الداشبورد'!$B$8="الكل",$J1680,IF('الداشبورد'!$B$8="AL","A","C")))</f>
        <v/>
      </c>
      <c r="U1680">
        <f>--($I1680=IF('الداشبورد'!$B$9="الكل",$I1680,IF('الداشبورد'!$B$9="بدون حالة","P",'الداشبورد'!$B$9)))</f>
        <v/>
      </c>
      <c r="V1680">
        <f>--($D1680=IF('الداشبورد'!$B$10="الكل",$D1680,'الداشبورد'!$B$10))</f>
        <v/>
      </c>
      <c r="W1680">
        <f>--($G1680=IF('الداشبورد'!$B$11="الكل",$G1680,'الداشبورد'!$B$11))</f>
        <v/>
      </c>
      <c r="X1680">
        <f>Q1680*R1680*S1680*T1680*U1680*V1680*W1680*--($C1680&lt;&gt;"")</f>
        <v/>
      </c>
    </row>
    <row r="1681">
      <c r="Q1681">
        <f>--($A1681=IF('الداشبورد'!$B$5="الكل",$A1681,'الداشبورد'!$B$5))</f>
        <v/>
      </c>
      <c r="R1681">
        <f>--($E1681=IF('الداشبورد'!$B$6="الكل",$E1681,'الداشبورد'!$B$6))</f>
        <v/>
      </c>
      <c r="S1681">
        <f>--($K1681=IF('الداشبورد'!$B$7="الكل",$K1681,IF('الداشبورد'!$B$7="تصدير","Y","N")))</f>
        <v/>
      </c>
      <c r="T1681">
        <f>--($J1681=IF('الداشبورد'!$B$8="الكل",$J1681,IF('الداشبورد'!$B$8="AL","A","C")))</f>
        <v/>
      </c>
      <c r="U1681">
        <f>--($I1681=IF('الداشبورد'!$B$9="الكل",$I1681,IF('الداشبورد'!$B$9="بدون حالة","P",'الداشبورد'!$B$9)))</f>
        <v/>
      </c>
      <c r="V1681">
        <f>--($D1681=IF('الداشبورد'!$B$10="الكل",$D1681,'الداشبورد'!$B$10))</f>
        <v/>
      </c>
      <c r="W1681">
        <f>--($G1681=IF('الداشبورد'!$B$11="الكل",$G1681,'الداشبورد'!$B$11))</f>
        <v/>
      </c>
      <c r="X1681">
        <f>Q1681*R1681*S1681*T1681*U1681*V1681*W1681*--($C1681&lt;&gt;"")</f>
        <v/>
      </c>
    </row>
    <row r="1682">
      <c r="Q1682">
        <f>--($A1682=IF('الداشبورد'!$B$5="الكل",$A1682,'الداشبورد'!$B$5))</f>
        <v/>
      </c>
      <c r="R1682">
        <f>--($E1682=IF('الداشبورد'!$B$6="الكل",$E1682,'الداشبورد'!$B$6))</f>
        <v/>
      </c>
      <c r="S1682">
        <f>--($K1682=IF('الداشبورد'!$B$7="الكل",$K1682,IF('الداشبورد'!$B$7="تصدير","Y","N")))</f>
        <v/>
      </c>
      <c r="T1682">
        <f>--($J1682=IF('الداشبورد'!$B$8="الكل",$J1682,IF('الداشبورد'!$B$8="AL","A","C")))</f>
        <v/>
      </c>
      <c r="U1682">
        <f>--($I1682=IF('الداشبورد'!$B$9="الكل",$I1682,IF('الداشبورد'!$B$9="بدون حالة","P",'الداشبورد'!$B$9)))</f>
        <v/>
      </c>
      <c r="V1682">
        <f>--($D1682=IF('الداشبورد'!$B$10="الكل",$D1682,'الداشبورد'!$B$10))</f>
        <v/>
      </c>
      <c r="W1682">
        <f>--($G1682=IF('الداشبورد'!$B$11="الكل",$G1682,'الداشبورد'!$B$11))</f>
        <v/>
      </c>
      <c r="X1682">
        <f>Q1682*R1682*S1682*T1682*U1682*V1682*W1682*--($C1682&lt;&gt;"")</f>
        <v/>
      </c>
    </row>
    <row r="1683">
      <c r="Q1683">
        <f>--($A1683=IF('الداشبورد'!$B$5="الكل",$A1683,'الداشبورد'!$B$5))</f>
        <v/>
      </c>
      <c r="R1683">
        <f>--($E1683=IF('الداشبورد'!$B$6="الكل",$E1683,'الداشبورد'!$B$6))</f>
        <v/>
      </c>
      <c r="S1683">
        <f>--($K1683=IF('الداشبورد'!$B$7="الكل",$K1683,IF('الداشبورد'!$B$7="تصدير","Y","N")))</f>
        <v/>
      </c>
      <c r="T1683">
        <f>--($J1683=IF('الداشبورد'!$B$8="الكل",$J1683,IF('الداشبورد'!$B$8="AL","A","C")))</f>
        <v/>
      </c>
      <c r="U1683">
        <f>--($I1683=IF('الداشبورد'!$B$9="الكل",$I1683,IF('الداشبورد'!$B$9="بدون حالة","P",'الداشبورد'!$B$9)))</f>
        <v/>
      </c>
      <c r="V1683">
        <f>--($D1683=IF('الداشبورد'!$B$10="الكل",$D1683,'الداشبورد'!$B$10))</f>
        <v/>
      </c>
      <c r="W1683">
        <f>--($G1683=IF('الداشبورد'!$B$11="الكل",$G1683,'الداشبورد'!$B$11))</f>
        <v/>
      </c>
      <c r="X1683">
        <f>Q1683*R1683*S1683*T1683*U1683*V1683*W1683*--($C1683&lt;&gt;"")</f>
        <v/>
      </c>
    </row>
    <row r="1684">
      <c r="Q1684">
        <f>--($A1684=IF('الداشبورد'!$B$5="الكل",$A1684,'الداشبورد'!$B$5))</f>
        <v/>
      </c>
      <c r="R1684">
        <f>--($E1684=IF('الداشبورد'!$B$6="الكل",$E1684,'الداشبورد'!$B$6))</f>
        <v/>
      </c>
      <c r="S1684">
        <f>--($K1684=IF('الداشبورد'!$B$7="الكل",$K1684,IF('الداشبورد'!$B$7="تصدير","Y","N")))</f>
        <v/>
      </c>
      <c r="T1684">
        <f>--($J1684=IF('الداشبورد'!$B$8="الكل",$J1684,IF('الداشبورد'!$B$8="AL","A","C")))</f>
        <v/>
      </c>
      <c r="U1684">
        <f>--($I1684=IF('الداشبورد'!$B$9="الكل",$I1684,IF('الداشبورد'!$B$9="بدون حالة","P",'الداشبورد'!$B$9)))</f>
        <v/>
      </c>
      <c r="V1684">
        <f>--($D1684=IF('الداشبورد'!$B$10="الكل",$D1684,'الداشبورد'!$B$10))</f>
        <v/>
      </c>
      <c r="W1684">
        <f>--($G1684=IF('الداشبورد'!$B$11="الكل",$G1684,'الداشبورد'!$B$11))</f>
        <v/>
      </c>
      <c r="X1684">
        <f>Q1684*R1684*S1684*T1684*U1684*V1684*W1684*--($C1684&lt;&gt;"")</f>
        <v/>
      </c>
    </row>
    <row r="1685">
      <c r="Q1685">
        <f>--($A1685=IF('الداشبورد'!$B$5="الكل",$A1685,'الداشبورد'!$B$5))</f>
        <v/>
      </c>
      <c r="R1685">
        <f>--($E1685=IF('الداشبورد'!$B$6="الكل",$E1685,'الداشبورد'!$B$6))</f>
        <v/>
      </c>
      <c r="S1685">
        <f>--($K1685=IF('الداشبورد'!$B$7="الكل",$K1685,IF('الداشبورد'!$B$7="تصدير","Y","N")))</f>
        <v/>
      </c>
      <c r="T1685">
        <f>--($J1685=IF('الداشبورد'!$B$8="الكل",$J1685,IF('الداشبورد'!$B$8="AL","A","C")))</f>
        <v/>
      </c>
      <c r="U1685">
        <f>--($I1685=IF('الداشبورد'!$B$9="الكل",$I1685,IF('الداشبورد'!$B$9="بدون حالة","P",'الداشبورد'!$B$9)))</f>
        <v/>
      </c>
      <c r="V1685">
        <f>--($D1685=IF('الداشبورد'!$B$10="الكل",$D1685,'الداشبورد'!$B$10))</f>
        <v/>
      </c>
      <c r="W1685">
        <f>--($G1685=IF('الداشبورد'!$B$11="الكل",$G1685,'الداشبورد'!$B$11))</f>
        <v/>
      </c>
      <c r="X1685">
        <f>Q1685*R1685*S1685*T1685*U1685*V1685*W1685*--($C1685&lt;&gt;"")</f>
        <v/>
      </c>
    </row>
    <row r="1686">
      <c r="Q1686">
        <f>--($A1686=IF('الداشبورد'!$B$5="الكل",$A1686,'الداشبورد'!$B$5))</f>
        <v/>
      </c>
      <c r="R1686">
        <f>--($E1686=IF('الداشبورد'!$B$6="الكل",$E1686,'الداشبورد'!$B$6))</f>
        <v/>
      </c>
      <c r="S1686">
        <f>--($K1686=IF('الداشبورد'!$B$7="الكل",$K1686,IF('الداشبورد'!$B$7="تصدير","Y","N")))</f>
        <v/>
      </c>
      <c r="T1686">
        <f>--($J1686=IF('الداشبورد'!$B$8="الكل",$J1686,IF('الداشبورد'!$B$8="AL","A","C")))</f>
        <v/>
      </c>
      <c r="U1686">
        <f>--($I1686=IF('الداشبورد'!$B$9="الكل",$I1686,IF('الداشبورد'!$B$9="بدون حالة","P",'الداشبورد'!$B$9)))</f>
        <v/>
      </c>
      <c r="V1686">
        <f>--($D1686=IF('الداشبورد'!$B$10="الكل",$D1686,'الداشبورد'!$B$10))</f>
        <v/>
      </c>
      <c r="W1686">
        <f>--($G1686=IF('الداشبورد'!$B$11="الكل",$G1686,'الداشبورد'!$B$11))</f>
        <v/>
      </c>
      <c r="X1686">
        <f>Q1686*R1686*S1686*T1686*U1686*V1686*W1686*--($C1686&lt;&gt;"")</f>
        <v/>
      </c>
    </row>
    <row r="1687">
      <c r="Q1687">
        <f>--($A1687=IF('الداشبورد'!$B$5="الكل",$A1687,'الداشبورد'!$B$5))</f>
        <v/>
      </c>
      <c r="R1687">
        <f>--($E1687=IF('الداشبورد'!$B$6="الكل",$E1687,'الداشبورد'!$B$6))</f>
        <v/>
      </c>
      <c r="S1687">
        <f>--($K1687=IF('الداشبورد'!$B$7="الكل",$K1687,IF('الداشبورد'!$B$7="تصدير","Y","N")))</f>
        <v/>
      </c>
      <c r="T1687">
        <f>--($J1687=IF('الداشبورد'!$B$8="الكل",$J1687,IF('الداشبورد'!$B$8="AL","A","C")))</f>
        <v/>
      </c>
      <c r="U1687">
        <f>--($I1687=IF('الداشبورد'!$B$9="الكل",$I1687,IF('الداشبورد'!$B$9="بدون حالة","P",'الداشبورد'!$B$9)))</f>
        <v/>
      </c>
      <c r="V1687">
        <f>--($D1687=IF('الداشبورد'!$B$10="الكل",$D1687,'الداشبورد'!$B$10))</f>
        <v/>
      </c>
      <c r="W1687">
        <f>--($G1687=IF('الداشبورد'!$B$11="الكل",$G1687,'الداشبورد'!$B$11))</f>
        <v/>
      </c>
      <c r="X1687">
        <f>Q1687*R1687*S1687*T1687*U1687*V1687*W1687*--($C1687&lt;&gt;"")</f>
        <v/>
      </c>
    </row>
    <row r="1688">
      <c r="Q1688">
        <f>--($A1688=IF('الداشبورد'!$B$5="الكل",$A1688,'الداشبورد'!$B$5))</f>
        <v/>
      </c>
      <c r="R1688">
        <f>--($E1688=IF('الداشبورد'!$B$6="الكل",$E1688,'الداشبورد'!$B$6))</f>
        <v/>
      </c>
      <c r="S1688">
        <f>--($K1688=IF('الداشبورد'!$B$7="الكل",$K1688,IF('الداشبورد'!$B$7="تصدير","Y","N")))</f>
        <v/>
      </c>
      <c r="T1688">
        <f>--($J1688=IF('الداشبورد'!$B$8="الكل",$J1688,IF('الداشبورد'!$B$8="AL","A","C")))</f>
        <v/>
      </c>
      <c r="U1688">
        <f>--($I1688=IF('الداشبورد'!$B$9="الكل",$I1688,IF('الداشبورد'!$B$9="بدون حالة","P",'الداشبورد'!$B$9)))</f>
        <v/>
      </c>
      <c r="V1688">
        <f>--($D1688=IF('الداشبورد'!$B$10="الكل",$D1688,'الداشبورد'!$B$10))</f>
        <v/>
      </c>
      <c r="W1688">
        <f>--($G1688=IF('الداشبورد'!$B$11="الكل",$G1688,'الداشبورد'!$B$11))</f>
        <v/>
      </c>
      <c r="X1688">
        <f>Q1688*R1688*S1688*T1688*U1688*V1688*W1688*--($C1688&lt;&gt;"")</f>
        <v/>
      </c>
    </row>
    <row r="1689">
      <c r="Q1689">
        <f>--($A1689=IF('الداشبورد'!$B$5="الكل",$A1689,'الداشبورد'!$B$5))</f>
        <v/>
      </c>
      <c r="R1689">
        <f>--($E1689=IF('الداشبورد'!$B$6="الكل",$E1689,'الداشبورد'!$B$6))</f>
        <v/>
      </c>
      <c r="S1689">
        <f>--($K1689=IF('الداشبورد'!$B$7="الكل",$K1689,IF('الداشبورد'!$B$7="تصدير","Y","N")))</f>
        <v/>
      </c>
      <c r="T1689">
        <f>--($J1689=IF('الداشبورد'!$B$8="الكل",$J1689,IF('الداشبورد'!$B$8="AL","A","C")))</f>
        <v/>
      </c>
      <c r="U1689">
        <f>--($I1689=IF('الداشبورد'!$B$9="الكل",$I1689,IF('الداشبورد'!$B$9="بدون حالة","P",'الداشبورد'!$B$9)))</f>
        <v/>
      </c>
      <c r="V1689">
        <f>--($D1689=IF('الداشبورد'!$B$10="الكل",$D1689,'الداشبورد'!$B$10))</f>
        <v/>
      </c>
      <c r="W1689">
        <f>--($G1689=IF('الداشبورد'!$B$11="الكل",$G1689,'الداشبورد'!$B$11))</f>
        <v/>
      </c>
      <c r="X1689">
        <f>Q1689*R1689*S1689*T1689*U1689*V1689*W1689*--($C1689&lt;&gt;"")</f>
        <v/>
      </c>
    </row>
    <row r="1690">
      <c r="Q1690">
        <f>--($A1690=IF('الداشبورد'!$B$5="الكل",$A1690,'الداشبورد'!$B$5))</f>
        <v/>
      </c>
      <c r="R1690">
        <f>--($E1690=IF('الداشبورد'!$B$6="الكل",$E1690,'الداشبورد'!$B$6))</f>
        <v/>
      </c>
      <c r="S1690">
        <f>--($K1690=IF('الداشبورد'!$B$7="الكل",$K1690,IF('الداشبورد'!$B$7="تصدير","Y","N")))</f>
        <v/>
      </c>
      <c r="T1690">
        <f>--($J1690=IF('الداشبورد'!$B$8="الكل",$J1690,IF('الداشبورد'!$B$8="AL","A","C")))</f>
        <v/>
      </c>
      <c r="U1690">
        <f>--($I1690=IF('الداشبورد'!$B$9="الكل",$I1690,IF('الداشبورد'!$B$9="بدون حالة","P",'الداشبورد'!$B$9)))</f>
        <v/>
      </c>
      <c r="V1690">
        <f>--($D1690=IF('الداشبورد'!$B$10="الكل",$D1690,'الداشبورد'!$B$10))</f>
        <v/>
      </c>
      <c r="W1690">
        <f>--($G1690=IF('الداشبورد'!$B$11="الكل",$G1690,'الداشبورد'!$B$11))</f>
        <v/>
      </c>
      <c r="X1690">
        <f>Q1690*R1690*S1690*T1690*U1690*V1690*W1690*--($C1690&lt;&gt;"")</f>
        <v/>
      </c>
    </row>
    <row r="1691">
      <c r="Q1691">
        <f>--($A1691=IF('الداشبورد'!$B$5="الكل",$A1691,'الداشبورد'!$B$5))</f>
        <v/>
      </c>
      <c r="R1691">
        <f>--($E1691=IF('الداشبورد'!$B$6="الكل",$E1691,'الداشبورد'!$B$6))</f>
        <v/>
      </c>
      <c r="S1691">
        <f>--($K1691=IF('الداشبورد'!$B$7="الكل",$K1691,IF('الداشبورد'!$B$7="تصدير","Y","N")))</f>
        <v/>
      </c>
      <c r="T1691">
        <f>--($J1691=IF('الداشبورد'!$B$8="الكل",$J1691,IF('الداشبورد'!$B$8="AL","A","C")))</f>
        <v/>
      </c>
      <c r="U1691">
        <f>--($I1691=IF('الداشبورد'!$B$9="الكل",$I1691,IF('الداشبورد'!$B$9="بدون حالة","P",'الداشبورد'!$B$9)))</f>
        <v/>
      </c>
      <c r="V1691">
        <f>--($D1691=IF('الداشبورد'!$B$10="الكل",$D1691,'الداشبورد'!$B$10))</f>
        <v/>
      </c>
      <c r="W1691">
        <f>--($G1691=IF('الداشبورد'!$B$11="الكل",$G1691,'الداشبورد'!$B$11))</f>
        <v/>
      </c>
      <c r="X1691">
        <f>Q1691*R1691*S1691*T1691*U1691*V1691*W1691*--($C1691&lt;&gt;"")</f>
        <v/>
      </c>
    </row>
    <row r="1692">
      <c r="Q1692">
        <f>--($A1692=IF('الداشبورد'!$B$5="الكل",$A1692,'الداشبورد'!$B$5))</f>
        <v/>
      </c>
      <c r="R1692">
        <f>--($E1692=IF('الداشبورد'!$B$6="الكل",$E1692,'الداشبورد'!$B$6))</f>
        <v/>
      </c>
      <c r="S1692">
        <f>--($K1692=IF('الداشبورد'!$B$7="الكل",$K1692,IF('الداشبورد'!$B$7="تصدير","Y","N")))</f>
        <v/>
      </c>
      <c r="T1692">
        <f>--($J1692=IF('الداشبورد'!$B$8="الكل",$J1692,IF('الداشبورد'!$B$8="AL","A","C")))</f>
        <v/>
      </c>
      <c r="U1692">
        <f>--($I1692=IF('الداشبورد'!$B$9="الكل",$I1692,IF('الداشبورد'!$B$9="بدون حالة","P",'الداشبورد'!$B$9)))</f>
        <v/>
      </c>
      <c r="V1692">
        <f>--($D1692=IF('الداشبورد'!$B$10="الكل",$D1692,'الداشبورد'!$B$10))</f>
        <v/>
      </c>
      <c r="W1692">
        <f>--($G1692=IF('الداشبورد'!$B$11="الكل",$G1692,'الداشبورد'!$B$11))</f>
        <v/>
      </c>
      <c r="X1692">
        <f>Q1692*R1692*S1692*T1692*U1692*V1692*W1692*--($C1692&lt;&gt;"")</f>
        <v/>
      </c>
    </row>
    <row r="1693">
      <c r="Q1693">
        <f>--($A1693=IF('الداشبورد'!$B$5="الكل",$A1693,'الداشبورد'!$B$5))</f>
        <v/>
      </c>
      <c r="R1693">
        <f>--($E1693=IF('الداشبورد'!$B$6="الكل",$E1693,'الداشبورد'!$B$6))</f>
        <v/>
      </c>
      <c r="S1693">
        <f>--($K1693=IF('الداشبورد'!$B$7="الكل",$K1693,IF('الداشبورد'!$B$7="تصدير","Y","N")))</f>
        <v/>
      </c>
      <c r="T1693">
        <f>--($J1693=IF('الداشبورد'!$B$8="الكل",$J1693,IF('الداشبورد'!$B$8="AL","A","C")))</f>
        <v/>
      </c>
      <c r="U1693">
        <f>--($I1693=IF('الداشبورد'!$B$9="الكل",$I1693,IF('الداشبورد'!$B$9="بدون حالة","P",'الداشبورد'!$B$9)))</f>
        <v/>
      </c>
      <c r="V1693">
        <f>--($D1693=IF('الداشبورد'!$B$10="الكل",$D1693,'الداشبورد'!$B$10))</f>
        <v/>
      </c>
      <c r="W1693">
        <f>--($G1693=IF('الداشبورد'!$B$11="الكل",$G1693,'الداشبورد'!$B$11))</f>
        <v/>
      </c>
      <c r="X1693">
        <f>Q1693*R1693*S1693*T1693*U1693*V1693*W1693*--($C1693&lt;&gt;"")</f>
        <v/>
      </c>
    </row>
    <row r="1694">
      <c r="Q1694">
        <f>--($A1694=IF('الداشبورد'!$B$5="الكل",$A1694,'الداشبورد'!$B$5))</f>
        <v/>
      </c>
      <c r="R1694">
        <f>--($E1694=IF('الداشبورد'!$B$6="الكل",$E1694,'الداشبورد'!$B$6))</f>
        <v/>
      </c>
      <c r="S1694">
        <f>--($K1694=IF('الداشبورد'!$B$7="الكل",$K1694,IF('الداشبورد'!$B$7="تصدير","Y","N")))</f>
        <v/>
      </c>
      <c r="T1694">
        <f>--($J1694=IF('الداشبورد'!$B$8="الكل",$J1694,IF('الداشبورد'!$B$8="AL","A","C")))</f>
        <v/>
      </c>
      <c r="U1694">
        <f>--($I1694=IF('الداشبورد'!$B$9="الكل",$I1694,IF('الداشبورد'!$B$9="بدون حالة","P",'الداشبورد'!$B$9)))</f>
        <v/>
      </c>
      <c r="V1694">
        <f>--($D1694=IF('الداشبورد'!$B$10="الكل",$D1694,'الداشبورد'!$B$10))</f>
        <v/>
      </c>
      <c r="W1694">
        <f>--($G1694=IF('الداشبورد'!$B$11="الكل",$G1694,'الداشبورد'!$B$11))</f>
        <v/>
      </c>
      <c r="X1694">
        <f>Q1694*R1694*S1694*T1694*U1694*V1694*W1694*--($C1694&lt;&gt;"")</f>
        <v/>
      </c>
    </row>
    <row r="1695">
      <c r="Q1695">
        <f>--($A1695=IF('الداشبورد'!$B$5="الكل",$A1695,'الداشبورد'!$B$5))</f>
        <v/>
      </c>
      <c r="R1695">
        <f>--($E1695=IF('الداشبورد'!$B$6="الكل",$E1695,'الداشبورد'!$B$6))</f>
        <v/>
      </c>
      <c r="S1695">
        <f>--($K1695=IF('الداشبورد'!$B$7="الكل",$K1695,IF('الداشبورد'!$B$7="تصدير","Y","N")))</f>
        <v/>
      </c>
      <c r="T1695">
        <f>--($J1695=IF('الداشبورد'!$B$8="الكل",$J1695,IF('الداشبورد'!$B$8="AL","A","C")))</f>
        <v/>
      </c>
      <c r="U1695">
        <f>--($I1695=IF('الداشبورد'!$B$9="الكل",$I1695,IF('الداشبورد'!$B$9="بدون حالة","P",'الداشبورد'!$B$9)))</f>
        <v/>
      </c>
      <c r="V1695">
        <f>--($D1695=IF('الداشبورد'!$B$10="الكل",$D1695,'الداشبورد'!$B$10))</f>
        <v/>
      </c>
      <c r="W1695">
        <f>--($G1695=IF('الداشبورد'!$B$11="الكل",$G1695,'الداشبورد'!$B$11))</f>
        <v/>
      </c>
      <c r="X1695">
        <f>Q1695*R1695*S1695*T1695*U1695*V1695*W1695*--($C1695&lt;&gt;"")</f>
        <v/>
      </c>
    </row>
    <row r="1696">
      <c r="Q1696">
        <f>--($A1696=IF('الداشبورد'!$B$5="الكل",$A1696,'الداشبورد'!$B$5))</f>
        <v/>
      </c>
      <c r="R1696">
        <f>--($E1696=IF('الداشبورد'!$B$6="الكل",$E1696,'الداشبورد'!$B$6))</f>
        <v/>
      </c>
      <c r="S1696">
        <f>--($K1696=IF('الداشبورد'!$B$7="الكل",$K1696,IF('الداشبورد'!$B$7="تصدير","Y","N")))</f>
        <v/>
      </c>
      <c r="T1696">
        <f>--($J1696=IF('الداشبورد'!$B$8="الكل",$J1696,IF('الداشبورد'!$B$8="AL","A","C")))</f>
        <v/>
      </c>
      <c r="U1696">
        <f>--($I1696=IF('الداشبورد'!$B$9="الكل",$I1696,IF('الداشبورد'!$B$9="بدون حالة","P",'الداشبورد'!$B$9)))</f>
        <v/>
      </c>
      <c r="V1696">
        <f>--($D1696=IF('الداشبورد'!$B$10="الكل",$D1696,'الداشبورد'!$B$10))</f>
        <v/>
      </c>
      <c r="W1696">
        <f>--($G1696=IF('الداشبورد'!$B$11="الكل",$G1696,'الداشبورد'!$B$11))</f>
        <v/>
      </c>
      <c r="X1696">
        <f>Q1696*R1696*S1696*T1696*U1696*V1696*W1696*--($C1696&lt;&gt;"")</f>
        <v/>
      </c>
    </row>
    <row r="1697">
      <c r="Q1697">
        <f>--($A1697=IF('الداشبورد'!$B$5="الكل",$A1697,'الداشبورد'!$B$5))</f>
        <v/>
      </c>
      <c r="R1697">
        <f>--($E1697=IF('الداشبورد'!$B$6="الكل",$E1697,'الداشبورد'!$B$6))</f>
        <v/>
      </c>
      <c r="S1697">
        <f>--($K1697=IF('الداشبورد'!$B$7="الكل",$K1697,IF('الداشبورد'!$B$7="تصدير","Y","N")))</f>
        <v/>
      </c>
      <c r="T1697">
        <f>--($J1697=IF('الداشبورد'!$B$8="الكل",$J1697,IF('الداشبورد'!$B$8="AL","A","C")))</f>
        <v/>
      </c>
      <c r="U1697">
        <f>--($I1697=IF('الداشبورد'!$B$9="الكل",$I1697,IF('الداشبورد'!$B$9="بدون حالة","P",'الداشبورد'!$B$9)))</f>
        <v/>
      </c>
      <c r="V1697">
        <f>--($D1697=IF('الداشبورد'!$B$10="الكل",$D1697,'الداشبورد'!$B$10))</f>
        <v/>
      </c>
      <c r="W1697">
        <f>--($G1697=IF('الداشبورد'!$B$11="الكل",$G1697,'الداشبورد'!$B$11))</f>
        <v/>
      </c>
      <c r="X1697">
        <f>Q1697*R1697*S1697*T1697*U1697*V1697*W1697*--($C1697&lt;&gt;"")</f>
        <v/>
      </c>
    </row>
    <row r="1698">
      <c r="Q1698">
        <f>--($A1698=IF('الداشبورد'!$B$5="الكل",$A1698,'الداشبورد'!$B$5))</f>
        <v/>
      </c>
      <c r="R1698">
        <f>--($E1698=IF('الداشبورد'!$B$6="الكل",$E1698,'الداشبورد'!$B$6))</f>
        <v/>
      </c>
      <c r="S1698">
        <f>--($K1698=IF('الداشبورد'!$B$7="الكل",$K1698,IF('الداشبورد'!$B$7="تصدير","Y","N")))</f>
        <v/>
      </c>
      <c r="T1698">
        <f>--($J1698=IF('الداشبورد'!$B$8="الكل",$J1698,IF('الداشبورد'!$B$8="AL","A","C")))</f>
        <v/>
      </c>
      <c r="U1698">
        <f>--($I1698=IF('الداشبورد'!$B$9="الكل",$I1698,IF('الداشبورد'!$B$9="بدون حالة","P",'الداشبورد'!$B$9)))</f>
        <v/>
      </c>
      <c r="V1698">
        <f>--($D1698=IF('الداشبورد'!$B$10="الكل",$D1698,'الداشبورد'!$B$10))</f>
        <v/>
      </c>
      <c r="W1698">
        <f>--($G1698=IF('الداشبورد'!$B$11="الكل",$G1698,'الداشبورد'!$B$11))</f>
        <v/>
      </c>
      <c r="X1698">
        <f>Q1698*R1698*S1698*T1698*U1698*V1698*W1698*--($C1698&lt;&gt;"")</f>
        <v/>
      </c>
    </row>
    <row r="1699">
      <c r="Q1699">
        <f>--($A1699=IF('الداشبورد'!$B$5="الكل",$A1699,'الداشبورد'!$B$5))</f>
        <v/>
      </c>
      <c r="R1699">
        <f>--($E1699=IF('الداشبورد'!$B$6="الكل",$E1699,'الداشبورد'!$B$6))</f>
        <v/>
      </c>
      <c r="S1699">
        <f>--($K1699=IF('الداشبورد'!$B$7="الكل",$K1699,IF('الداشبورد'!$B$7="تصدير","Y","N")))</f>
        <v/>
      </c>
      <c r="T1699">
        <f>--($J1699=IF('الداشبورد'!$B$8="الكل",$J1699,IF('الداشبورد'!$B$8="AL","A","C")))</f>
        <v/>
      </c>
      <c r="U1699">
        <f>--($I1699=IF('الداشبورد'!$B$9="الكل",$I1699,IF('الداشبورد'!$B$9="بدون حالة","P",'الداشبورد'!$B$9)))</f>
        <v/>
      </c>
      <c r="V1699">
        <f>--($D1699=IF('الداشبورد'!$B$10="الكل",$D1699,'الداشبورد'!$B$10))</f>
        <v/>
      </c>
      <c r="W1699">
        <f>--($G1699=IF('الداشبورد'!$B$11="الكل",$G1699,'الداشبورد'!$B$11))</f>
        <v/>
      </c>
      <c r="X1699">
        <f>Q1699*R1699*S1699*T1699*U1699*V1699*W1699*--($C1699&lt;&gt;"")</f>
        <v/>
      </c>
    </row>
    <row r="1700">
      <c r="Q1700">
        <f>--($A1700=IF('الداشبورد'!$B$5="الكل",$A1700,'الداشبورد'!$B$5))</f>
        <v/>
      </c>
      <c r="R1700">
        <f>--($E1700=IF('الداشبورد'!$B$6="الكل",$E1700,'الداشبورد'!$B$6))</f>
        <v/>
      </c>
      <c r="S1700">
        <f>--($K1700=IF('الداشبورد'!$B$7="الكل",$K1700,IF('الداشبورد'!$B$7="تصدير","Y","N")))</f>
        <v/>
      </c>
      <c r="T1700">
        <f>--($J1700=IF('الداشبورد'!$B$8="الكل",$J1700,IF('الداشبورد'!$B$8="AL","A","C")))</f>
        <v/>
      </c>
      <c r="U1700">
        <f>--($I1700=IF('الداشبورد'!$B$9="الكل",$I1700,IF('الداشبورد'!$B$9="بدون حالة","P",'الداشبورد'!$B$9)))</f>
        <v/>
      </c>
      <c r="V1700">
        <f>--($D1700=IF('الداشبورد'!$B$10="الكل",$D1700,'الداشبورد'!$B$10))</f>
        <v/>
      </c>
      <c r="W1700">
        <f>--($G1700=IF('الداشبورد'!$B$11="الكل",$G1700,'الداشبورد'!$B$11))</f>
        <v/>
      </c>
      <c r="X1700">
        <f>Q1700*R1700*S1700*T1700*U1700*V1700*W1700*--($C1700&lt;&gt;"")</f>
        <v/>
      </c>
    </row>
    <row r="1701">
      <c r="Q1701">
        <f>--($A1701=IF('الداشبورد'!$B$5="الكل",$A1701,'الداشبورد'!$B$5))</f>
        <v/>
      </c>
      <c r="R1701">
        <f>--($E1701=IF('الداشبورد'!$B$6="الكل",$E1701,'الداشبورد'!$B$6))</f>
        <v/>
      </c>
      <c r="S1701">
        <f>--($K1701=IF('الداشبورد'!$B$7="الكل",$K1701,IF('الداشبورد'!$B$7="تصدير","Y","N")))</f>
        <v/>
      </c>
      <c r="T1701">
        <f>--($J1701=IF('الداشبورد'!$B$8="الكل",$J1701,IF('الداشبورد'!$B$8="AL","A","C")))</f>
        <v/>
      </c>
      <c r="U1701">
        <f>--($I1701=IF('الداشبورد'!$B$9="الكل",$I1701,IF('الداشبورد'!$B$9="بدون حالة","P",'الداشبورد'!$B$9)))</f>
        <v/>
      </c>
      <c r="V1701">
        <f>--($D1701=IF('الداشبورد'!$B$10="الكل",$D1701,'الداشبورد'!$B$10))</f>
        <v/>
      </c>
      <c r="W1701">
        <f>--($G1701=IF('الداشبورد'!$B$11="الكل",$G1701,'الداشبورد'!$B$11))</f>
        <v/>
      </c>
      <c r="X1701">
        <f>Q1701*R1701*S1701*T1701*U1701*V1701*W1701*--($C1701&lt;&gt;"")</f>
        <v/>
      </c>
    </row>
    <row r="1702">
      <c r="Q1702">
        <f>--($A1702=IF('الداشبورد'!$B$5="الكل",$A1702,'الداشبورد'!$B$5))</f>
        <v/>
      </c>
      <c r="R1702">
        <f>--($E1702=IF('الداشبورد'!$B$6="الكل",$E1702,'الداشبورد'!$B$6))</f>
        <v/>
      </c>
      <c r="S1702">
        <f>--($K1702=IF('الداشبورد'!$B$7="الكل",$K1702,IF('الداشبورد'!$B$7="تصدير","Y","N")))</f>
        <v/>
      </c>
      <c r="T1702">
        <f>--($J1702=IF('الداشبورد'!$B$8="الكل",$J1702,IF('الداشبورد'!$B$8="AL","A","C")))</f>
        <v/>
      </c>
      <c r="U1702">
        <f>--($I1702=IF('الداشبورد'!$B$9="الكل",$I1702,IF('الداشبورد'!$B$9="بدون حالة","P",'الداشبورد'!$B$9)))</f>
        <v/>
      </c>
      <c r="V1702">
        <f>--($D1702=IF('الداشبورد'!$B$10="الكل",$D1702,'الداشبورد'!$B$10))</f>
        <v/>
      </c>
      <c r="W1702">
        <f>--($G1702=IF('الداشبورد'!$B$11="الكل",$G1702,'الداشبورد'!$B$11))</f>
        <v/>
      </c>
      <c r="X1702">
        <f>Q1702*R1702*S1702*T1702*U1702*V1702*W1702*--($C1702&lt;&gt;"")</f>
        <v/>
      </c>
    </row>
    <row r="1703">
      <c r="Q1703">
        <f>--($A1703=IF('الداشبورد'!$B$5="الكل",$A1703,'الداشبورد'!$B$5))</f>
        <v/>
      </c>
      <c r="R1703">
        <f>--($E1703=IF('الداشبورد'!$B$6="الكل",$E1703,'الداشبورد'!$B$6))</f>
        <v/>
      </c>
      <c r="S1703">
        <f>--($K1703=IF('الداشبورد'!$B$7="الكل",$K1703,IF('الداشبورد'!$B$7="تصدير","Y","N")))</f>
        <v/>
      </c>
      <c r="T1703">
        <f>--($J1703=IF('الداشبورد'!$B$8="الكل",$J1703,IF('الداشبورد'!$B$8="AL","A","C")))</f>
        <v/>
      </c>
      <c r="U1703">
        <f>--($I1703=IF('الداشبورد'!$B$9="الكل",$I1703,IF('الداشبورد'!$B$9="بدون حالة","P",'الداشبورد'!$B$9)))</f>
        <v/>
      </c>
      <c r="V1703">
        <f>--($D1703=IF('الداشبورد'!$B$10="الكل",$D1703,'الداشبورد'!$B$10))</f>
        <v/>
      </c>
      <c r="W1703">
        <f>--($G1703=IF('الداشبورد'!$B$11="الكل",$G1703,'الداشبورد'!$B$11))</f>
        <v/>
      </c>
      <c r="X1703">
        <f>Q1703*R1703*S1703*T1703*U1703*V1703*W1703*--($C1703&lt;&gt;"")</f>
        <v/>
      </c>
    </row>
    <row r="1704">
      <c r="Q1704">
        <f>--($A1704=IF('الداشبورد'!$B$5="الكل",$A1704,'الداشبورد'!$B$5))</f>
        <v/>
      </c>
      <c r="R1704">
        <f>--($E1704=IF('الداشبورد'!$B$6="الكل",$E1704,'الداشبورد'!$B$6))</f>
        <v/>
      </c>
      <c r="S1704">
        <f>--($K1704=IF('الداشبورد'!$B$7="الكل",$K1704,IF('الداشبورد'!$B$7="تصدير","Y","N")))</f>
        <v/>
      </c>
      <c r="T1704">
        <f>--($J1704=IF('الداشبورد'!$B$8="الكل",$J1704,IF('الداشبورد'!$B$8="AL","A","C")))</f>
        <v/>
      </c>
      <c r="U1704">
        <f>--($I1704=IF('الداشبورد'!$B$9="الكل",$I1704,IF('الداشبورد'!$B$9="بدون حالة","P",'الداشبورد'!$B$9)))</f>
        <v/>
      </c>
      <c r="V1704">
        <f>--($D1704=IF('الداشبورد'!$B$10="الكل",$D1704,'الداشبورد'!$B$10))</f>
        <v/>
      </c>
      <c r="W1704">
        <f>--($G1704=IF('الداشبورد'!$B$11="الكل",$G1704,'الداشبورد'!$B$11))</f>
        <v/>
      </c>
      <c r="X1704">
        <f>Q1704*R1704*S1704*T1704*U1704*V1704*W1704*--($C1704&lt;&gt;"")</f>
        <v/>
      </c>
    </row>
    <row r="1705">
      <c r="Q1705">
        <f>--($A1705=IF('الداشبورد'!$B$5="الكل",$A1705,'الداشبورد'!$B$5))</f>
        <v/>
      </c>
      <c r="R1705">
        <f>--($E1705=IF('الداشبورد'!$B$6="الكل",$E1705,'الداشبورد'!$B$6))</f>
        <v/>
      </c>
      <c r="S1705">
        <f>--($K1705=IF('الداشبورد'!$B$7="الكل",$K1705,IF('الداشبورد'!$B$7="تصدير","Y","N")))</f>
        <v/>
      </c>
      <c r="T1705">
        <f>--($J1705=IF('الداشبورد'!$B$8="الكل",$J1705,IF('الداشبورد'!$B$8="AL","A","C")))</f>
        <v/>
      </c>
      <c r="U1705">
        <f>--($I1705=IF('الداشبورد'!$B$9="الكل",$I1705,IF('الداشبورد'!$B$9="بدون حالة","P",'الداشبورد'!$B$9)))</f>
        <v/>
      </c>
      <c r="V1705">
        <f>--($D1705=IF('الداشبورد'!$B$10="الكل",$D1705,'الداشبورد'!$B$10))</f>
        <v/>
      </c>
      <c r="W1705">
        <f>--($G1705=IF('الداشبورد'!$B$11="الكل",$G1705,'الداشبورد'!$B$11))</f>
        <v/>
      </c>
      <c r="X1705">
        <f>Q1705*R1705*S1705*T1705*U1705*V1705*W1705*--($C1705&lt;&gt;"")</f>
        <v/>
      </c>
    </row>
    <row r="1706">
      <c r="Q1706">
        <f>--($A1706=IF('الداشبورد'!$B$5="الكل",$A1706,'الداشبورد'!$B$5))</f>
        <v/>
      </c>
      <c r="R1706">
        <f>--($E1706=IF('الداشبورد'!$B$6="الكل",$E1706,'الداشبورد'!$B$6))</f>
        <v/>
      </c>
      <c r="S1706">
        <f>--($K1706=IF('الداشبورد'!$B$7="الكل",$K1706,IF('الداشبورد'!$B$7="تصدير","Y","N")))</f>
        <v/>
      </c>
      <c r="T1706">
        <f>--($J1706=IF('الداشبورد'!$B$8="الكل",$J1706,IF('الداشبورد'!$B$8="AL","A","C")))</f>
        <v/>
      </c>
      <c r="U1706">
        <f>--($I1706=IF('الداشبورد'!$B$9="الكل",$I1706,IF('الداشبورد'!$B$9="بدون حالة","P",'الداشبورد'!$B$9)))</f>
        <v/>
      </c>
      <c r="V1706">
        <f>--($D1706=IF('الداشبورد'!$B$10="الكل",$D1706,'الداشبورد'!$B$10))</f>
        <v/>
      </c>
      <c r="W1706">
        <f>--($G1706=IF('الداشبورد'!$B$11="الكل",$G1706,'الداشبورد'!$B$11))</f>
        <v/>
      </c>
      <c r="X1706">
        <f>Q1706*R1706*S1706*T1706*U1706*V1706*W1706*--($C1706&lt;&gt;"")</f>
        <v/>
      </c>
    </row>
    <row r="1707">
      <c r="Q1707">
        <f>--($A1707=IF('الداشبورد'!$B$5="الكل",$A1707,'الداشبورد'!$B$5))</f>
        <v/>
      </c>
      <c r="R1707">
        <f>--($E1707=IF('الداشبورد'!$B$6="الكل",$E1707,'الداشبورد'!$B$6))</f>
        <v/>
      </c>
      <c r="S1707">
        <f>--($K1707=IF('الداشبورد'!$B$7="الكل",$K1707,IF('الداشبورد'!$B$7="تصدير","Y","N")))</f>
        <v/>
      </c>
      <c r="T1707">
        <f>--($J1707=IF('الداشبورد'!$B$8="الكل",$J1707,IF('الداشبورد'!$B$8="AL","A","C")))</f>
        <v/>
      </c>
      <c r="U1707">
        <f>--($I1707=IF('الداشبورد'!$B$9="الكل",$I1707,IF('الداشبورد'!$B$9="بدون حالة","P",'الداشبورد'!$B$9)))</f>
        <v/>
      </c>
      <c r="V1707">
        <f>--($D1707=IF('الداشبورد'!$B$10="الكل",$D1707,'الداشبورد'!$B$10))</f>
        <v/>
      </c>
      <c r="W1707">
        <f>--($G1707=IF('الداشبورد'!$B$11="الكل",$G1707,'الداشبورد'!$B$11))</f>
        <v/>
      </c>
      <c r="X1707">
        <f>Q1707*R1707*S1707*T1707*U1707*V1707*W1707*--($C1707&lt;&gt;"")</f>
        <v/>
      </c>
    </row>
    <row r="1708">
      <c r="Q1708">
        <f>--($A1708=IF('الداشبورد'!$B$5="الكل",$A1708,'الداشبورد'!$B$5))</f>
        <v/>
      </c>
      <c r="R1708">
        <f>--($E1708=IF('الداشبورد'!$B$6="الكل",$E1708,'الداشبورد'!$B$6))</f>
        <v/>
      </c>
      <c r="S1708">
        <f>--($K1708=IF('الداشبورد'!$B$7="الكل",$K1708,IF('الداشبورد'!$B$7="تصدير","Y","N")))</f>
        <v/>
      </c>
      <c r="T1708">
        <f>--($J1708=IF('الداشبورد'!$B$8="الكل",$J1708,IF('الداشبورد'!$B$8="AL","A","C")))</f>
        <v/>
      </c>
      <c r="U1708">
        <f>--($I1708=IF('الداشبورد'!$B$9="الكل",$I1708,IF('الداشبورد'!$B$9="بدون حالة","P",'الداشبورد'!$B$9)))</f>
        <v/>
      </c>
      <c r="V1708">
        <f>--($D1708=IF('الداشبورد'!$B$10="الكل",$D1708,'الداشبورد'!$B$10))</f>
        <v/>
      </c>
      <c r="W1708">
        <f>--($G1708=IF('الداشبورد'!$B$11="الكل",$G1708,'الداشبورد'!$B$11))</f>
        <v/>
      </c>
      <c r="X1708">
        <f>Q1708*R1708*S1708*T1708*U1708*V1708*W1708*--($C1708&lt;&gt;"")</f>
        <v/>
      </c>
    </row>
    <row r="1709">
      <c r="Q1709">
        <f>--($A1709=IF('الداشبورد'!$B$5="الكل",$A1709,'الداشبورد'!$B$5))</f>
        <v/>
      </c>
      <c r="R1709">
        <f>--($E1709=IF('الداشبورد'!$B$6="الكل",$E1709,'الداشبورد'!$B$6))</f>
        <v/>
      </c>
      <c r="S1709">
        <f>--($K1709=IF('الداشبورد'!$B$7="الكل",$K1709,IF('الداشبورد'!$B$7="تصدير","Y","N")))</f>
        <v/>
      </c>
      <c r="T1709">
        <f>--($J1709=IF('الداشبورد'!$B$8="الكل",$J1709,IF('الداشبورد'!$B$8="AL","A","C")))</f>
        <v/>
      </c>
      <c r="U1709">
        <f>--($I1709=IF('الداشبورد'!$B$9="الكل",$I1709,IF('الداشبورد'!$B$9="بدون حالة","P",'الداشبورد'!$B$9)))</f>
        <v/>
      </c>
      <c r="V1709">
        <f>--($D1709=IF('الداشبورد'!$B$10="الكل",$D1709,'الداشبورد'!$B$10))</f>
        <v/>
      </c>
      <c r="W1709">
        <f>--($G1709=IF('الداشبورد'!$B$11="الكل",$G1709,'الداشبورد'!$B$11))</f>
        <v/>
      </c>
      <c r="X1709">
        <f>Q1709*R1709*S1709*T1709*U1709*V1709*W1709*--($C1709&lt;&gt;"")</f>
        <v/>
      </c>
    </row>
    <row r="1710">
      <c r="Q1710">
        <f>--($A1710=IF('الداشبورد'!$B$5="الكل",$A1710,'الداشبورد'!$B$5))</f>
        <v/>
      </c>
      <c r="R1710">
        <f>--($E1710=IF('الداشبورد'!$B$6="الكل",$E1710,'الداشبورد'!$B$6))</f>
        <v/>
      </c>
      <c r="S1710">
        <f>--($K1710=IF('الداشبورد'!$B$7="الكل",$K1710,IF('الداشبورد'!$B$7="تصدير","Y","N")))</f>
        <v/>
      </c>
      <c r="T1710">
        <f>--($J1710=IF('الداشبورد'!$B$8="الكل",$J1710,IF('الداشبورد'!$B$8="AL","A","C")))</f>
        <v/>
      </c>
      <c r="U1710">
        <f>--($I1710=IF('الداشبورد'!$B$9="الكل",$I1710,IF('الداشبورد'!$B$9="بدون حالة","P",'الداشبورد'!$B$9)))</f>
        <v/>
      </c>
      <c r="V1710">
        <f>--($D1710=IF('الداشبورد'!$B$10="الكل",$D1710,'الداشبورد'!$B$10))</f>
        <v/>
      </c>
      <c r="W1710">
        <f>--($G1710=IF('الداشبورد'!$B$11="الكل",$G1710,'الداشبورد'!$B$11))</f>
        <v/>
      </c>
      <c r="X1710">
        <f>Q1710*R1710*S1710*T1710*U1710*V1710*W1710*--($C1710&lt;&gt;"")</f>
        <v/>
      </c>
    </row>
    <row r="1711">
      <c r="Q1711">
        <f>--($A1711=IF('الداشبورد'!$B$5="الكل",$A1711,'الداشبورد'!$B$5))</f>
        <v/>
      </c>
      <c r="R1711">
        <f>--($E1711=IF('الداشبورد'!$B$6="الكل",$E1711,'الداشبورد'!$B$6))</f>
        <v/>
      </c>
      <c r="S1711">
        <f>--($K1711=IF('الداشبورد'!$B$7="الكل",$K1711,IF('الداشبورد'!$B$7="تصدير","Y","N")))</f>
        <v/>
      </c>
      <c r="T1711">
        <f>--($J1711=IF('الداشبورد'!$B$8="الكل",$J1711,IF('الداشبورد'!$B$8="AL","A","C")))</f>
        <v/>
      </c>
      <c r="U1711">
        <f>--($I1711=IF('الداشبورد'!$B$9="الكل",$I1711,IF('الداشبورد'!$B$9="بدون حالة","P",'الداشبورد'!$B$9)))</f>
        <v/>
      </c>
      <c r="V1711">
        <f>--($D1711=IF('الداشبورد'!$B$10="الكل",$D1711,'الداشبورد'!$B$10))</f>
        <v/>
      </c>
      <c r="W1711">
        <f>--($G1711=IF('الداشبورد'!$B$11="الكل",$G1711,'الداشبورد'!$B$11))</f>
        <v/>
      </c>
      <c r="X1711">
        <f>Q1711*R1711*S1711*T1711*U1711*V1711*W1711*--($C1711&lt;&gt;"")</f>
        <v/>
      </c>
    </row>
    <row r="1712">
      <c r="Q1712">
        <f>--($A1712=IF('الداشبورد'!$B$5="الكل",$A1712,'الداشبورد'!$B$5))</f>
        <v/>
      </c>
      <c r="R1712">
        <f>--($E1712=IF('الداشبورد'!$B$6="الكل",$E1712,'الداشبورد'!$B$6))</f>
        <v/>
      </c>
      <c r="S1712">
        <f>--($K1712=IF('الداشبورد'!$B$7="الكل",$K1712,IF('الداشبورد'!$B$7="تصدير","Y","N")))</f>
        <v/>
      </c>
      <c r="T1712">
        <f>--($J1712=IF('الداشبورد'!$B$8="الكل",$J1712,IF('الداشبورد'!$B$8="AL","A","C")))</f>
        <v/>
      </c>
      <c r="U1712">
        <f>--($I1712=IF('الداشبورد'!$B$9="الكل",$I1712,IF('الداشبورد'!$B$9="بدون حالة","P",'الداشبورد'!$B$9)))</f>
        <v/>
      </c>
      <c r="V1712">
        <f>--($D1712=IF('الداشبورد'!$B$10="الكل",$D1712,'الداشبورد'!$B$10))</f>
        <v/>
      </c>
      <c r="W1712">
        <f>--($G1712=IF('الداشبورد'!$B$11="الكل",$G1712,'الداشبورد'!$B$11))</f>
        <v/>
      </c>
      <c r="X1712">
        <f>Q1712*R1712*S1712*T1712*U1712*V1712*W1712*--($C1712&lt;&gt;"")</f>
        <v/>
      </c>
    </row>
    <row r="1713">
      <c r="Q1713">
        <f>--($A1713=IF('الداشبورد'!$B$5="الكل",$A1713,'الداشبورد'!$B$5))</f>
        <v/>
      </c>
      <c r="R1713">
        <f>--($E1713=IF('الداشبورد'!$B$6="الكل",$E1713,'الداشبورد'!$B$6))</f>
        <v/>
      </c>
      <c r="S1713">
        <f>--($K1713=IF('الداشبورد'!$B$7="الكل",$K1713,IF('الداشبورد'!$B$7="تصدير","Y","N")))</f>
        <v/>
      </c>
      <c r="T1713">
        <f>--($J1713=IF('الداشبورد'!$B$8="الكل",$J1713,IF('الداشبورد'!$B$8="AL","A","C")))</f>
        <v/>
      </c>
      <c r="U1713">
        <f>--($I1713=IF('الداشبورد'!$B$9="الكل",$I1713,IF('الداشبورد'!$B$9="بدون حالة","P",'الداشبورد'!$B$9)))</f>
        <v/>
      </c>
      <c r="V1713">
        <f>--($D1713=IF('الداشبورد'!$B$10="الكل",$D1713,'الداشبورد'!$B$10))</f>
        <v/>
      </c>
      <c r="W1713">
        <f>--($G1713=IF('الداشبورد'!$B$11="الكل",$G1713,'الداشبورد'!$B$11))</f>
        <v/>
      </c>
      <c r="X1713">
        <f>Q1713*R1713*S1713*T1713*U1713*V1713*W1713*--($C1713&lt;&gt;"")</f>
        <v/>
      </c>
    </row>
    <row r="1714">
      <c r="Q1714">
        <f>--($A1714=IF('الداشبورد'!$B$5="الكل",$A1714,'الداشبورد'!$B$5))</f>
        <v/>
      </c>
      <c r="R1714">
        <f>--($E1714=IF('الداشبورد'!$B$6="الكل",$E1714,'الداشبورد'!$B$6))</f>
        <v/>
      </c>
      <c r="S1714">
        <f>--($K1714=IF('الداشبورد'!$B$7="الكل",$K1714,IF('الداشبورد'!$B$7="تصدير","Y","N")))</f>
        <v/>
      </c>
      <c r="T1714">
        <f>--($J1714=IF('الداشبورد'!$B$8="الكل",$J1714,IF('الداشبورد'!$B$8="AL","A","C")))</f>
        <v/>
      </c>
      <c r="U1714">
        <f>--($I1714=IF('الداشبورد'!$B$9="الكل",$I1714,IF('الداشبورد'!$B$9="بدون حالة","P",'الداشبورد'!$B$9)))</f>
        <v/>
      </c>
      <c r="V1714">
        <f>--($D1714=IF('الداشبورد'!$B$10="الكل",$D1714,'الداشبورد'!$B$10))</f>
        <v/>
      </c>
      <c r="W1714">
        <f>--($G1714=IF('الداشبورد'!$B$11="الكل",$G1714,'الداشبورد'!$B$11))</f>
        <v/>
      </c>
      <c r="X1714">
        <f>Q1714*R1714*S1714*T1714*U1714*V1714*W1714*--($C1714&lt;&gt;"")</f>
        <v/>
      </c>
    </row>
    <row r="1715">
      <c r="Q1715">
        <f>--($A1715=IF('الداشبورد'!$B$5="الكل",$A1715,'الداشبورد'!$B$5))</f>
        <v/>
      </c>
      <c r="R1715">
        <f>--($E1715=IF('الداشبورد'!$B$6="الكل",$E1715,'الداشبورد'!$B$6))</f>
        <v/>
      </c>
      <c r="S1715">
        <f>--($K1715=IF('الداشبورد'!$B$7="الكل",$K1715,IF('الداشبورد'!$B$7="تصدير","Y","N")))</f>
        <v/>
      </c>
      <c r="T1715">
        <f>--($J1715=IF('الداشبورد'!$B$8="الكل",$J1715,IF('الداشبورد'!$B$8="AL","A","C")))</f>
        <v/>
      </c>
      <c r="U1715">
        <f>--($I1715=IF('الداشبورد'!$B$9="الكل",$I1715,IF('الداشبورد'!$B$9="بدون حالة","P",'الداشبورد'!$B$9)))</f>
        <v/>
      </c>
      <c r="V1715">
        <f>--($D1715=IF('الداشبورد'!$B$10="الكل",$D1715,'الداشبورد'!$B$10))</f>
        <v/>
      </c>
      <c r="W1715">
        <f>--($G1715=IF('الداشبورد'!$B$11="الكل",$G1715,'الداشبورد'!$B$11))</f>
        <v/>
      </c>
      <c r="X1715">
        <f>Q1715*R1715*S1715*T1715*U1715*V1715*W1715*--($C1715&lt;&gt;"")</f>
        <v/>
      </c>
    </row>
    <row r="1716">
      <c r="Q1716">
        <f>--($A1716=IF('الداشبورد'!$B$5="الكل",$A1716,'الداشبورد'!$B$5))</f>
        <v/>
      </c>
      <c r="R1716">
        <f>--($E1716=IF('الداشبورد'!$B$6="الكل",$E1716,'الداشبورد'!$B$6))</f>
        <v/>
      </c>
      <c r="S1716">
        <f>--($K1716=IF('الداشبورد'!$B$7="الكل",$K1716,IF('الداشبورد'!$B$7="تصدير","Y","N")))</f>
        <v/>
      </c>
      <c r="T1716">
        <f>--($J1716=IF('الداشبورد'!$B$8="الكل",$J1716,IF('الداشبورد'!$B$8="AL","A","C")))</f>
        <v/>
      </c>
      <c r="U1716">
        <f>--($I1716=IF('الداشبورد'!$B$9="الكل",$I1716,IF('الداشبورد'!$B$9="بدون حالة","P",'الداشبورد'!$B$9)))</f>
        <v/>
      </c>
      <c r="V1716">
        <f>--($D1716=IF('الداشبورد'!$B$10="الكل",$D1716,'الداشبورد'!$B$10))</f>
        <v/>
      </c>
      <c r="W1716">
        <f>--($G1716=IF('الداشبورد'!$B$11="الكل",$G1716,'الداشبورد'!$B$11))</f>
        <v/>
      </c>
      <c r="X1716">
        <f>Q1716*R1716*S1716*T1716*U1716*V1716*W1716*--($C1716&lt;&gt;"")</f>
        <v/>
      </c>
    </row>
    <row r="1717">
      <c r="Q1717">
        <f>--($A1717=IF('الداشبورد'!$B$5="الكل",$A1717,'الداشبورد'!$B$5))</f>
        <v/>
      </c>
      <c r="R1717">
        <f>--($E1717=IF('الداشبورد'!$B$6="الكل",$E1717,'الداشبورد'!$B$6))</f>
        <v/>
      </c>
      <c r="S1717">
        <f>--($K1717=IF('الداشبورد'!$B$7="الكل",$K1717,IF('الداشبورد'!$B$7="تصدير","Y","N")))</f>
        <v/>
      </c>
      <c r="T1717">
        <f>--($J1717=IF('الداشبورد'!$B$8="الكل",$J1717,IF('الداشبورد'!$B$8="AL","A","C")))</f>
        <v/>
      </c>
      <c r="U1717">
        <f>--($I1717=IF('الداشبورد'!$B$9="الكل",$I1717,IF('الداشبورد'!$B$9="بدون حالة","P",'الداشبورد'!$B$9)))</f>
        <v/>
      </c>
      <c r="V1717">
        <f>--($D1717=IF('الداشبورد'!$B$10="الكل",$D1717,'الداشبورد'!$B$10))</f>
        <v/>
      </c>
      <c r="W1717">
        <f>--($G1717=IF('الداشبورد'!$B$11="الكل",$G1717,'الداشبورد'!$B$11))</f>
        <v/>
      </c>
      <c r="X1717">
        <f>Q1717*R1717*S1717*T1717*U1717*V1717*W1717*--($C1717&lt;&gt;"")</f>
        <v/>
      </c>
    </row>
    <row r="1718">
      <c r="Q1718">
        <f>--($A1718=IF('الداشبورد'!$B$5="الكل",$A1718,'الداشبورد'!$B$5))</f>
        <v/>
      </c>
      <c r="R1718">
        <f>--($E1718=IF('الداشبورد'!$B$6="الكل",$E1718,'الداشبورد'!$B$6))</f>
        <v/>
      </c>
      <c r="S1718">
        <f>--($K1718=IF('الداشبورد'!$B$7="الكل",$K1718,IF('الداشبورد'!$B$7="تصدير","Y","N")))</f>
        <v/>
      </c>
      <c r="T1718">
        <f>--($J1718=IF('الداشبورد'!$B$8="الكل",$J1718,IF('الداشبورد'!$B$8="AL","A","C")))</f>
        <v/>
      </c>
      <c r="U1718">
        <f>--($I1718=IF('الداشبورد'!$B$9="الكل",$I1718,IF('الداشبورد'!$B$9="بدون حالة","P",'الداشبورد'!$B$9)))</f>
        <v/>
      </c>
      <c r="V1718">
        <f>--($D1718=IF('الداشبورد'!$B$10="الكل",$D1718,'الداشبورد'!$B$10))</f>
        <v/>
      </c>
      <c r="W1718">
        <f>--($G1718=IF('الداشبورد'!$B$11="الكل",$G1718,'الداشبورد'!$B$11))</f>
        <v/>
      </c>
      <c r="X1718">
        <f>Q1718*R1718*S1718*T1718*U1718*V1718*W1718*--($C1718&lt;&gt;"")</f>
        <v/>
      </c>
    </row>
    <row r="1719">
      <c r="Q1719">
        <f>--($A1719=IF('الداشبورد'!$B$5="الكل",$A1719,'الداشبورد'!$B$5))</f>
        <v/>
      </c>
      <c r="R1719">
        <f>--($E1719=IF('الداشبورد'!$B$6="الكل",$E1719,'الداشبورد'!$B$6))</f>
        <v/>
      </c>
      <c r="S1719">
        <f>--($K1719=IF('الداشبورد'!$B$7="الكل",$K1719,IF('الداشبورد'!$B$7="تصدير","Y","N")))</f>
        <v/>
      </c>
      <c r="T1719">
        <f>--($J1719=IF('الداشبورد'!$B$8="الكل",$J1719,IF('الداشبورد'!$B$8="AL","A","C")))</f>
        <v/>
      </c>
      <c r="U1719">
        <f>--($I1719=IF('الداشبورد'!$B$9="الكل",$I1719,IF('الداشبورد'!$B$9="بدون حالة","P",'الداشبورد'!$B$9)))</f>
        <v/>
      </c>
      <c r="V1719">
        <f>--($D1719=IF('الداشبورد'!$B$10="الكل",$D1719,'الداشبورد'!$B$10))</f>
        <v/>
      </c>
      <c r="W1719">
        <f>--($G1719=IF('الداشبورد'!$B$11="الكل",$G1719,'الداشبورد'!$B$11))</f>
        <v/>
      </c>
      <c r="X1719">
        <f>Q1719*R1719*S1719*T1719*U1719*V1719*W1719*--($C1719&lt;&gt;"")</f>
        <v/>
      </c>
    </row>
    <row r="1720">
      <c r="Q1720">
        <f>--($A1720=IF('الداشبورد'!$B$5="الكل",$A1720,'الداشبورد'!$B$5))</f>
        <v/>
      </c>
      <c r="R1720">
        <f>--($E1720=IF('الداشبورد'!$B$6="الكل",$E1720,'الداشبورد'!$B$6))</f>
        <v/>
      </c>
      <c r="S1720">
        <f>--($K1720=IF('الداشبورد'!$B$7="الكل",$K1720,IF('الداشبورد'!$B$7="تصدير","Y","N")))</f>
        <v/>
      </c>
      <c r="T1720">
        <f>--($J1720=IF('الداشبورد'!$B$8="الكل",$J1720,IF('الداشبورد'!$B$8="AL","A","C")))</f>
        <v/>
      </c>
      <c r="U1720">
        <f>--($I1720=IF('الداشبورد'!$B$9="الكل",$I1720,IF('الداشبورد'!$B$9="بدون حالة","P",'الداشبورد'!$B$9)))</f>
        <v/>
      </c>
      <c r="V1720">
        <f>--($D1720=IF('الداشبورد'!$B$10="الكل",$D1720,'الداشبورد'!$B$10))</f>
        <v/>
      </c>
      <c r="W1720">
        <f>--($G1720=IF('الداشبورد'!$B$11="الكل",$G1720,'الداشبورد'!$B$11))</f>
        <v/>
      </c>
      <c r="X1720">
        <f>Q1720*R1720*S1720*T1720*U1720*V1720*W1720*--($C1720&lt;&gt;"")</f>
        <v/>
      </c>
    </row>
    <row r="1721">
      <c r="Q1721">
        <f>--($A1721=IF('الداشبورد'!$B$5="الكل",$A1721,'الداشبورد'!$B$5))</f>
        <v/>
      </c>
      <c r="R1721">
        <f>--($E1721=IF('الداشبورد'!$B$6="الكل",$E1721,'الداشبورد'!$B$6))</f>
        <v/>
      </c>
      <c r="S1721">
        <f>--($K1721=IF('الداشبورد'!$B$7="الكل",$K1721,IF('الداشبورد'!$B$7="تصدير","Y","N")))</f>
        <v/>
      </c>
      <c r="T1721">
        <f>--($J1721=IF('الداشبورد'!$B$8="الكل",$J1721,IF('الداشبورد'!$B$8="AL","A","C")))</f>
        <v/>
      </c>
      <c r="U1721">
        <f>--($I1721=IF('الداشبورد'!$B$9="الكل",$I1721,IF('الداشبورد'!$B$9="بدون حالة","P",'الداشبورد'!$B$9)))</f>
        <v/>
      </c>
      <c r="V1721">
        <f>--($D1721=IF('الداشبورد'!$B$10="الكل",$D1721,'الداشبورد'!$B$10))</f>
        <v/>
      </c>
      <c r="W1721">
        <f>--($G1721=IF('الداشبورد'!$B$11="الكل",$G1721,'الداشبورد'!$B$11))</f>
        <v/>
      </c>
      <c r="X1721">
        <f>Q1721*R1721*S1721*T1721*U1721*V1721*W1721*--($C1721&lt;&gt;"")</f>
        <v/>
      </c>
    </row>
    <row r="1722">
      <c r="Q1722">
        <f>--($A1722=IF('الداشبورد'!$B$5="الكل",$A1722,'الداشبورد'!$B$5))</f>
        <v/>
      </c>
      <c r="R1722">
        <f>--($E1722=IF('الداشبورد'!$B$6="الكل",$E1722,'الداشبورد'!$B$6))</f>
        <v/>
      </c>
      <c r="S1722">
        <f>--($K1722=IF('الداشبورد'!$B$7="الكل",$K1722,IF('الداشبورد'!$B$7="تصدير","Y","N")))</f>
        <v/>
      </c>
      <c r="T1722">
        <f>--($J1722=IF('الداشبورد'!$B$8="الكل",$J1722,IF('الداشبورد'!$B$8="AL","A","C")))</f>
        <v/>
      </c>
      <c r="U1722">
        <f>--($I1722=IF('الداشبورد'!$B$9="الكل",$I1722,IF('الداشبورد'!$B$9="بدون حالة","P",'الداشبورد'!$B$9)))</f>
        <v/>
      </c>
      <c r="V1722">
        <f>--($D1722=IF('الداشبورد'!$B$10="الكل",$D1722,'الداشبورد'!$B$10))</f>
        <v/>
      </c>
      <c r="W1722">
        <f>--($G1722=IF('الداشبورد'!$B$11="الكل",$G1722,'الداشبورد'!$B$11))</f>
        <v/>
      </c>
      <c r="X1722">
        <f>Q1722*R1722*S1722*T1722*U1722*V1722*W1722*--($C1722&lt;&gt;"")</f>
        <v/>
      </c>
    </row>
    <row r="1723">
      <c r="Q1723">
        <f>--($A1723=IF('الداشبورد'!$B$5="الكل",$A1723,'الداشبورد'!$B$5))</f>
        <v/>
      </c>
      <c r="R1723">
        <f>--($E1723=IF('الداشبورد'!$B$6="الكل",$E1723,'الداشبورد'!$B$6))</f>
        <v/>
      </c>
      <c r="S1723">
        <f>--($K1723=IF('الداشبورد'!$B$7="الكل",$K1723,IF('الداشبورد'!$B$7="تصدير","Y","N")))</f>
        <v/>
      </c>
      <c r="T1723">
        <f>--($J1723=IF('الداشبورد'!$B$8="الكل",$J1723,IF('الداشبورد'!$B$8="AL","A","C")))</f>
        <v/>
      </c>
      <c r="U1723">
        <f>--($I1723=IF('الداشبورد'!$B$9="الكل",$I1723,IF('الداشبورد'!$B$9="بدون حالة","P",'الداشبورد'!$B$9)))</f>
        <v/>
      </c>
      <c r="V1723">
        <f>--($D1723=IF('الداشبورد'!$B$10="الكل",$D1723,'الداشبورد'!$B$10))</f>
        <v/>
      </c>
      <c r="W1723">
        <f>--($G1723=IF('الداشبورد'!$B$11="الكل",$G1723,'الداشبورد'!$B$11))</f>
        <v/>
      </c>
      <c r="X1723">
        <f>Q1723*R1723*S1723*T1723*U1723*V1723*W1723*--($C1723&lt;&gt;"")</f>
        <v/>
      </c>
    </row>
    <row r="1724">
      <c r="Q1724">
        <f>--($A1724=IF('الداشبورد'!$B$5="الكل",$A1724,'الداشبورد'!$B$5))</f>
        <v/>
      </c>
      <c r="R1724">
        <f>--($E1724=IF('الداشبورد'!$B$6="الكل",$E1724,'الداشبورد'!$B$6))</f>
        <v/>
      </c>
      <c r="S1724">
        <f>--($K1724=IF('الداشبورد'!$B$7="الكل",$K1724,IF('الداشبورد'!$B$7="تصدير","Y","N")))</f>
        <v/>
      </c>
      <c r="T1724">
        <f>--($J1724=IF('الداشبورد'!$B$8="الكل",$J1724,IF('الداشبورد'!$B$8="AL","A","C")))</f>
        <v/>
      </c>
      <c r="U1724">
        <f>--($I1724=IF('الداشبورد'!$B$9="الكل",$I1724,IF('الداشبورد'!$B$9="بدون حالة","P",'الداشبورد'!$B$9)))</f>
        <v/>
      </c>
      <c r="V1724">
        <f>--($D1724=IF('الداشبورد'!$B$10="الكل",$D1724,'الداشبورد'!$B$10))</f>
        <v/>
      </c>
      <c r="W1724">
        <f>--($G1724=IF('الداشبورد'!$B$11="الكل",$G1724,'الداشبورد'!$B$11))</f>
        <v/>
      </c>
      <c r="X1724">
        <f>Q1724*R1724*S1724*T1724*U1724*V1724*W1724*--($C1724&lt;&gt;"")</f>
        <v/>
      </c>
    </row>
    <row r="1725">
      <c r="Q1725">
        <f>--($A1725=IF('الداشبورد'!$B$5="الكل",$A1725,'الداشبورد'!$B$5))</f>
        <v/>
      </c>
      <c r="R1725">
        <f>--($E1725=IF('الداشبورد'!$B$6="الكل",$E1725,'الداشبورد'!$B$6))</f>
        <v/>
      </c>
      <c r="S1725">
        <f>--($K1725=IF('الداشبورد'!$B$7="الكل",$K1725,IF('الداشبورد'!$B$7="تصدير","Y","N")))</f>
        <v/>
      </c>
      <c r="T1725">
        <f>--($J1725=IF('الداشبورد'!$B$8="الكل",$J1725,IF('الداشبورد'!$B$8="AL","A","C")))</f>
        <v/>
      </c>
      <c r="U1725">
        <f>--($I1725=IF('الداشبورد'!$B$9="الكل",$I1725,IF('الداشبورد'!$B$9="بدون حالة","P",'الداشبورد'!$B$9)))</f>
        <v/>
      </c>
      <c r="V1725">
        <f>--($D1725=IF('الداشبورد'!$B$10="الكل",$D1725,'الداشبورد'!$B$10))</f>
        <v/>
      </c>
      <c r="W1725">
        <f>--($G1725=IF('الداشبورد'!$B$11="الكل",$G1725,'الداشبورد'!$B$11))</f>
        <v/>
      </c>
      <c r="X1725">
        <f>Q1725*R1725*S1725*T1725*U1725*V1725*W1725*--($C1725&lt;&gt;"")</f>
        <v/>
      </c>
    </row>
    <row r="1726">
      <c r="Q1726">
        <f>--($A1726=IF('الداشبورد'!$B$5="الكل",$A1726,'الداشبورد'!$B$5))</f>
        <v/>
      </c>
      <c r="R1726">
        <f>--($E1726=IF('الداشبورد'!$B$6="الكل",$E1726,'الداشبورد'!$B$6))</f>
        <v/>
      </c>
      <c r="S1726">
        <f>--($K1726=IF('الداشبورد'!$B$7="الكل",$K1726,IF('الداشبورد'!$B$7="تصدير","Y","N")))</f>
        <v/>
      </c>
      <c r="T1726">
        <f>--($J1726=IF('الداشبورد'!$B$8="الكل",$J1726,IF('الداشبورد'!$B$8="AL","A","C")))</f>
        <v/>
      </c>
      <c r="U1726">
        <f>--($I1726=IF('الداشبورد'!$B$9="الكل",$I1726,IF('الداشبورد'!$B$9="بدون حالة","P",'الداشبورد'!$B$9)))</f>
        <v/>
      </c>
      <c r="V1726">
        <f>--($D1726=IF('الداشبورد'!$B$10="الكل",$D1726,'الداشبورد'!$B$10))</f>
        <v/>
      </c>
      <c r="W1726">
        <f>--($G1726=IF('الداشبورد'!$B$11="الكل",$G1726,'الداشبورد'!$B$11))</f>
        <v/>
      </c>
      <c r="X1726">
        <f>Q1726*R1726*S1726*T1726*U1726*V1726*W1726*--($C1726&lt;&gt;"")</f>
        <v/>
      </c>
    </row>
    <row r="1727">
      <c r="Q1727">
        <f>--($A1727=IF('الداشبورد'!$B$5="الكل",$A1727,'الداشبورد'!$B$5))</f>
        <v/>
      </c>
      <c r="R1727">
        <f>--($E1727=IF('الداشبورد'!$B$6="الكل",$E1727,'الداشبورد'!$B$6))</f>
        <v/>
      </c>
      <c r="S1727">
        <f>--($K1727=IF('الداشبورد'!$B$7="الكل",$K1727,IF('الداشبورد'!$B$7="تصدير","Y","N")))</f>
        <v/>
      </c>
      <c r="T1727">
        <f>--($J1727=IF('الداشبورد'!$B$8="الكل",$J1727,IF('الداشبورد'!$B$8="AL","A","C")))</f>
        <v/>
      </c>
      <c r="U1727">
        <f>--($I1727=IF('الداشبورد'!$B$9="الكل",$I1727,IF('الداشبورد'!$B$9="بدون حالة","P",'الداشبورد'!$B$9)))</f>
        <v/>
      </c>
      <c r="V1727">
        <f>--($D1727=IF('الداشبورد'!$B$10="الكل",$D1727,'الداشبورد'!$B$10))</f>
        <v/>
      </c>
      <c r="W1727">
        <f>--($G1727=IF('الداشبورد'!$B$11="الكل",$G1727,'الداشبورد'!$B$11))</f>
        <v/>
      </c>
      <c r="X1727">
        <f>Q1727*R1727*S1727*T1727*U1727*V1727*W1727*--($C1727&lt;&gt;"")</f>
        <v/>
      </c>
    </row>
    <row r="1728">
      <c r="Q1728">
        <f>--($A1728=IF('الداشبورد'!$B$5="الكل",$A1728,'الداشبورد'!$B$5))</f>
        <v/>
      </c>
      <c r="R1728">
        <f>--($E1728=IF('الداشبورد'!$B$6="الكل",$E1728,'الداشبورد'!$B$6))</f>
        <v/>
      </c>
      <c r="S1728">
        <f>--($K1728=IF('الداشبورد'!$B$7="الكل",$K1728,IF('الداشبورد'!$B$7="تصدير","Y","N")))</f>
        <v/>
      </c>
      <c r="T1728">
        <f>--($J1728=IF('الداشبورد'!$B$8="الكل",$J1728,IF('الداشبورد'!$B$8="AL","A","C")))</f>
        <v/>
      </c>
      <c r="U1728">
        <f>--($I1728=IF('الداشبورد'!$B$9="الكل",$I1728,IF('الداشبورد'!$B$9="بدون حالة","P",'الداشبورد'!$B$9)))</f>
        <v/>
      </c>
      <c r="V1728">
        <f>--($D1728=IF('الداشبورد'!$B$10="الكل",$D1728,'الداشبورد'!$B$10))</f>
        <v/>
      </c>
      <c r="W1728">
        <f>--($G1728=IF('الداشبورد'!$B$11="الكل",$G1728,'الداشبورد'!$B$11))</f>
        <v/>
      </c>
      <c r="X1728">
        <f>Q1728*R1728*S1728*T1728*U1728*V1728*W1728*--($C1728&lt;&gt;"")</f>
        <v/>
      </c>
    </row>
    <row r="1729">
      <c r="Q1729">
        <f>--($A1729=IF('الداشبورد'!$B$5="الكل",$A1729,'الداشبورد'!$B$5))</f>
        <v/>
      </c>
      <c r="R1729">
        <f>--($E1729=IF('الداشبورد'!$B$6="الكل",$E1729,'الداشبورد'!$B$6))</f>
        <v/>
      </c>
      <c r="S1729">
        <f>--($K1729=IF('الداشبورد'!$B$7="الكل",$K1729,IF('الداشبورد'!$B$7="تصدير","Y","N")))</f>
        <v/>
      </c>
      <c r="T1729">
        <f>--($J1729=IF('الداشبورد'!$B$8="الكل",$J1729,IF('الداشبورد'!$B$8="AL","A","C")))</f>
        <v/>
      </c>
      <c r="U1729">
        <f>--($I1729=IF('الداشبورد'!$B$9="الكل",$I1729,IF('الداشبورد'!$B$9="بدون حالة","P",'الداشبورد'!$B$9)))</f>
        <v/>
      </c>
      <c r="V1729">
        <f>--($D1729=IF('الداشبورد'!$B$10="الكل",$D1729,'الداشبورد'!$B$10))</f>
        <v/>
      </c>
      <c r="W1729">
        <f>--($G1729=IF('الداشبورد'!$B$11="الكل",$G1729,'الداشبورد'!$B$11))</f>
        <v/>
      </c>
      <c r="X1729">
        <f>Q1729*R1729*S1729*T1729*U1729*V1729*W1729*--($C1729&lt;&gt;"")</f>
        <v/>
      </c>
    </row>
    <row r="1730">
      <c r="Q1730">
        <f>--($A1730=IF('الداشبورد'!$B$5="الكل",$A1730,'الداشبورد'!$B$5))</f>
        <v/>
      </c>
      <c r="R1730">
        <f>--($E1730=IF('الداشبورد'!$B$6="الكل",$E1730,'الداشبورد'!$B$6))</f>
        <v/>
      </c>
      <c r="S1730">
        <f>--($K1730=IF('الداشبورد'!$B$7="الكل",$K1730,IF('الداشبورد'!$B$7="تصدير","Y","N")))</f>
        <v/>
      </c>
      <c r="T1730">
        <f>--($J1730=IF('الداشبورد'!$B$8="الكل",$J1730,IF('الداشبورد'!$B$8="AL","A","C")))</f>
        <v/>
      </c>
      <c r="U1730">
        <f>--($I1730=IF('الداشبورد'!$B$9="الكل",$I1730,IF('الداشبورد'!$B$9="بدون حالة","P",'الداشبورد'!$B$9)))</f>
        <v/>
      </c>
      <c r="V1730">
        <f>--($D1730=IF('الداشبورد'!$B$10="الكل",$D1730,'الداشبورد'!$B$10))</f>
        <v/>
      </c>
      <c r="W1730">
        <f>--($G1730=IF('الداشبورد'!$B$11="الكل",$G1730,'الداشبورد'!$B$11))</f>
        <v/>
      </c>
      <c r="X1730">
        <f>Q1730*R1730*S1730*T1730*U1730*V1730*W1730*--($C1730&lt;&gt;"")</f>
        <v/>
      </c>
    </row>
    <row r="1731">
      <c r="Q1731">
        <f>--($A1731=IF('الداشبورد'!$B$5="الكل",$A1731,'الداشبورد'!$B$5))</f>
        <v/>
      </c>
      <c r="R1731">
        <f>--($E1731=IF('الداشبورد'!$B$6="الكل",$E1731,'الداشبورد'!$B$6))</f>
        <v/>
      </c>
      <c r="S1731">
        <f>--($K1731=IF('الداشبورد'!$B$7="الكل",$K1731,IF('الداشبورد'!$B$7="تصدير","Y","N")))</f>
        <v/>
      </c>
      <c r="T1731">
        <f>--($J1731=IF('الداشبورد'!$B$8="الكل",$J1731,IF('الداشبورد'!$B$8="AL","A","C")))</f>
        <v/>
      </c>
      <c r="U1731">
        <f>--($I1731=IF('الداشبورد'!$B$9="الكل",$I1731,IF('الداشبورد'!$B$9="بدون حالة","P",'الداشبورد'!$B$9)))</f>
        <v/>
      </c>
      <c r="V1731">
        <f>--($D1731=IF('الداشبورد'!$B$10="الكل",$D1731,'الداشبورد'!$B$10))</f>
        <v/>
      </c>
      <c r="W1731">
        <f>--($G1731=IF('الداشبورد'!$B$11="الكل",$G1731,'الداشبورد'!$B$11))</f>
        <v/>
      </c>
      <c r="X1731">
        <f>Q1731*R1731*S1731*T1731*U1731*V1731*W1731*--($C1731&lt;&gt;"")</f>
        <v/>
      </c>
    </row>
    <row r="1732">
      <c r="Q1732">
        <f>--($A1732=IF('الداشبورد'!$B$5="الكل",$A1732,'الداشبورد'!$B$5))</f>
        <v/>
      </c>
      <c r="R1732">
        <f>--($E1732=IF('الداشبورد'!$B$6="الكل",$E1732,'الداشبورد'!$B$6))</f>
        <v/>
      </c>
      <c r="S1732">
        <f>--($K1732=IF('الداشبورد'!$B$7="الكل",$K1732,IF('الداشبورد'!$B$7="تصدير","Y","N")))</f>
        <v/>
      </c>
      <c r="T1732">
        <f>--($J1732=IF('الداشبورد'!$B$8="الكل",$J1732,IF('الداشبورد'!$B$8="AL","A","C")))</f>
        <v/>
      </c>
      <c r="U1732">
        <f>--($I1732=IF('الداشبورد'!$B$9="الكل",$I1732,IF('الداشبورد'!$B$9="بدون حالة","P",'الداشبورد'!$B$9)))</f>
        <v/>
      </c>
      <c r="V1732">
        <f>--($D1732=IF('الداشبورد'!$B$10="الكل",$D1732,'الداشبورد'!$B$10))</f>
        <v/>
      </c>
      <c r="W1732">
        <f>--($G1732=IF('الداشبورد'!$B$11="الكل",$G1732,'الداشبورد'!$B$11))</f>
        <v/>
      </c>
      <c r="X1732">
        <f>Q1732*R1732*S1732*T1732*U1732*V1732*W1732*--($C1732&lt;&gt;"")</f>
        <v/>
      </c>
    </row>
    <row r="1733">
      <c r="Q1733">
        <f>--($A1733=IF('الداشبورد'!$B$5="الكل",$A1733,'الداشبورد'!$B$5))</f>
        <v/>
      </c>
      <c r="R1733">
        <f>--($E1733=IF('الداشبورد'!$B$6="الكل",$E1733,'الداشبورد'!$B$6))</f>
        <v/>
      </c>
      <c r="S1733">
        <f>--($K1733=IF('الداشبورد'!$B$7="الكل",$K1733,IF('الداشبورد'!$B$7="تصدير","Y","N")))</f>
        <v/>
      </c>
      <c r="T1733">
        <f>--($J1733=IF('الداشبورد'!$B$8="الكل",$J1733,IF('الداشبورد'!$B$8="AL","A","C")))</f>
        <v/>
      </c>
      <c r="U1733">
        <f>--($I1733=IF('الداشبورد'!$B$9="الكل",$I1733,IF('الداشبورد'!$B$9="بدون حالة","P",'الداشبورد'!$B$9)))</f>
        <v/>
      </c>
      <c r="V1733">
        <f>--($D1733=IF('الداشبورد'!$B$10="الكل",$D1733,'الداشبورد'!$B$10))</f>
        <v/>
      </c>
      <c r="W1733">
        <f>--($G1733=IF('الداشبورد'!$B$11="الكل",$G1733,'الداشبورد'!$B$11))</f>
        <v/>
      </c>
      <c r="X1733">
        <f>Q1733*R1733*S1733*T1733*U1733*V1733*W1733*--($C1733&lt;&gt;"")</f>
        <v/>
      </c>
    </row>
    <row r="1734">
      <c r="Q1734">
        <f>--($A1734=IF('الداشبورد'!$B$5="الكل",$A1734,'الداشبورد'!$B$5))</f>
        <v/>
      </c>
      <c r="R1734">
        <f>--($E1734=IF('الداشبورد'!$B$6="الكل",$E1734,'الداشبورد'!$B$6))</f>
        <v/>
      </c>
      <c r="S1734">
        <f>--($K1734=IF('الداشبورد'!$B$7="الكل",$K1734,IF('الداشبورد'!$B$7="تصدير","Y","N")))</f>
        <v/>
      </c>
      <c r="T1734">
        <f>--($J1734=IF('الداشبورد'!$B$8="الكل",$J1734,IF('الداشبورد'!$B$8="AL","A","C")))</f>
        <v/>
      </c>
      <c r="U1734">
        <f>--($I1734=IF('الداشبورد'!$B$9="الكل",$I1734,IF('الداشبورد'!$B$9="بدون حالة","P",'الداشبورد'!$B$9)))</f>
        <v/>
      </c>
      <c r="V1734">
        <f>--($D1734=IF('الداشبورد'!$B$10="الكل",$D1734,'الداشبورد'!$B$10))</f>
        <v/>
      </c>
      <c r="W1734">
        <f>--($G1734=IF('الداشبورد'!$B$11="الكل",$G1734,'الداشبورد'!$B$11))</f>
        <v/>
      </c>
      <c r="X1734">
        <f>Q1734*R1734*S1734*T1734*U1734*V1734*W1734*--($C1734&lt;&gt;"")</f>
        <v/>
      </c>
    </row>
    <row r="1735">
      <c r="Q1735">
        <f>--($A1735=IF('الداشبورد'!$B$5="الكل",$A1735,'الداشبورد'!$B$5))</f>
        <v/>
      </c>
      <c r="R1735">
        <f>--($E1735=IF('الداشبورد'!$B$6="الكل",$E1735,'الداشبورد'!$B$6))</f>
        <v/>
      </c>
      <c r="S1735">
        <f>--($K1735=IF('الداشبورد'!$B$7="الكل",$K1735,IF('الداشبورد'!$B$7="تصدير","Y","N")))</f>
        <v/>
      </c>
      <c r="T1735">
        <f>--($J1735=IF('الداشبورد'!$B$8="الكل",$J1735,IF('الداشبورد'!$B$8="AL","A","C")))</f>
        <v/>
      </c>
      <c r="U1735">
        <f>--($I1735=IF('الداشبورد'!$B$9="الكل",$I1735,IF('الداشبورد'!$B$9="بدون حالة","P",'الداشبورد'!$B$9)))</f>
        <v/>
      </c>
      <c r="V1735">
        <f>--($D1735=IF('الداشبورد'!$B$10="الكل",$D1735,'الداشبورد'!$B$10))</f>
        <v/>
      </c>
      <c r="W1735">
        <f>--($G1735=IF('الداشبورد'!$B$11="الكل",$G1735,'الداشبورد'!$B$11))</f>
        <v/>
      </c>
      <c r="X1735">
        <f>Q1735*R1735*S1735*T1735*U1735*V1735*W1735*--($C1735&lt;&gt;"")</f>
        <v/>
      </c>
    </row>
    <row r="1736">
      <c r="Q1736">
        <f>--($A1736=IF('الداشبورد'!$B$5="الكل",$A1736,'الداشبورد'!$B$5))</f>
        <v/>
      </c>
      <c r="R1736">
        <f>--($E1736=IF('الداشبورد'!$B$6="الكل",$E1736,'الداشبورد'!$B$6))</f>
        <v/>
      </c>
      <c r="S1736">
        <f>--($K1736=IF('الداشبورد'!$B$7="الكل",$K1736,IF('الداشبورد'!$B$7="تصدير","Y","N")))</f>
        <v/>
      </c>
      <c r="T1736">
        <f>--($J1736=IF('الداشبورد'!$B$8="الكل",$J1736,IF('الداشبورد'!$B$8="AL","A","C")))</f>
        <v/>
      </c>
      <c r="U1736">
        <f>--($I1736=IF('الداشبورد'!$B$9="الكل",$I1736,IF('الداشبورد'!$B$9="بدون حالة","P",'الداشبورد'!$B$9)))</f>
        <v/>
      </c>
      <c r="V1736">
        <f>--($D1736=IF('الداشبورد'!$B$10="الكل",$D1736,'الداشبورد'!$B$10))</f>
        <v/>
      </c>
      <c r="W1736">
        <f>--($G1736=IF('الداشبورد'!$B$11="الكل",$G1736,'الداشبورد'!$B$11))</f>
        <v/>
      </c>
      <c r="X1736">
        <f>Q1736*R1736*S1736*T1736*U1736*V1736*W1736*--($C1736&lt;&gt;"")</f>
        <v/>
      </c>
    </row>
    <row r="1737">
      <c r="Q1737">
        <f>--($A1737=IF('الداشبورد'!$B$5="الكل",$A1737,'الداشبورد'!$B$5))</f>
        <v/>
      </c>
      <c r="R1737">
        <f>--($E1737=IF('الداشبورد'!$B$6="الكل",$E1737,'الداشبورد'!$B$6))</f>
        <v/>
      </c>
      <c r="S1737">
        <f>--($K1737=IF('الداشبورد'!$B$7="الكل",$K1737,IF('الداشبورد'!$B$7="تصدير","Y","N")))</f>
        <v/>
      </c>
      <c r="T1737">
        <f>--($J1737=IF('الداشبورد'!$B$8="الكل",$J1737,IF('الداشبورد'!$B$8="AL","A","C")))</f>
        <v/>
      </c>
      <c r="U1737">
        <f>--($I1737=IF('الداشبورد'!$B$9="الكل",$I1737,IF('الداشبورد'!$B$9="بدون حالة","P",'الداشبورد'!$B$9)))</f>
        <v/>
      </c>
      <c r="V1737">
        <f>--($D1737=IF('الداشبورد'!$B$10="الكل",$D1737,'الداشبورد'!$B$10))</f>
        <v/>
      </c>
      <c r="W1737">
        <f>--($G1737=IF('الداشبورد'!$B$11="الكل",$G1737,'الداشبورد'!$B$11))</f>
        <v/>
      </c>
      <c r="X1737">
        <f>Q1737*R1737*S1737*T1737*U1737*V1737*W1737*--($C1737&lt;&gt;"")</f>
        <v/>
      </c>
    </row>
    <row r="1738">
      <c r="Q1738">
        <f>--($A1738=IF('الداشبورد'!$B$5="الكل",$A1738,'الداشبورد'!$B$5))</f>
        <v/>
      </c>
      <c r="R1738">
        <f>--($E1738=IF('الداشبورد'!$B$6="الكل",$E1738,'الداشبورد'!$B$6))</f>
        <v/>
      </c>
      <c r="S1738">
        <f>--($K1738=IF('الداشبورد'!$B$7="الكل",$K1738,IF('الداشبورد'!$B$7="تصدير","Y","N")))</f>
        <v/>
      </c>
      <c r="T1738">
        <f>--($J1738=IF('الداشبورد'!$B$8="الكل",$J1738,IF('الداشبورد'!$B$8="AL","A","C")))</f>
        <v/>
      </c>
      <c r="U1738">
        <f>--($I1738=IF('الداشبورد'!$B$9="الكل",$I1738,IF('الداشبورد'!$B$9="بدون حالة","P",'الداشبورد'!$B$9)))</f>
        <v/>
      </c>
      <c r="V1738">
        <f>--($D1738=IF('الداشبورد'!$B$10="الكل",$D1738,'الداشبورد'!$B$10))</f>
        <v/>
      </c>
      <c r="W1738">
        <f>--($G1738=IF('الداشبورد'!$B$11="الكل",$G1738,'الداشبورد'!$B$11))</f>
        <v/>
      </c>
      <c r="X1738">
        <f>Q1738*R1738*S1738*T1738*U1738*V1738*W1738*--($C1738&lt;&gt;"")</f>
        <v/>
      </c>
    </row>
    <row r="1739">
      <c r="Q1739">
        <f>--($A1739=IF('الداشبورد'!$B$5="الكل",$A1739,'الداشبورد'!$B$5))</f>
        <v/>
      </c>
      <c r="R1739">
        <f>--($E1739=IF('الداشبورد'!$B$6="الكل",$E1739,'الداشبورد'!$B$6))</f>
        <v/>
      </c>
      <c r="S1739">
        <f>--($K1739=IF('الداشبورد'!$B$7="الكل",$K1739,IF('الداشبورد'!$B$7="تصدير","Y","N")))</f>
        <v/>
      </c>
      <c r="T1739">
        <f>--($J1739=IF('الداشبورد'!$B$8="الكل",$J1739,IF('الداشبورد'!$B$8="AL","A","C")))</f>
        <v/>
      </c>
      <c r="U1739">
        <f>--($I1739=IF('الداشبورد'!$B$9="الكل",$I1739,IF('الداشبورد'!$B$9="بدون حالة","P",'الداشبورد'!$B$9)))</f>
        <v/>
      </c>
      <c r="V1739">
        <f>--($D1739=IF('الداشبورد'!$B$10="الكل",$D1739,'الداشبورد'!$B$10))</f>
        <v/>
      </c>
      <c r="W1739">
        <f>--($G1739=IF('الداشبورد'!$B$11="الكل",$G1739,'الداشبورد'!$B$11))</f>
        <v/>
      </c>
      <c r="X1739">
        <f>Q1739*R1739*S1739*T1739*U1739*V1739*W1739*--($C1739&lt;&gt;"")</f>
        <v/>
      </c>
    </row>
    <row r="1740">
      <c r="Q1740">
        <f>--($A1740=IF('الداشبورد'!$B$5="الكل",$A1740,'الداشبورد'!$B$5))</f>
        <v/>
      </c>
      <c r="R1740">
        <f>--($E1740=IF('الداشبورد'!$B$6="الكل",$E1740,'الداشبورد'!$B$6))</f>
        <v/>
      </c>
      <c r="S1740">
        <f>--($K1740=IF('الداشبورد'!$B$7="الكل",$K1740,IF('الداشبورد'!$B$7="تصدير","Y","N")))</f>
        <v/>
      </c>
      <c r="T1740">
        <f>--($J1740=IF('الداشبورد'!$B$8="الكل",$J1740,IF('الداشبورد'!$B$8="AL","A","C")))</f>
        <v/>
      </c>
      <c r="U1740">
        <f>--($I1740=IF('الداشبورد'!$B$9="الكل",$I1740,IF('الداشبورد'!$B$9="بدون حالة","P",'الداشبورد'!$B$9)))</f>
        <v/>
      </c>
      <c r="V1740">
        <f>--($D1740=IF('الداشبورد'!$B$10="الكل",$D1740,'الداشبورد'!$B$10))</f>
        <v/>
      </c>
      <c r="W1740">
        <f>--($G1740=IF('الداشبورد'!$B$11="الكل",$G1740,'الداشبورد'!$B$11))</f>
        <v/>
      </c>
      <c r="X1740">
        <f>Q1740*R1740*S1740*T1740*U1740*V1740*W1740*--($C1740&lt;&gt;"")</f>
        <v/>
      </c>
    </row>
    <row r="1741">
      <c r="Q1741">
        <f>--($A1741=IF('الداشبورد'!$B$5="الكل",$A1741,'الداشبورد'!$B$5))</f>
        <v/>
      </c>
      <c r="R1741">
        <f>--($E1741=IF('الداشبورد'!$B$6="الكل",$E1741,'الداشبورد'!$B$6))</f>
        <v/>
      </c>
      <c r="S1741">
        <f>--($K1741=IF('الداشبورد'!$B$7="الكل",$K1741,IF('الداشبورد'!$B$7="تصدير","Y","N")))</f>
        <v/>
      </c>
      <c r="T1741">
        <f>--($J1741=IF('الداشبورد'!$B$8="الكل",$J1741,IF('الداشبورد'!$B$8="AL","A","C")))</f>
        <v/>
      </c>
      <c r="U1741">
        <f>--($I1741=IF('الداشبورد'!$B$9="الكل",$I1741,IF('الداشبورد'!$B$9="بدون حالة","P",'الداشبورد'!$B$9)))</f>
        <v/>
      </c>
      <c r="V1741">
        <f>--($D1741=IF('الداشبورد'!$B$10="الكل",$D1741,'الداشبورد'!$B$10))</f>
        <v/>
      </c>
      <c r="W1741">
        <f>--($G1741=IF('الداشبورد'!$B$11="الكل",$G1741,'الداشبورد'!$B$11))</f>
        <v/>
      </c>
      <c r="X1741">
        <f>Q1741*R1741*S1741*T1741*U1741*V1741*W1741*--($C1741&lt;&gt;"")</f>
        <v/>
      </c>
    </row>
    <row r="1742">
      <c r="Q1742">
        <f>--($A1742=IF('الداشبورد'!$B$5="الكل",$A1742,'الداشبورد'!$B$5))</f>
        <v/>
      </c>
      <c r="R1742">
        <f>--($E1742=IF('الداشبورد'!$B$6="الكل",$E1742,'الداشبورد'!$B$6))</f>
        <v/>
      </c>
      <c r="S1742">
        <f>--($K1742=IF('الداشبورد'!$B$7="الكل",$K1742,IF('الداشبورد'!$B$7="تصدير","Y","N")))</f>
        <v/>
      </c>
      <c r="T1742">
        <f>--($J1742=IF('الداشبورد'!$B$8="الكل",$J1742,IF('الداشبورد'!$B$8="AL","A","C")))</f>
        <v/>
      </c>
      <c r="U1742">
        <f>--($I1742=IF('الداشبورد'!$B$9="الكل",$I1742,IF('الداشبورد'!$B$9="بدون حالة","P",'الداشبورد'!$B$9)))</f>
        <v/>
      </c>
      <c r="V1742">
        <f>--($D1742=IF('الداشبورد'!$B$10="الكل",$D1742,'الداشبورد'!$B$10))</f>
        <v/>
      </c>
      <c r="W1742">
        <f>--($G1742=IF('الداشبورد'!$B$11="الكل",$G1742,'الداشبورد'!$B$11))</f>
        <v/>
      </c>
      <c r="X1742">
        <f>Q1742*R1742*S1742*T1742*U1742*V1742*W1742*--($C1742&lt;&gt;"")</f>
        <v/>
      </c>
    </row>
    <row r="1743">
      <c r="Q1743">
        <f>--($A1743=IF('الداشبورد'!$B$5="الكل",$A1743,'الداشبورد'!$B$5))</f>
        <v/>
      </c>
      <c r="R1743">
        <f>--($E1743=IF('الداشبورد'!$B$6="الكل",$E1743,'الداشبورد'!$B$6))</f>
        <v/>
      </c>
      <c r="S1743">
        <f>--($K1743=IF('الداشبورد'!$B$7="الكل",$K1743,IF('الداشبورد'!$B$7="تصدير","Y","N")))</f>
        <v/>
      </c>
      <c r="T1743">
        <f>--($J1743=IF('الداشبورد'!$B$8="الكل",$J1743,IF('الداشبورد'!$B$8="AL","A","C")))</f>
        <v/>
      </c>
      <c r="U1743">
        <f>--($I1743=IF('الداشبورد'!$B$9="الكل",$I1743,IF('الداشبورد'!$B$9="بدون حالة","P",'الداشبورد'!$B$9)))</f>
        <v/>
      </c>
      <c r="V1743">
        <f>--($D1743=IF('الداشبورد'!$B$10="الكل",$D1743,'الداشبورد'!$B$10))</f>
        <v/>
      </c>
      <c r="W1743">
        <f>--($G1743=IF('الداشبورد'!$B$11="الكل",$G1743,'الداشبورد'!$B$11))</f>
        <v/>
      </c>
      <c r="X1743">
        <f>Q1743*R1743*S1743*T1743*U1743*V1743*W1743*--($C1743&lt;&gt;"")</f>
        <v/>
      </c>
    </row>
    <row r="1744">
      <c r="Q1744">
        <f>--($A1744=IF('الداشبورد'!$B$5="الكل",$A1744,'الداشبورد'!$B$5))</f>
        <v/>
      </c>
      <c r="R1744">
        <f>--($E1744=IF('الداشبورد'!$B$6="الكل",$E1744,'الداشبورد'!$B$6))</f>
        <v/>
      </c>
      <c r="S1744">
        <f>--($K1744=IF('الداشبورد'!$B$7="الكل",$K1744,IF('الداشبورد'!$B$7="تصدير","Y","N")))</f>
        <v/>
      </c>
      <c r="T1744">
        <f>--($J1744=IF('الداشبورد'!$B$8="الكل",$J1744,IF('الداشبورد'!$B$8="AL","A","C")))</f>
        <v/>
      </c>
      <c r="U1744">
        <f>--($I1744=IF('الداشبورد'!$B$9="الكل",$I1744,IF('الداشبورد'!$B$9="بدون حالة","P",'الداشبورد'!$B$9)))</f>
        <v/>
      </c>
      <c r="V1744">
        <f>--($D1744=IF('الداشبورد'!$B$10="الكل",$D1744,'الداشبورد'!$B$10))</f>
        <v/>
      </c>
      <c r="W1744">
        <f>--($G1744=IF('الداشبورد'!$B$11="الكل",$G1744,'الداشبورد'!$B$11))</f>
        <v/>
      </c>
      <c r="X1744">
        <f>Q1744*R1744*S1744*T1744*U1744*V1744*W1744*--($C1744&lt;&gt;"")</f>
        <v/>
      </c>
    </row>
    <row r="1745">
      <c r="Q1745">
        <f>--($A1745=IF('الداشبورد'!$B$5="الكل",$A1745,'الداشبورد'!$B$5))</f>
        <v/>
      </c>
      <c r="R1745">
        <f>--($E1745=IF('الداشبورد'!$B$6="الكل",$E1745,'الداشبورد'!$B$6))</f>
        <v/>
      </c>
      <c r="S1745">
        <f>--($K1745=IF('الداشبورد'!$B$7="الكل",$K1745,IF('الداشبورد'!$B$7="تصدير","Y","N")))</f>
        <v/>
      </c>
      <c r="T1745">
        <f>--($J1745=IF('الداشبورد'!$B$8="الكل",$J1745,IF('الداشبورد'!$B$8="AL","A","C")))</f>
        <v/>
      </c>
      <c r="U1745">
        <f>--($I1745=IF('الداشبورد'!$B$9="الكل",$I1745,IF('الداشبورد'!$B$9="بدون حالة","P",'الداشبورد'!$B$9)))</f>
        <v/>
      </c>
      <c r="V1745">
        <f>--($D1745=IF('الداشبورد'!$B$10="الكل",$D1745,'الداشبورد'!$B$10))</f>
        <v/>
      </c>
      <c r="W1745">
        <f>--($G1745=IF('الداشبورد'!$B$11="الكل",$G1745,'الداشبورد'!$B$11))</f>
        <v/>
      </c>
      <c r="X1745">
        <f>Q1745*R1745*S1745*T1745*U1745*V1745*W1745*--($C1745&lt;&gt;"")</f>
        <v/>
      </c>
    </row>
    <row r="1746">
      <c r="Q1746">
        <f>--($A1746=IF('الداشبورد'!$B$5="الكل",$A1746,'الداشبورد'!$B$5))</f>
        <v/>
      </c>
      <c r="R1746">
        <f>--($E1746=IF('الداشبورد'!$B$6="الكل",$E1746,'الداشبورد'!$B$6))</f>
        <v/>
      </c>
      <c r="S1746">
        <f>--($K1746=IF('الداشبورد'!$B$7="الكل",$K1746,IF('الداشبورد'!$B$7="تصدير","Y","N")))</f>
        <v/>
      </c>
      <c r="T1746">
        <f>--($J1746=IF('الداشبورد'!$B$8="الكل",$J1746,IF('الداشبورد'!$B$8="AL","A","C")))</f>
        <v/>
      </c>
      <c r="U1746">
        <f>--($I1746=IF('الداشبورد'!$B$9="الكل",$I1746,IF('الداشبورد'!$B$9="بدون حالة","P",'الداشبورد'!$B$9)))</f>
        <v/>
      </c>
      <c r="V1746">
        <f>--($D1746=IF('الداشبورد'!$B$10="الكل",$D1746,'الداشبورد'!$B$10))</f>
        <v/>
      </c>
      <c r="W1746">
        <f>--($G1746=IF('الداشبورد'!$B$11="الكل",$G1746,'الداشبورد'!$B$11))</f>
        <v/>
      </c>
      <c r="X1746">
        <f>Q1746*R1746*S1746*T1746*U1746*V1746*W1746*--($C1746&lt;&gt;"")</f>
        <v/>
      </c>
    </row>
    <row r="1747">
      <c r="Q1747">
        <f>--($A1747=IF('الداشبورد'!$B$5="الكل",$A1747,'الداشبورد'!$B$5))</f>
        <v/>
      </c>
      <c r="R1747">
        <f>--($E1747=IF('الداشبورد'!$B$6="الكل",$E1747,'الداشبورد'!$B$6))</f>
        <v/>
      </c>
      <c r="S1747">
        <f>--($K1747=IF('الداشبورد'!$B$7="الكل",$K1747,IF('الداشبورد'!$B$7="تصدير","Y","N")))</f>
        <v/>
      </c>
      <c r="T1747">
        <f>--($J1747=IF('الداشبورد'!$B$8="الكل",$J1747,IF('الداشبورد'!$B$8="AL","A","C")))</f>
        <v/>
      </c>
      <c r="U1747">
        <f>--($I1747=IF('الداشبورد'!$B$9="الكل",$I1747,IF('الداشبورد'!$B$9="بدون حالة","P",'الداشبورد'!$B$9)))</f>
        <v/>
      </c>
      <c r="V1747">
        <f>--($D1747=IF('الداشبورد'!$B$10="الكل",$D1747,'الداشبورد'!$B$10))</f>
        <v/>
      </c>
      <c r="W1747">
        <f>--($G1747=IF('الداشبورد'!$B$11="الكل",$G1747,'الداشبورد'!$B$11))</f>
        <v/>
      </c>
      <c r="X1747">
        <f>Q1747*R1747*S1747*T1747*U1747*V1747*W1747*--($C1747&lt;&gt;"")</f>
        <v/>
      </c>
    </row>
    <row r="1748">
      <c r="Q1748">
        <f>--($A1748=IF('الداشبورد'!$B$5="الكل",$A1748,'الداشبورد'!$B$5))</f>
        <v/>
      </c>
      <c r="R1748">
        <f>--($E1748=IF('الداشبورد'!$B$6="الكل",$E1748,'الداشبورد'!$B$6))</f>
        <v/>
      </c>
      <c r="S1748">
        <f>--($K1748=IF('الداشبورد'!$B$7="الكل",$K1748,IF('الداشبورد'!$B$7="تصدير","Y","N")))</f>
        <v/>
      </c>
      <c r="T1748">
        <f>--($J1748=IF('الداشبورد'!$B$8="الكل",$J1748,IF('الداشبورد'!$B$8="AL","A","C")))</f>
        <v/>
      </c>
      <c r="U1748">
        <f>--($I1748=IF('الداشبورد'!$B$9="الكل",$I1748,IF('الداشبورد'!$B$9="بدون حالة","P",'الداشبورد'!$B$9)))</f>
        <v/>
      </c>
      <c r="V1748">
        <f>--($D1748=IF('الداشبورد'!$B$10="الكل",$D1748,'الداشبورد'!$B$10))</f>
        <v/>
      </c>
      <c r="W1748">
        <f>--($G1748=IF('الداشبورد'!$B$11="الكل",$G1748,'الداشبورد'!$B$11))</f>
        <v/>
      </c>
      <c r="X1748">
        <f>Q1748*R1748*S1748*T1748*U1748*V1748*W1748*--($C1748&lt;&gt;"")</f>
        <v/>
      </c>
    </row>
    <row r="1749">
      <c r="Q1749">
        <f>--($A1749=IF('الداشبورد'!$B$5="الكل",$A1749,'الداشبورد'!$B$5))</f>
        <v/>
      </c>
      <c r="R1749">
        <f>--($E1749=IF('الداشبورد'!$B$6="الكل",$E1749,'الداشبورد'!$B$6))</f>
        <v/>
      </c>
      <c r="S1749">
        <f>--($K1749=IF('الداشبورد'!$B$7="الكل",$K1749,IF('الداشبورد'!$B$7="تصدير","Y","N")))</f>
        <v/>
      </c>
      <c r="T1749">
        <f>--($J1749=IF('الداشبورد'!$B$8="الكل",$J1749,IF('الداشبورد'!$B$8="AL","A","C")))</f>
        <v/>
      </c>
      <c r="U1749">
        <f>--($I1749=IF('الداشبورد'!$B$9="الكل",$I1749,IF('الداشبورد'!$B$9="بدون حالة","P",'الداشبورد'!$B$9)))</f>
        <v/>
      </c>
      <c r="V1749">
        <f>--($D1749=IF('الداشبورد'!$B$10="الكل",$D1749,'الداشبورد'!$B$10))</f>
        <v/>
      </c>
      <c r="W1749">
        <f>--($G1749=IF('الداشبورد'!$B$11="الكل",$G1749,'الداشبورد'!$B$11))</f>
        <v/>
      </c>
      <c r="X1749">
        <f>Q1749*R1749*S1749*T1749*U1749*V1749*W1749*--($C1749&lt;&gt;"")</f>
        <v/>
      </c>
    </row>
    <row r="1750">
      <c r="Q1750">
        <f>--($A1750=IF('الداشبورد'!$B$5="الكل",$A1750,'الداشبورد'!$B$5))</f>
        <v/>
      </c>
      <c r="R1750">
        <f>--($E1750=IF('الداشبورد'!$B$6="الكل",$E1750,'الداشبورد'!$B$6))</f>
        <v/>
      </c>
      <c r="S1750">
        <f>--($K1750=IF('الداشبورد'!$B$7="الكل",$K1750,IF('الداشبورد'!$B$7="تصدير","Y","N")))</f>
        <v/>
      </c>
      <c r="T1750">
        <f>--($J1750=IF('الداشبورد'!$B$8="الكل",$J1750,IF('الداشبورد'!$B$8="AL","A","C")))</f>
        <v/>
      </c>
      <c r="U1750">
        <f>--($I1750=IF('الداشبورد'!$B$9="الكل",$I1750,IF('الداشبورد'!$B$9="بدون حالة","P",'الداشبورد'!$B$9)))</f>
        <v/>
      </c>
      <c r="V1750">
        <f>--($D1750=IF('الداشبورد'!$B$10="الكل",$D1750,'الداشبورد'!$B$10))</f>
        <v/>
      </c>
      <c r="W1750">
        <f>--($G1750=IF('الداشبورد'!$B$11="الكل",$G1750,'الداشبورد'!$B$11))</f>
        <v/>
      </c>
      <c r="X1750">
        <f>Q1750*R1750*S1750*T1750*U1750*V1750*W1750*--($C1750&lt;&gt;"")</f>
        <v/>
      </c>
    </row>
    <row r="1751">
      <c r="Q1751">
        <f>--($A1751=IF('الداشبورد'!$B$5="الكل",$A1751,'الداشبورد'!$B$5))</f>
        <v/>
      </c>
      <c r="R1751">
        <f>--($E1751=IF('الداشبورد'!$B$6="الكل",$E1751,'الداشبورد'!$B$6))</f>
        <v/>
      </c>
      <c r="S1751">
        <f>--($K1751=IF('الداشبورد'!$B$7="الكل",$K1751,IF('الداشبورد'!$B$7="تصدير","Y","N")))</f>
        <v/>
      </c>
      <c r="T1751">
        <f>--($J1751=IF('الداشبورد'!$B$8="الكل",$J1751,IF('الداشبورد'!$B$8="AL","A","C")))</f>
        <v/>
      </c>
      <c r="U1751">
        <f>--($I1751=IF('الداشبورد'!$B$9="الكل",$I1751,IF('الداشبورد'!$B$9="بدون حالة","P",'الداشبورد'!$B$9)))</f>
        <v/>
      </c>
      <c r="V1751">
        <f>--($D1751=IF('الداشبورد'!$B$10="الكل",$D1751,'الداشبورد'!$B$10))</f>
        <v/>
      </c>
      <c r="W1751">
        <f>--($G1751=IF('الداشبورد'!$B$11="الكل",$G1751,'الداشبورد'!$B$11))</f>
        <v/>
      </c>
      <c r="X1751">
        <f>Q1751*R1751*S1751*T1751*U1751*V1751*W1751*--($C1751&lt;&gt;"")</f>
        <v/>
      </c>
    </row>
    <row r="1752">
      <c r="Q1752">
        <f>--($A1752=IF('الداشبورد'!$B$5="الكل",$A1752,'الداشبورد'!$B$5))</f>
        <v/>
      </c>
      <c r="R1752">
        <f>--($E1752=IF('الداشبورد'!$B$6="الكل",$E1752,'الداشبورد'!$B$6))</f>
        <v/>
      </c>
      <c r="S1752">
        <f>--($K1752=IF('الداشبورد'!$B$7="الكل",$K1752,IF('الداشبورد'!$B$7="تصدير","Y","N")))</f>
        <v/>
      </c>
      <c r="T1752">
        <f>--($J1752=IF('الداشبورد'!$B$8="الكل",$J1752,IF('الداشبورد'!$B$8="AL","A","C")))</f>
        <v/>
      </c>
      <c r="U1752">
        <f>--($I1752=IF('الداشبورد'!$B$9="الكل",$I1752,IF('الداشبورد'!$B$9="بدون حالة","P",'الداشبورد'!$B$9)))</f>
        <v/>
      </c>
      <c r="V1752">
        <f>--($D1752=IF('الداشبورد'!$B$10="الكل",$D1752,'الداشبورد'!$B$10))</f>
        <v/>
      </c>
      <c r="W1752">
        <f>--($G1752=IF('الداشبورد'!$B$11="الكل",$G1752,'الداشبورد'!$B$11))</f>
        <v/>
      </c>
      <c r="X1752">
        <f>Q1752*R1752*S1752*T1752*U1752*V1752*W1752*--($C1752&lt;&gt;"")</f>
        <v/>
      </c>
    </row>
    <row r="1753">
      <c r="Q1753">
        <f>--($A1753=IF('الداشبورد'!$B$5="الكل",$A1753,'الداشبورد'!$B$5))</f>
        <v/>
      </c>
      <c r="R1753">
        <f>--($E1753=IF('الداشبورد'!$B$6="الكل",$E1753,'الداشبورد'!$B$6))</f>
        <v/>
      </c>
      <c r="S1753">
        <f>--($K1753=IF('الداشبورد'!$B$7="الكل",$K1753,IF('الداشبورد'!$B$7="تصدير","Y","N")))</f>
        <v/>
      </c>
      <c r="T1753">
        <f>--($J1753=IF('الداشبورد'!$B$8="الكل",$J1753,IF('الداشبورد'!$B$8="AL","A","C")))</f>
        <v/>
      </c>
      <c r="U1753">
        <f>--($I1753=IF('الداشبورد'!$B$9="الكل",$I1753,IF('الداشبورد'!$B$9="بدون حالة","P",'الداشبورد'!$B$9)))</f>
        <v/>
      </c>
      <c r="V1753">
        <f>--($D1753=IF('الداشبورد'!$B$10="الكل",$D1753,'الداشبورد'!$B$10))</f>
        <v/>
      </c>
      <c r="W1753">
        <f>--($G1753=IF('الداشبورد'!$B$11="الكل",$G1753,'الداشبورد'!$B$11))</f>
        <v/>
      </c>
      <c r="X1753">
        <f>Q1753*R1753*S1753*T1753*U1753*V1753*W1753*--($C1753&lt;&gt;"")</f>
        <v/>
      </c>
    </row>
    <row r="1754">
      <c r="Q1754">
        <f>--($A1754=IF('الداشبورد'!$B$5="الكل",$A1754,'الداشبورد'!$B$5))</f>
        <v/>
      </c>
      <c r="R1754">
        <f>--($E1754=IF('الداشبورد'!$B$6="الكل",$E1754,'الداشبورد'!$B$6))</f>
        <v/>
      </c>
      <c r="S1754">
        <f>--($K1754=IF('الداشبورد'!$B$7="الكل",$K1754,IF('الداشبورد'!$B$7="تصدير","Y","N")))</f>
        <v/>
      </c>
      <c r="T1754">
        <f>--($J1754=IF('الداشبورد'!$B$8="الكل",$J1754,IF('الداشبورد'!$B$8="AL","A","C")))</f>
        <v/>
      </c>
      <c r="U1754">
        <f>--($I1754=IF('الداشبورد'!$B$9="الكل",$I1754,IF('الداشبورد'!$B$9="بدون حالة","P",'الداشبورد'!$B$9)))</f>
        <v/>
      </c>
      <c r="V1754">
        <f>--($D1754=IF('الداشبورد'!$B$10="الكل",$D1754,'الداشبورد'!$B$10))</f>
        <v/>
      </c>
      <c r="W1754">
        <f>--($G1754=IF('الداشبورد'!$B$11="الكل",$G1754,'الداشبورد'!$B$11))</f>
        <v/>
      </c>
      <c r="X1754">
        <f>Q1754*R1754*S1754*T1754*U1754*V1754*W1754*--($C1754&lt;&gt;"")</f>
        <v/>
      </c>
    </row>
    <row r="1755">
      <c r="Q1755">
        <f>--($A1755=IF('الداشبورد'!$B$5="الكل",$A1755,'الداشبورد'!$B$5))</f>
        <v/>
      </c>
      <c r="R1755">
        <f>--($E1755=IF('الداشبورد'!$B$6="الكل",$E1755,'الداشبورد'!$B$6))</f>
        <v/>
      </c>
      <c r="S1755">
        <f>--($K1755=IF('الداشبورد'!$B$7="الكل",$K1755,IF('الداشبورد'!$B$7="تصدير","Y","N")))</f>
        <v/>
      </c>
      <c r="T1755">
        <f>--($J1755=IF('الداشبورد'!$B$8="الكل",$J1755,IF('الداشبورد'!$B$8="AL","A","C")))</f>
        <v/>
      </c>
      <c r="U1755">
        <f>--($I1755=IF('الداشبورد'!$B$9="الكل",$I1755,IF('الداشبورد'!$B$9="بدون حالة","P",'الداشبورد'!$B$9)))</f>
        <v/>
      </c>
      <c r="V1755">
        <f>--($D1755=IF('الداشبورد'!$B$10="الكل",$D1755,'الداشبورد'!$B$10))</f>
        <v/>
      </c>
      <c r="W1755">
        <f>--($G1755=IF('الداشبورد'!$B$11="الكل",$G1755,'الداشبورد'!$B$11))</f>
        <v/>
      </c>
      <c r="X1755">
        <f>Q1755*R1755*S1755*T1755*U1755*V1755*W1755*--($C1755&lt;&gt;"")</f>
        <v/>
      </c>
    </row>
    <row r="1756">
      <c r="Q1756">
        <f>--($A1756=IF('الداشبورد'!$B$5="الكل",$A1756,'الداشبورد'!$B$5))</f>
        <v/>
      </c>
      <c r="R1756">
        <f>--($E1756=IF('الداشبورد'!$B$6="الكل",$E1756,'الداشبورد'!$B$6))</f>
        <v/>
      </c>
      <c r="S1756">
        <f>--($K1756=IF('الداشبورد'!$B$7="الكل",$K1756,IF('الداشبورد'!$B$7="تصدير","Y","N")))</f>
        <v/>
      </c>
      <c r="T1756">
        <f>--($J1756=IF('الداشبورد'!$B$8="الكل",$J1756,IF('الداشبورد'!$B$8="AL","A","C")))</f>
        <v/>
      </c>
      <c r="U1756">
        <f>--($I1756=IF('الداشبورد'!$B$9="الكل",$I1756,IF('الداشبورد'!$B$9="بدون حالة","P",'الداشبورد'!$B$9)))</f>
        <v/>
      </c>
      <c r="V1756">
        <f>--($D1756=IF('الداشبورد'!$B$10="الكل",$D1756,'الداشبورد'!$B$10))</f>
        <v/>
      </c>
      <c r="W1756">
        <f>--($G1756=IF('الداشبورد'!$B$11="الكل",$G1756,'الداشبورد'!$B$11))</f>
        <v/>
      </c>
      <c r="X1756">
        <f>Q1756*R1756*S1756*T1756*U1756*V1756*W1756*--($C1756&lt;&gt;"")</f>
        <v/>
      </c>
    </row>
    <row r="1757">
      <c r="Q1757">
        <f>--($A1757=IF('الداشبورد'!$B$5="الكل",$A1757,'الداشبورد'!$B$5))</f>
        <v/>
      </c>
      <c r="R1757">
        <f>--($E1757=IF('الداشبورد'!$B$6="الكل",$E1757,'الداشبورد'!$B$6))</f>
        <v/>
      </c>
      <c r="S1757">
        <f>--($K1757=IF('الداشبورد'!$B$7="الكل",$K1757,IF('الداشبورد'!$B$7="تصدير","Y","N")))</f>
        <v/>
      </c>
      <c r="T1757">
        <f>--($J1757=IF('الداشبورد'!$B$8="الكل",$J1757,IF('الداشبورد'!$B$8="AL","A","C")))</f>
        <v/>
      </c>
      <c r="U1757">
        <f>--($I1757=IF('الداشبورد'!$B$9="الكل",$I1757,IF('الداشبورد'!$B$9="بدون حالة","P",'الداشبورد'!$B$9)))</f>
        <v/>
      </c>
      <c r="V1757">
        <f>--($D1757=IF('الداشبورد'!$B$10="الكل",$D1757,'الداشبورد'!$B$10))</f>
        <v/>
      </c>
      <c r="W1757">
        <f>--($G1757=IF('الداشبورد'!$B$11="الكل",$G1757,'الداشبورد'!$B$11))</f>
        <v/>
      </c>
      <c r="X1757">
        <f>Q1757*R1757*S1757*T1757*U1757*V1757*W1757*--($C1757&lt;&gt;"")</f>
        <v/>
      </c>
    </row>
    <row r="1758">
      <c r="Q1758">
        <f>--($A1758=IF('الداشبورد'!$B$5="الكل",$A1758,'الداشبورد'!$B$5))</f>
        <v/>
      </c>
      <c r="R1758">
        <f>--($E1758=IF('الداشبورد'!$B$6="الكل",$E1758,'الداشبورد'!$B$6))</f>
        <v/>
      </c>
      <c r="S1758">
        <f>--($K1758=IF('الداشبورد'!$B$7="الكل",$K1758,IF('الداشبورد'!$B$7="تصدير","Y","N")))</f>
        <v/>
      </c>
      <c r="T1758">
        <f>--($J1758=IF('الداشبورد'!$B$8="الكل",$J1758,IF('الداشبورد'!$B$8="AL","A","C")))</f>
        <v/>
      </c>
      <c r="U1758">
        <f>--($I1758=IF('الداشبورد'!$B$9="الكل",$I1758,IF('الداشبورد'!$B$9="بدون حالة","P",'الداشبورد'!$B$9)))</f>
        <v/>
      </c>
      <c r="V1758">
        <f>--($D1758=IF('الداشبورد'!$B$10="الكل",$D1758,'الداشبورد'!$B$10))</f>
        <v/>
      </c>
      <c r="W1758">
        <f>--($G1758=IF('الداشبورد'!$B$11="الكل",$G1758,'الداشبورد'!$B$11))</f>
        <v/>
      </c>
      <c r="X1758">
        <f>Q1758*R1758*S1758*T1758*U1758*V1758*W1758*--($C1758&lt;&gt;"")</f>
        <v/>
      </c>
    </row>
    <row r="1759">
      <c r="Q1759">
        <f>--($A1759=IF('الداشبورد'!$B$5="الكل",$A1759,'الداشبورد'!$B$5))</f>
        <v/>
      </c>
      <c r="R1759">
        <f>--($E1759=IF('الداشبورد'!$B$6="الكل",$E1759,'الداشبورد'!$B$6))</f>
        <v/>
      </c>
      <c r="S1759">
        <f>--($K1759=IF('الداشبورد'!$B$7="الكل",$K1759,IF('الداشبورد'!$B$7="تصدير","Y","N")))</f>
        <v/>
      </c>
      <c r="T1759">
        <f>--($J1759=IF('الداشبورد'!$B$8="الكل",$J1759,IF('الداشبورد'!$B$8="AL","A","C")))</f>
        <v/>
      </c>
      <c r="U1759">
        <f>--($I1759=IF('الداشبورد'!$B$9="الكل",$I1759,IF('الداشبورد'!$B$9="بدون حالة","P",'الداشبورد'!$B$9)))</f>
        <v/>
      </c>
      <c r="V1759">
        <f>--($D1759=IF('الداشبورد'!$B$10="الكل",$D1759,'الداشبورد'!$B$10))</f>
        <v/>
      </c>
      <c r="W1759">
        <f>--($G1759=IF('الداشبورد'!$B$11="الكل",$G1759,'الداشبورد'!$B$11))</f>
        <v/>
      </c>
      <c r="X1759">
        <f>Q1759*R1759*S1759*T1759*U1759*V1759*W1759*--($C1759&lt;&gt;"")</f>
        <v/>
      </c>
    </row>
    <row r="1760">
      <c r="Q1760">
        <f>--($A1760=IF('الداشبورد'!$B$5="الكل",$A1760,'الداشبورد'!$B$5))</f>
        <v/>
      </c>
      <c r="R1760">
        <f>--($E1760=IF('الداشبورد'!$B$6="الكل",$E1760,'الداشبورد'!$B$6))</f>
        <v/>
      </c>
      <c r="S1760">
        <f>--($K1760=IF('الداشبورد'!$B$7="الكل",$K1760,IF('الداشبورد'!$B$7="تصدير","Y","N")))</f>
        <v/>
      </c>
      <c r="T1760">
        <f>--($J1760=IF('الداشبورد'!$B$8="الكل",$J1760,IF('الداشبورد'!$B$8="AL","A","C")))</f>
        <v/>
      </c>
      <c r="U1760">
        <f>--($I1760=IF('الداشبورد'!$B$9="الكل",$I1760,IF('الداشبورد'!$B$9="بدون حالة","P",'الداشبورد'!$B$9)))</f>
        <v/>
      </c>
      <c r="V1760">
        <f>--($D1760=IF('الداشبورد'!$B$10="الكل",$D1760,'الداشبورد'!$B$10))</f>
        <v/>
      </c>
      <c r="W1760">
        <f>--($G1760=IF('الداشبورد'!$B$11="الكل",$G1760,'الداشبورد'!$B$11))</f>
        <v/>
      </c>
      <c r="X1760">
        <f>Q1760*R1760*S1760*T1760*U1760*V1760*W1760*--($C1760&lt;&gt;"")</f>
        <v/>
      </c>
    </row>
    <row r="1761">
      <c r="Q1761">
        <f>--($A1761=IF('الداشبورد'!$B$5="الكل",$A1761,'الداشبورد'!$B$5))</f>
        <v/>
      </c>
      <c r="R1761">
        <f>--($E1761=IF('الداشبورد'!$B$6="الكل",$E1761,'الداشبورد'!$B$6))</f>
        <v/>
      </c>
      <c r="S1761">
        <f>--($K1761=IF('الداشبورد'!$B$7="الكل",$K1761,IF('الداشبورد'!$B$7="تصدير","Y","N")))</f>
        <v/>
      </c>
      <c r="T1761">
        <f>--($J1761=IF('الداشبورد'!$B$8="الكل",$J1761,IF('الداشبورد'!$B$8="AL","A","C")))</f>
        <v/>
      </c>
      <c r="U1761">
        <f>--($I1761=IF('الداشبورد'!$B$9="الكل",$I1761,IF('الداشبورد'!$B$9="بدون حالة","P",'الداشبورد'!$B$9)))</f>
        <v/>
      </c>
      <c r="V1761">
        <f>--($D1761=IF('الداشبورد'!$B$10="الكل",$D1761,'الداشبورد'!$B$10))</f>
        <v/>
      </c>
      <c r="W1761">
        <f>--($G1761=IF('الداشبورد'!$B$11="الكل",$G1761,'الداشبورد'!$B$11))</f>
        <v/>
      </c>
      <c r="X1761">
        <f>Q1761*R1761*S1761*T1761*U1761*V1761*W1761*--($C1761&lt;&gt;"")</f>
        <v/>
      </c>
    </row>
    <row r="1762">
      <c r="Q1762">
        <f>--($A1762=IF('الداشبورد'!$B$5="الكل",$A1762,'الداشبورد'!$B$5))</f>
        <v/>
      </c>
      <c r="R1762">
        <f>--($E1762=IF('الداشبورد'!$B$6="الكل",$E1762,'الداشبورد'!$B$6))</f>
        <v/>
      </c>
      <c r="S1762">
        <f>--($K1762=IF('الداشبورد'!$B$7="الكل",$K1762,IF('الداشبورد'!$B$7="تصدير","Y","N")))</f>
        <v/>
      </c>
      <c r="T1762">
        <f>--($J1762=IF('الداشبورد'!$B$8="الكل",$J1762,IF('الداشبورد'!$B$8="AL","A","C")))</f>
        <v/>
      </c>
      <c r="U1762">
        <f>--($I1762=IF('الداشبورد'!$B$9="الكل",$I1762,IF('الداشبورد'!$B$9="بدون حالة","P",'الداشبورد'!$B$9)))</f>
        <v/>
      </c>
      <c r="V1762">
        <f>--($D1762=IF('الداشبورد'!$B$10="الكل",$D1762,'الداشبورد'!$B$10))</f>
        <v/>
      </c>
      <c r="W1762">
        <f>--($G1762=IF('الداشبورد'!$B$11="الكل",$G1762,'الداشبورد'!$B$11))</f>
        <v/>
      </c>
      <c r="X1762">
        <f>Q1762*R1762*S1762*T1762*U1762*V1762*W1762*--($C1762&lt;&gt;"")</f>
        <v/>
      </c>
    </row>
    <row r="1763">
      <c r="Q1763">
        <f>--($A1763=IF('الداشبورد'!$B$5="الكل",$A1763,'الداشبورد'!$B$5))</f>
        <v/>
      </c>
      <c r="R1763">
        <f>--($E1763=IF('الداشبورد'!$B$6="الكل",$E1763,'الداشبورد'!$B$6))</f>
        <v/>
      </c>
      <c r="S1763">
        <f>--($K1763=IF('الداشبورد'!$B$7="الكل",$K1763,IF('الداشبورد'!$B$7="تصدير","Y","N")))</f>
        <v/>
      </c>
      <c r="T1763">
        <f>--($J1763=IF('الداشبورد'!$B$8="الكل",$J1763,IF('الداشبورد'!$B$8="AL","A","C")))</f>
        <v/>
      </c>
      <c r="U1763">
        <f>--($I1763=IF('الداشبورد'!$B$9="الكل",$I1763,IF('الداشبورد'!$B$9="بدون حالة","P",'الداشبورد'!$B$9)))</f>
        <v/>
      </c>
      <c r="V1763">
        <f>--($D1763=IF('الداشبورد'!$B$10="الكل",$D1763,'الداشبورد'!$B$10))</f>
        <v/>
      </c>
      <c r="W1763">
        <f>--($G1763=IF('الداشبورد'!$B$11="الكل",$G1763,'الداشبورد'!$B$11))</f>
        <v/>
      </c>
      <c r="X1763">
        <f>Q1763*R1763*S1763*T1763*U1763*V1763*W1763*--($C1763&lt;&gt;"")</f>
        <v/>
      </c>
    </row>
    <row r="1764">
      <c r="Q1764">
        <f>--($A1764=IF('الداشبورد'!$B$5="الكل",$A1764,'الداشبورد'!$B$5))</f>
        <v/>
      </c>
      <c r="R1764">
        <f>--($E1764=IF('الداشبورد'!$B$6="الكل",$E1764,'الداشبورد'!$B$6))</f>
        <v/>
      </c>
      <c r="S1764">
        <f>--($K1764=IF('الداشبورد'!$B$7="الكل",$K1764,IF('الداشبورد'!$B$7="تصدير","Y","N")))</f>
        <v/>
      </c>
      <c r="T1764">
        <f>--($J1764=IF('الداشبورد'!$B$8="الكل",$J1764,IF('الداشبورد'!$B$8="AL","A","C")))</f>
        <v/>
      </c>
      <c r="U1764">
        <f>--($I1764=IF('الداشبورد'!$B$9="الكل",$I1764,IF('الداشبورد'!$B$9="بدون حالة","P",'الداشبورد'!$B$9)))</f>
        <v/>
      </c>
      <c r="V1764">
        <f>--($D1764=IF('الداشبورد'!$B$10="الكل",$D1764,'الداشبورد'!$B$10))</f>
        <v/>
      </c>
      <c r="W1764">
        <f>--($G1764=IF('الداشبورد'!$B$11="الكل",$G1764,'الداشبورد'!$B$11))</f>
        <v/>
      </c>
      <c r="X1764">
        <f>Q1764*R1764*S1764*T1764*U1764*V1764*W1764*--($C1764&lt;&gt;"")</f>
        <v/>
      </c>
    </row>
    <row r="1765">
      <c r="Q1765">
        <f>--($A1765=IF('الداشبورد'!$B$5="الكل",$A1765,'الداشبورد'!$B$5))</f>
        <v/>
      </c>
      <c r="R1765">
        <f>--($E1765=IF('الداشبورد'!$B$6="الكل",$E1765,'الداشبورد'!$B$6))</f>
        <v/>
      </c>
      <c r="S1765">
        <f>--($K1765=IF('الداشبورد'!$B$7="الكل",$K1765,IF('الداشبورد'!$B$7="تصدير","Y","N")))</f>
        <v/>
      </c>
      <c r="T1765">
        <f>--($J1765=IF('الداشبورد'!$B$8="الكل",$J1765,IF('الداشبورد'!$B$8="AL","A","C")))</f>
        <v/>
      </c>
      <c r="U1765">
        <f>--($I1765=IF('الداشبورد'!$B$9="الكل",$I1765,IF('الداشبورد'!$B$9="بدون حالة","P",'الداشبورد'!$B$9)))</f>
        <v/>
      </c>
      <c r="V1765">
        <f>--($D1765=IF('الداشبورد'!$B$10="الكل",$D1765,'الداشبورد'!$B$10))</f>
        <v/>
      </c>
      <c r="W1765">
        <f>--($G1765=IF('الداشبورد'!$B$11="الكل",$G1765,'الداشبورد'!$B$11))</f>
        <v/>
      </c>
      <c r="X1765">
        <f>Q1765*R1765*S1765*T1765*U1765*V1765*W1765*--($C1765&lt;&gt;"")</f>
        <v/>
      </c>
    </row>
    <row r="1766">
      <c r="Q1766">
        <f>--($A1766=IF('الداشبورد'!$B$5="الكل",$A1766,'الداشبورد'!$B$5))</f>
        <v/>
      </c>
      <c r="R1766">
        <f>--($E1766=IF('الداشبورد'!$B$6="الكل",$E1766,'الداشبورد'!$B$6))</f>
        <v/>
      </c>
      <c r="S1766">
        <f>--($K1766=IF('الداشبورد'!$B$7="الكل",$K1766,IF('الداشبورد'!$B$7="تصدير","Y","N")))</f>
        <v/>
      </c>
      <c r="T1766">
        <f>--($J1766=IF('الداشبورد'!$B$8="الكل",$J1766,IF('الداشبورد'!$B$8="AL","A","C")))</f>
        <v/>
      </c>
      <c r="U1766">
        <f>--($I1766=IF('الداشبورد'!$B$9="الكل",$I1766,IF('الداشبورد'!$B$9="بدون حالة","P",'الداشبورد'!$B$9)))</f>
        <v/>
      </c>
      <c r="V1766">
        <f>--($D1766=IF('الداشبورد'!$B$10="الكل",$D1766,'الداشبورد'!$B$10))</f>
        <v/>
      </c>
      <c r="W1766">
        <f>--($G1766=IF('الداشبورد'!$B$11="الكل",$G1766,'الداشبورد'!$B$11))</f>
        <v/>
      </c>
      <c r="X1766">
        <f>Q1766*R1766*S1766*T1766*U1766*V1766*W1766*--($C1766&lt;&gt;"")</f>
        <v/>
      </c>
    </row>
    <row r="1767">
      <c r="Q1767">
        <f>--($A1767=IF('الداشبورد'!$B$5="الكل",$A1767,'الداشبورد'!$B$5))</f>
        <v/>
      </c>
      <c r="R1767">
        <f>--($E1767=IF('الداشبورد'!$B$6="الكل",$E1767,'الداشبورد'!$B$6))</f>
        <v/>
      </c>
      <c r="S1767">
        <f>--($K1767=IF('الداشبورد'!$B$7="الكل",$K1767,IF('الداشبورد'!$B$7="تصدير","Y","N")))</f>
        <v/>
      </c>
      <c r="T1767">
        <f>--($J1767=IF('الداشبورد'!$B$8="الكل",$J1767,IF('الداشبورد'!$B$8="AL","A","C")))</f>
        <v/>
      </c>
      <c r="U1767">
        <f>--($I1767=IF('الداشبورد'!$B$9="الكل",$I1767,IF('الداشبورد'!$B$9="بدون حالة","P",'الداشبورد'!$B$9)))</f>
        <v/>
      </c>
      <c r="V1767">
        <f>--($D1767=IF('الداشبورد'!$B$10="الكل",$D1767,'الداشبورد'!$B$10))</f>
        <v/>
      </c>
      <c r="W1767">
        <f>--($G1767=IF('الداشبورد'!$B$11="الكل",$G1767,'الداشبورد'!$B$11))</f>
        <v/>
      </c>
      <c r="X1767">
        <f>Q1767*R1767*S1767*T1767*U1767*V1767*W1767*--($C1767&lt;&gt;"")</f>
        <v/>
      </c>
    </row>
    <row r="1768">
      <c r="Q1768">
        <f>--($A1768=IF('الداشبورد'!$B$5="الكل",$A1768,'الداشبورد'!$B$5))</f>
        <v/>
      </c>
      <c r="R1768">
        <f>--($E1768=IF('الداشبورد'!$B$6="الكل",$E1768,'الداشبورد'!$B$6))</f>
        <v/>
      </c>
      <c r="S1768">
        <f>--($K1768=IF('الداشبورد'!$B$7="الكل",$K1768,IF('الداشبورد'!$B$7="تصدير","Y","N")))</f>
        <v/>
      </c>
      <c r="T1768">
        <f>--($J1768=IF('الداشبورد'!$B$8="الكل",$J1768,IF('الداشبورد'!$B$8="AL","A","C")))</f>
        <v/>
      </c>
      <c r="U1768">
        <f>--($I1768=IF('الداشبورد'!$B$9="الكل",$I1768,IF('الداشبورد'!$B$9="بدون حالة","P",'الداشبورد'!$B$9)))</f>
        <v/>
      </c>
      <c r="V1768">
        <f>--($D1768=IF('الداشبورد'!$B$10="الكل",$D1768,'الداشبورد'!$B$10))</f>
        <v/>
      </c>
      <c r="W1768">
        <f>--($G1768=IF('الداشبورد'!$B$11="الكل",$G1768,'الداشبورد'!$B$11))</f>
        <v/>
      </c>
      <c r="X1768">
        <f>Q1768*R1768*S1768*T1768*U1768*V1768*W1768*--($C1768&lt;&gt;"")</f>
        <v/>
      </c>
    </row>
    <row r="1769">
      <c r="Q1769">
        <f>--($A1769=IF('الداشبورد'!$B$5="الكل",$A1769,'الداشبورد'!$B$5))</f>
        <v/>
      </c>
      <c r="R1769">
        <f>--($E1769=IF('الداشبورد'!$B$6="الكل",$E1769,'الداشبورد'!$B$6))</f>
        <v/>
      </c>
      <c r="S1769">
        <f>--($K1769=IF('الداشبورد'!$B$7="الكل",$K1769,IF('الداشبورد'!$B$7="تصدير","Y","N")))</f>
        <v/>
      </c>
      <c r="T1769">
        <f>--($J1769=IF('الداشبورد'!$B$8="الكل",$J1769,IF('الداشبورد'!$B$8="AL","A","C")))</f>
        <v/>
      </c>
      <c r="U1769">
        <f>--($I1769=IF('الداشبورد'!$B$9="الكل",$I1769,IF('الداشبورد'!$B$9="بدون حالة","P",'الداشبورد'!$B$9)))</f>
        <v/>
      </c>
      <c r="V1769">
        <f>--($D1769=IF('الداشبورد'!$B$10="الكل",$D1769,'الداشبورد'!$B$10))</f>
        <v/>
      </c>
      <c r="W1769">
        <f>--($G1769=IF('الداشبورد'!$B$11="الكل",$G1769,'الداشبورد'!$B$11))</f>
        <v/>
      </c>
      <c r="X1769">
        <f>Q1769*R1769*S1769*T1769*U1769*V1769*W1769*--($C1769&lt;&gt;"")</f>
        <v/>
      </c>
    </row>
    <row r="1770">
      <c r="Q1770">
        <f>--($A1770=IF('الداشبورد'!$B$5="الكل",$A1770,'الداشبورد'!$B$5))</f>
        <v/>
      </c>
      <c r="R1770">
        <f>--($E1770=IF('الداشبورد'!$B$6="الكل",$E1770,'الداشبورد'!$B$6))</f>
        <v/>
      </c>
      <c r="S1770">
        <f>--($K1770=IF('الداشبورد'!$B$7="الكل",$K1770,IF('الداشبورد'!$B$7="تصدير","Y","N")))</f>
        <v/>
      </c>
      <c r="T1770">
        <f>--($J1770=IF('الداشبورد'!$B$8="الكل",$J1770,IF('الداشبورد'!$B$8="AL","A","C")))</f>
        <v/>
      </c>
      <c r="U1770">
        <f>--($I1770=IF('الداشبورد'!$B$9="الكل",$I1770,IF('الداشبورد'!$B$9="بدون حالة","P",'الداشبورد'!$B$9)))</f>
        <v/>
      </c>
      <c r="V1770">
        <f>--($D1770=IF('الداشبورد'!$B$10="الكل",$D1770,'الداشبورد'!$B$10))</f>
        <v/>
      </c>
      <c r="W1770">
        <f>--($G1770=IF('الداشبورد'!$B$11="الكل",$G1770,'الداشبورد'!$B$11))</f>
        <v/>
      </c>
      <c r="X1770">
        <f>Q1770*R1770*S1770*T1770*U1770*V1770*W1770*--($C1770&lt;&gt;"")</f>
        <v/>
      </c>
    </row>
    <row r="1771">
      <c r="Q1771">
        <f>--($A1771=IF('الداشبورد'!$B$5="الكل",$A1771,'الداشبورد'!$B$5))</f>
        <v/>
      </c>
      <c r="R1771">
        <f>--($E1771=IF('الداشبورد'!$B$6="الكل",$E1771,'الداشبورد'!$B$6))</f>
        <v/>
      </c>
      <c r="S1771">
        <f>--($K1771=IF('الداشبورد'!$B$7="الكل",$K1771,IF('الداشبورد'!$B$7="تصدير","Y","N")))</f>
        <v/>
      </c>
      <c r="T1771">
        <f>--($J1771=IF('الداشبورد'!$B$8="الكل",$J1771,IF('الداشبورد'!$B$8="AL","A","C")))</f>
        <v/>
      </c>
      <c r="U1771">
        <f>--($I1771=IF('الداشبورد'!$B$9="الكل",$I1771,IF('الداشبورد'!$B$9="بدون حالة","P",'الداشبورد'!$B$9)))</f>
        <v/>
      </c>
      <c r="V1771">
        <f>--($D1771=IF('الداشبورد'!$B$10="الكل",$D1771,'الداشبورد'!$B$10))</f>
        <v/>
      </c>
      <c r="W1771">
        <f>--($G1771=IF('الداشبورد'!$B$11="الكل",$G1771,'الداشبورد'!$B$11))</f>
        <v/>
      </c>
      <c r="X1771">
        <f>Q1771*R1771*S1771*T1771*U1771*V1771*W1771*--($C1771&lt;&gt;"")</f>
        <v/>
      </c>
    </row>
    <row r="1772">
      <c r="Q1772">
        <f>--($A1772=IF('الداشبورد'!$B$5="الكل",$A1772,'الداشبورد'!$B$5))</f>
        <v/>
      </c>
      <c r="R1772">
        <f>--($E1772=IF('الداشبورد'!$B$6="الكل",$E1772,'الداشبورد'!$B$6))</f>
        <v/>
      </c>
      <c r="S1772">
        <f>--($K1772=IF('الداشبورد'!$B$7="الكل",$K1772,IF('الداشبورد'!$B$7="تصدير","Y","N")))</f>
        <v/>
      </c>
      <c r="T1772">
        <f>--($J1772=IF('الداشبورد'!$B$8="الكل",$J1772,IF('الداشبورد'!$B$8="AL","A","C")))</f>
        <v/>
      </c>
      <c r="U1772">
        <f>--($I1772=IF('الداشبورد'!$B$9="الكل",$I1772,IF('الداشبورد'!$B$9="بدون حالة","P",'الداشبورد'!$B$9)))</f>
        <v/>
      </c>
      <c r="V1772">
        <f>--($D1772=IF('الداشبورد'!$B$10="الكل",$D1772,'الداشبورد'!$B$10))</f>
        <v/>
      </c>
      <c r="W1772">
        <f>--($G1772=IF('الداشبورد'!$B$11="الكل",$G1772,'الداشبورد'!$B$11))</f>
        <v/>
      </c>
      <c r="X1772">
        <f>Q1772*R1772*S1772*T1772*U1772*V1772*W1772*--($C1772&lt;&gt;"")</f>
        <v/>
      </c>
    </row>
    <row r="1773">
      <c r="Q1773">
        <f>--($A1773=IF('الداشبورد'!$B$5="الكل",$A1773,'الداشبورد'!$B$5))</f>
        <v/>
      </c>
      <c r="R1773">
        <f>--($E1773=IF('الداشبورد'!$B$6="الكل",$E1773,'الداشبورد'!$B$6))</f>
        <v/>
      </c>
      <c r="S1773">
        <f>--($K1773=IF('الداشبورد'!$B$7="الكل",$K1773,IF('الداشبورد'!$B$7="تصدير","Y","N")))</f>
        <v/>
      </c>
      <c r="T1773">
        <f>--($J1773=IF('الداشبورد'!$B$8="الكل",$J1773,IF('الداشبورد'!$B$8="AL","A","C")))</f>
        <v/>
      </c>
      <c r="U1773">
        <f>--($I1773=IF('الداشبورد'!$B$9="الكل",$I1773,IF('الداشبورد'!$B$9="بدون حالة","P",'الداشبورد'!$B$9)))</f>
        <v/>
      </c>
      <c r="V1773">
        <f>--($D1773=IF('الداشبورد'!$B$10="الكل",$D1773,'الداشبورد'!$B$10))</f>
        <v/>
      </c>
      <c r="W1773">
        <f>--($G1773=IF('الداشبورد'!$B$11="الكل",$G1773,'الداشبورد'!$B$11))</f>
        <v/>
      </c>
      <c r="X1773">
        <f>Q1773*R1773*S1773*T1773*U1773*V1773*W1773*--($C1773&lt;&gt;"")</f>
        <v/>
      </c>
    </row>
    <row r="1774">
      <c r="Q1774">
        <f>--($A1774=IF('الداشبورد'!$B$5="الكل",$A1774,'الداشبورد'!$B$5))</f>
        <v/>
      </c>
      <c r="R1774">
        <f>--($E1774=IF('الداشبورد'!$B$6="الكل",$E1774,'الداشبورد'!$B$6))</f>
        <v/>
      </c>
      <c r="S1774">
        <f>--($K1774=IF('الداشبورد'!$B$7="الكل",$K1774,IF('الداشبورد'!$B$7="تصدير","Y","N")))</f>
        <v/>
      </c>
      <c r="T1774">
        <f>--($J1774=IF('الداشبورد'!$B$8="الكل",$J1774,IF('الداشبورد'!$B$8="AL","A","C")))</f>
        <v/>
      </c>
      <c r="U1774">
        <f>--($I1774=IF('الداشبورد'!$B$9="الكل",$I1774,IF('الداشبورد'!$B$9="بدون حالة","P",'الداشبورد'!$B$9)))</f>
        <v/>
      </c>
      <c r="V1774">
        <f>--($D1774=IF('الداشبورد'!$B$10="الكل",$D1774,'الداشبورد'!$B$10))</f>
        <v/>
      </c>
      <c r="W1774">
        <f>--($G1774=IF('الداشبورد'!$B$11="الكل",$G1774,'الداشبورد'!$B$11))</f>
        <v/>
      </c>
      <c r="X1774">
        <f>Q1774*R1774*S1774*T1774*U1774*V1774*W1774*--($C1774&lt;&gt;"")</f>
        <v/>
      </c>
    </row>
    <row r="1775">
      <c r="Q1775">
        <f>--($A1775=IF('الداشبورد'!$B$5="الكل",$A1775,'الداشبورد'!$B$5))</f>
        <v/>
      </c>
      <c r="R1775">
        <f>--($E1775=IF('الداشبورد'!$B$6="الكل",$E1775,'الداشبورد'!$B$6))</f>
        <v/>
      </c>
      <c r="S1775">
        <f>--($K1775=IF('الداشبورد'!$B$7="الكل",$K1775,IF('الداشبورد'!$B$7="تصدير","Y","N")))</f>
        <v/>
      </c>
      <c r="T1775">
        <f>--($J1775=IF('الداشبورد'!$B$8="الكل",$J1775,IF('الداشبورد'!$B$8="AL","A","C")))</f>
        <v/>
      </c>
      <c r="U1775">
        <f>--($I1775=IF('الداشبورد'!$B$9="الكل",$I1775,IF('الداشبورد'!$B$9="بدون حالة","P",'الداشبورد'!$B$9)))</f>
        <v/>
      </c>
      <c r="V1775">
        <f>--($D1775=IF('الداشبورد'!$B$10="الكل",$D1775,'الداشبورد'!$B$10))</f>
        <v/>
      </c>
      <c r="W1775">
        <f>--($G1775=IF('الداشبورد'!$B$11="الكل",$G1775,'الداشبورد'!$B$11))</f>
        <v/>
      </c>
      <c r="X1775">
        <f>Q1775*R1775*S1775*T1775*U1775*V1775*W1775*--($C1775&lt;&gt;"")</f>
        <v/>
      </c>
    </row>
    <row r="1776">
      <c r="Q1776">
        <f>--($A1776=IF('الداشبورد'!$B$5="الكل",$A1776,'الداشبورد'!$B$5))</f>
        <v/>
      </c>
      <c r="R1776">
        <f>--($E1776=IF('الداشبورد'!$B$6="الكل",$E1776,'الداشبورد'!$B$6))</f>
        <v/>
      </c>
      <c r="S1776">
        <f>--($K1776=IF('الداشبورد'!$B$7="الكل",$K1776,IF('الداشبورد'!$B$7="تصدير","Y","N")))</f>
        <v/>
      </c>
      <c r="T1776">
        <f>--($J1776=IF('الداشبورد'!$B$8="الكل",$J1776,IF('الداشبورد'!$B$8="AL","A","C")))</f>
        <v/>
      </c>
      <c r="U1776">
        <f>--($I1776=IF('الداشبورد'!$B$9="الكل",$I1776,IF('الداشبورد'!$B$9="بدون حالة","P",'الداشبورد'!$B$9)))</f>
        <v/>
      </c>
      <c r="V1776">
        <f>--($D1776=IF('الداشبورد'!$B$10="الكل",$D1776,'الداشبورد'!$B$10))</f>
        <v/>
      </c>
      <c r="W1776">
        <f>--($G1776=IF('الداشبورد'!$B$11="الكل",$G1776,'الداشبورد'!$B$11))</f>
        <v/>
      </c>
      <c r="X1776">
        <f>Q1776*R1776*S1776*T1776*U1776*V1776*W1776*--($C1776&lt;&gt;"")</f>
        <v/>
      </c>
    </row>
    <row r="1777">
      <c r="Q1777">
        <f>--($A1777=IF('الداشبورد'!$B$5="الكل",$A1777,'الداشبورد'!$B$5))</f>
        <v/>
      </c>
      <c r="R1777">
        <f>--($E1777=IF('الداشبورد'!$B$6="الكل",$E1777,'الداشبورد'!$B$6))</f>
        <v/>
      </c>
      <c r="S1777">
        <f>--($K1777=IF('الداشبورد'!$B$7="الكل",$K1777,IF('الداشبورد'!$B$7="تصدير","Y","N")))</f>
        <v/>
      </c>
      <c r="T1777">
        <f>--($J1777=IF('الداشبورد'!$B$8="الكل",$J1777,IF('الداشبورد'!$B$8="AL","A","C")))</f>
        <v/>
      </c>
      <c r="U1777">
        <f>--($I1777=IF('الداشبورد'!$B$9="الكل",$I1777,IF('الداشبورد'!$B$9="بدون حالة","P",'الداشبورد'!$B$9)))</f>
        <v/>
      </c>
      <c r="V1777">
        <f>--($D1777=IF('الداشبورد'!$B$10="الكل",$D1777,'الداشبورد'!$B$10))</f>
        <v/>
      </c>
      <c r="W1777">
        <f>--($G1777=IF('الداشبورد'!$B$11="الكل",$G1777,'الداشبورد'!$B$11))</f>
        <v/>
      </c>
      <c r="X1777">
        <f>Q1777*R1777*S1777*T1777*U1777*V1777*W1777*--($C1777&lt;&gt;"")</f>
        <v/>
      </c>
    </row>
    <row r="1778">
      <c r="Q1778">
        <f>--($A1778=IF('الداشبورد'!$B$5="الكل",$A1778,'الداشبورد'!$B$5))</f>
        <v/>
      </c>
      <c r="R1778">
        <f>--($E1778=IF('الداشبورد'!$B$6="الكل",$E1778,'الداشبورد'!$B$6))</f>
        <v/>
      </c>
      <c r="S1778">
        <f>--($K1778=IF('الداشبورد'!$B$7="الكل",$K1778,IF('الداشبورد'!$B$7="تصدير","Y","N")))</f>
        <v/>
      </c>
      <c r="T1778">
        <f>--($J1778=IF('الداشبورد'!$B$8="الكل",$J1778,IF('الداشبورد'!$B$8="AL","A","C")))</f>
        <v/>
      </c>
      <c r="U1778">
        <f>--($I1778=IF('الداشبورد'!$B$9="الكل",$I1778,IF('الداشبورد'!$B$9="بدون حالة","P",'الداشبورد'!$B$9)))</f>
        <v/>
      </c>
      <c r="V1778">
        <f>--($D1778=IF('الداشبورد'!$B$10="الكل",$D1778,'الداشبورد'!$B$10))</f>
        <v/>
      </c>
      <c r="W1778">
        <f>--($G1778=IF('الداشبورد'!$B$11="الكل",$G1778,'الداشبورد'!$B$11))</f>
        <v/>
      </c>
      <c r="X1778">
        <f>Q1778*R1778*S1778*T1778*U1778*V1778*W1778*--($C1778&lt;&gt;"")</f>
        <v/>
      </c>
    </row>
    <row r="1779">
      <c r="Q1779">
        <f>--($A1779=IF('الداشبورد'!$B$5="الكل",$A1779,'الداشبورد'!$B$5))</f>
        <v/>
      </c>
      <c r="R1779">
        <f>--($E1779=IF('الداشبورد'!$B$6="الكل",$E1779,'الداشبورد'!$B$6))</f>
        <v/>
      </c>
      <c r="S1779">
        <f>--($K1779=IF('الداشبورد'!$B$7="الكل",$K1779,IF('الداشبورد'!$B$7="تصدير","Y","N")))</f>
        <v/>
      </c>
      <c r="T1779">
        <f>--($J1779=IF('الداشبورد'!$B$8="الكل",$J1779,IF('الداشبورد'!$B$8="AL","A","C")))</f>
        <v/>
      </c>
      <c r="U1779">
        <f>--($I1779=IF('الداشبورد'!$B$9="الكل",$I1779,IF('الداشبورد'!$B$9="بدون حالة","P",'الداشبورد'!$B$9)))</f>
        <v/>
      </c>
      <c r="V1779">
        <f>--($D1779=IF('الداشبورد'!$B$10="الكل",$D1779,'الداشبورد'!$B$10))</f>
        <v/>
      </c>
      <c r="W1779">
        <f>--($G1779=IF('الداشبورد'!$B$11="الكل",$G1779,'الداشبورد'!$B$11))</f>
        <v/>
      </c>
      <c r="X1779">
        <f>Q1779*R1779*S1779*T1779*U1779*V1779*W1779*--($C1779&lt;&gt;"")</f>
        <v/>
      </c>
    </row>
    <row r="1780">
      <c r="Q1780">
        <f>--($A1780=IF('الداشبورد'!$B$5="الكل",$A1780,'الداشبورد'!$B$5))</f>
        <v/>
      </c>
      <c r="R1780">
        <f>--($E1780=IF('الداشبورد'!$B$6="الكل",$E1780,'الداشبورد'!$B$6))</f>
        <v/>
      </c>
      <c r="S1780">
        <f>--($K1780=IF('الداشبورد'!$B$7="الكل",$K1780,IF('الداشبورد'!$B$7="تصدير","Y","N")))</f>
        <v/>
      </c>
      <c r="T1780">
        <f>--($J1780=IF('الداشبورد'!$B$8="الكل",$J1780,IF('الداشبورد'!$B$8="AL","A","C")))</f>
        <v/>
      </c>
      <c r="U1780">
        <f>--($I1780=IF('الداشبورد'!$B$9="الكل",$I1780,IF('الداشبورد'!$B$9="بدون حالة","P",'الداشبورد'!$B$9)))</f>
        <v/>
      </c>
      <c r="V1780">
        <f>--($D1780=IF('الداشبورد'!$B$10="الكل",$D1780,'الداشبورد'!$B$10))</f>
        <v/>
      </c>
      <c r="W1780">
        <f>--($G1780=IF('الداشبورد'!$B$11="الكل",$G1780,'الداشبورد'!$B$11))</f>
        <v/>
      </c>
      <c r="X1780">
        <f>Q1780*R1780*S1780*T1780*U1780*V1780*W1780*--($C1780&lt;&gt;"")</f>
        <v/>
      </c>
    </row>
    <row r="1781">
      <c r="Q1781">
        <f>--($A1781=IF('الداشبورد'!$B$5="الكل",$A1781,'الداشبورد'!$B$5))</f>
        <v/>
      </c>
      <c r="R1781">
        <f>--($E1781=IF('الداشبورد'!$B$6="الكل",$E1781,'الداشبورد'!$B$6))</f>
        <v/>
      </c>
      <c r="S1781">
        <f>--($K1781=IF('الداشبورد'!$B$7="الكل",$K1781,IF('الداشبورد'!$B$7="تصدير","Y","N")))</f>
        <v/>
      </c>
      <c r="T1781">
        <f>--($J1781=IF('الداشبورد'!$B$8="الكل",$J1781,IF('الداشبورد'!$B$8="AL","A","C")))</f>
        <v/>
      </c>
      <c r="U1781">
        <f>--($I1781=IF('الداشبورد'!$B$9="الكل",$I1781,IF('الداشبورد'!$B$9="بدون حالة","P",'الداشبورد'!$B$9)))</f>
        <v/>
      </c>
      <c r="V1781">
        <f>--($D1781=IF('الداشبورد'!$B$10="الكل",$D1781,'الداشبورد'!$B$10))</f>
        <v/>
      </c>
      <c r="W1781">
        <f>--($G1781=IF('الداشبورد'!$B$11="الكل",$G1781,'الداشبورد'!$B$11))</f>
        <v/>
      </c>
      <c r="X1781">
        <f>Q1781*R1781*S1781*T1781*U1781*V1781*W1781*--($C1781&lt;&gt;"")</f>
        <v/>
      </c>
    </row>
    <row r="1782">
      <c r="Q1782">
        <f>--($A1782=IF('الداشبورد'!$B$5="الكل",$A1782,'الداشبورد'!$B$5))</f>
        <v/>
      </c>
      <c r="R1782">
        <f>--($E1782=IF('الداشبورد'!$B$6="الكل",$E1782,'الداشبورد'!$B$6))</f>
        <v/>
      </c>
      <c r="S1782">
        <f>--($K1782=IF('الداشبورد'!$B$7="الكل",$K1782,IF('الداشبورد'!$B$7="تصدير","Y","N")))</f>
        <v/>
      </c>
      <c r="T1782">
        <f>--($J1782=IF('الداشبورد'!$B$8="الكل",$J1782,IF('الداشبورد'!$B$8="AL","A","C")))</f>
        <v/>
      </c>
      <c r="U1782">
        <f>--($I1782=IF('الداشبورد'!$B$9="الكل",$I1782,IF('الداشبورد'!$B$9="بدون حالة","P",'الداشبورد'!$B$9)))</f>
        <v/>
      </c>
      <c r="V1782">
        <f>--($D1782=IF('الداشبورد'!$B$10="الكل",$D1782,'الداشبورد'!$B$10))</f>
        <v/>
      </c>
      <c r="W1782">
        <f>--($G1782=IF('الداشبورد'!$B$11="الكل",$G1782,'الداشبورد'!$B$11))</f>
        <v/>
      </c>
      <c r="X1782">
        <f>Q1782*R1782*S1782*T1782*U1782*V1782*W1782*--($C1782&lt;&gt;"")</f>
        <v/>
      </c>
    </row>
    <row r="1783">
      <c r="Q1783">
        <f>--($A1783=IF('الداشبورد'!$B$5="الكل",$A1783,'الداشبورد'!$B$5))</f>
        <v/>
      </c>
      <c r="R1783">
        <f>--($E1783=IF('الداشبورد'!$B$6="الكل",$E1783,'الداشبورد'!$B$6))</f>
        <v/>
      </c>
      <c r="S1783">
        <f>--($K1783=IF('الداشبورد'!$B$7="الكل",$K1783,IF('الداشبورد'!$B$7="تصدير","Y","N")))</f>
        <v/>
      </c>
      <c r="T1783">
        <f>--($J1783=IF('الداشبورد'!$B$8="الكل",$J1783,IF('الداشبورد'!$B$8="AL","A","C")))</f>
        <v/>
      </c>
      <c r="U1783">
        <f>--($I1783=IF('الداشبورد'!$B$9="الكل",$I1783,IF('الداشبورد'!$B$9="بدون حالة","P",'الداشبورد'!$B$9)))</f>
        <v/>
      </c>
      <c r="V1783">
        <f>--($D1783=IF('الداشبورد'!$B$10="الكل",$D1783,'الداشبورد'!$B$10))</f>
        <v/>
      </c>
      <c r="W1783">
        <f>--($G1783=IF('الداشبورد'!$B$11="الكل",$G1783,'الداشبورد'!$B$11))</f>
        <v/>
      </c>
      <c r="X1783">
        <f>Q1783*R1783*S1783*T1783*U1783*V1783*W1783*--($C1783&lt;&gt;"")</f>
        <v/>
      </c>
    </row>
    <row r="1784">
      <c r="Q1784">
        <f>--($A1784=IF('الداشبورد'!$B$5="الكل",$A1784,'الداشبورد'!$B$5))</f>
        <v/>
      </c>
      <c r="R1784">
        <f>--($E1784=IF('الداشبورد'!$B$6="الكل",$E1784,'الداشبورد'!$B$6))</f>
        <v/>
      </c>
      <c r="S1784">
        <f>--($K1784=IF('الداشبورد'!$B$7="الكل",$K1784,IF('الداشبورد'!$B$7="تصدير","Y","N")))</f>
        <v/>
      </c>
      <c r="T1784">
        <f>--($J1784=IF('الداشبورد'!$B$8="الكل",$J1784,IF('الداشبورد'!$B$8="AL","A","C")))</f>
        <v/>
      </c>
      <c r="U1784">
        <f>--($I1784=IF('الداشبورد'!$B$9="الكل",$I1784,IF('الداشبورد'!$B$9="بدون حالة","P",'الداشبورد'!$B$9)))</f>
        <v/>
      </c>
      <c r="V1784">
        <f>--($D1784=IF('الداشبورد'!$B$10="الكل",$D1784,'الداشبورد'!$B$10))</f>
        <v/>
      </c>
      <c r="W1784">
        <f>--($G1784=IF('الداشبورد'!$B$11="الكل",$G1784,'الداشبورد'!$B$11))</f>
        <v/>
      </c>
      <c r="X1784">
        <f>Q1784*R1784*S1784*T1784*U1784*V1784*W1784*--($C1784&lt;&gt;"")</f>
        <v/>
      </c>
    </row>
    <row r="1785">
      <c r="Q1785">
        <f>--($A1785=IF('الداشبورد'!$B$5="الكل",$A1785,'الداشبورد'!$B$5))</f>
        <v/>
      </c>
      <c r="R1785">
        <f>--($E1785=IF('الداشبورد'!$B$6="الكل",$E1785,'الداشبورد'!$B$6))</f>
        <v/>
      </c>
      <c r="S1785">
        <f>--($K1785=IF('الداشبورد'!$B$7="الكل",$K1785,IF('الداشبورد'!$B$7="تصدير","Y","N")))</f>
        <v/>
      </c>
      <c r="T1785">
        <f>--($J1785=IF('الداشبورد'!$B$8="الكل",$J1785,IF('الداشبورد'!$B$8="AL","A","C")))</f>
        <v/>
      </c>
      <c r="U1785">
        <f>--($I1785=IF('الداشبورد'!$B$9="الكل",$I1785,IF('الداشبورد'!$B$9="بدون حالة","P",'الداشبورد'!$B$9)))</f>
        <v/>
      </c>
      <c r="V1785">
        <f>--($D1785=IF('الداشبورد'!$B$10="الكل",$D1785,'الداشبورد'!$B$10))</f>
        <v/>
      </c>
      <c r="W1785">
        <f>--($G1785=IF('الداشبورد'!$B$11="الكل",$G1785,'الداشبورد'!$B$11))</f>
        <v/>
      </c>
      <c r="X1785">
        <f>Q1785*R1785*S1785*T1785*U1785*V1785*W1785*--($C1785&lt;&gt;"")</f>
        <v/>
      </c>
    </row>
    <row r="1786">
      <c r="Q1786">
        <f>--($A1786=IF('الداشبورد'!$B$5="الكل",$A1786,'الداشبورد'!$B$5))</f>
        <v/>
      </c>
      <c r="R1786">
        <f>--($E1786=IF('الداشبورد'!$B$6="الكل",$E1786,'الداشبورد'!$B$6))</f>
        <v/>
      </c>
      <c r="S1786">
        <f>--($K1786=IF('الداشبورد'!$B$7="الكل",$K1786,IF('الداشبورد'!$B$7="تصدير","Y","N")))</f>
        <v/>
      </c>
      <c r="T1786">
        <f>--($J1786=IF('الداشبورد'!$B$8="الكل",$J1786,IF('الداشبورد'!$B$8="AL","A","C")))</f>
        <v/>
      </c>
      <c r="U1786">
        <f>--($I1786=IF('الداشبورد'!$B$9="الكل",$I1786,IF('الداشبورد'!$B$9="بدون حالة","P",'الداشبورد'!$B$9)))</f>
        <v/>
      </c>
      <c r="V1786">
        <f>--($D1786=IF('الداشبورد'!$B$10="الكل",$D1786,'الداشبورد'!$B$10))</f>
        <v/>
      </c>
      <c r="W1786">
        <f>--($G1786=IF('الداشبورد'!$B$11="الكل",$G1786,'الداشبورد'!$B$11))</f>
        <v/>
      </c>
      <c r="X1786">
        <f>Q1786*R1786*S1786*T1786*U1786*V1786*W1786*--($C1786&lt;&gt;"")</f>
        <v/>
      </c>
    </row>
    <row r="1787">
      <c r="Q1787">
        <f>--($A1787=IF('الداشبورد'!$B$5="الكل",$A1787,'الداشبورد'!$B$5))</f>
        <v/>
      </c>
      <c r="R1787">
        <f>--($E1787=IF('الداشبورد'!$B$6="الكل",$E1787,'الداشبورد'!$B$6))</f>
        <v/>
      </c>
      <c r="S1787">
        <f>--($K1787=IF('الداشبورد'!$B$7="الكل",$K1787,IF('الداشبورد'!$B$7="تصدير","Y","N")))</f>
        <v/>
      </c>
      <c r="T1787">
        <f>--($J1787=IF('الداشبورد'!$B$8="الكل",$J1787,IF('الداشبورد'!$B$8="AL","A","C")))</f>
        <v/>
      </c>
      <c r="U1787">
        <f>--($I1787=IF('الداشبورد'!$B$9="الكل",$I1787,IF('الداشبورد'!$B$9="بدون حالة","P",'الداشبورد'!$B$9)))</f>
        <v/>
      </c>
      <c r="V1787">
        <f>--($D1787=IF('الداشبورد'!$B$10="الكل",$D1787,'الداشبورد'!$B$10))</f>
        <v/>
      </c>
      <c r="W1787">
        <f>--($G1787=IF('الداشبورد'!$B$11="الكل",$G1787,'الداشبورد'!$B$11))</f>
        <v/>
      </c>
      <c r="X1787">
        <f>Q1787*R1787*S1787*T1787*U1787*V1787*W1787*--($C1787&lt;&gt;"")</f>
        <v/>
      </c>
    </row>
    <row r="1788">
      <c r="Q1788">
        <f>--($A1788=IF('الداشبورد'!$B$5="الكل",$A1788,'الداشبورد'!$B$5))</f>
        <v/>
      </c>
      <c r="R1788">
        <f>--($E1788=IF('الداشبورد'!$B$6="الكل",$E1788,'الداشبورد'!$B$6))</f>
        <v/>
      </c>
      <c r="S1788">
        <f>--($K1788=IF('الداشبورد'!$B$7="الكل",$K1788,IF('الداشبورد'!$B$7="تصدير","Y","N")))</f>
        <v/>
      </c>
      <c r="T1788">
        <f>--($J1788=IF('الداشبورد'!$B$8="الكل",$J1788,IF('الداشبورد'!$B$8="AL","A","C")))</f>
        <v/>
      </c>
      <c r="U1788">
        <f>--($I1788=IF('الداشبورد'!$B$9="الكل",$I1788,IF('الداشبورد'!$B$9="بدون حالة","P",'الداشبورد'!$B$9)))</f>
        <v/>
      </c>
      <c r="V1788">
        <f>--($D1788=IF('الداشبورد'!$B$10="الكل",$D1788,'الداشبورد'!$B$10))</f>
        <v/>
      </c>
      <c r="W1788">
        <f>--($G1788=IF('الداشبورد'!$B$11="الكل",$G1788,'الداشبورد'!$B$11))</f>
        <v/>
      </c>
      <c r="X1788">
        <f>Q1788*R1788*S1788*T1788*U1788*V1788*W1788*--($C1788&lt;&gt;"")</f>
        <v/>
      </c>
    </row>
    <row r="1789">
      <c r="Q1789">
        <f>--($A1789=IF('الداشبورد'!$B$5="الكل",$A1789,'الداشبورد'!$B$5))</f>
        <v/>
      </c>
      <c r="R1789">
        <f>--($E1789=IF('الداشبورد'!$B$6="الكل",$E1789,'الداشبورد'!$B$6))</f>
        <v/>
      </c>
      <c r="S1789">
        <f>--($K1789=IF('الداشبورد'!$B$7="الكل",$K1789,IF('الداشبورد'!$B$7="تصدير","Y","N")))</f>
        <v/>
      </c>
      <c r="T1789">
        <f>--($J1789=IF('الداشبورد'!$B$8="الكل",$J1789,IF('الداشبورد'!$B$8="AL","A","C")))</f>
        <v/>
      </c>
      <c r="U1789">
        <f>--($I1789=IF('الداشبورد'!$B$9="الكل",$I1789,IF('الداشبورد'!$B$9="بدون حالة","P",'الداشبورد'!$B$9)))</f>
        <v/>
      </c>
      <c r="V1789">
        <f>--($D1789=IF('الداشبورد'!$B$10="الكل",$D1789,'الداشبورد'!$B$10))</f>
        <v/>
      </c>
      <c r="W1789">
        <f>--($G1789=IF('الداشبورد'!$B$11="الكل",$G1789,'الداشبورد'!$B$11))</f>
        <v/>
      </c>
      <c r="X1789">
        <f>Q1789*R1789*S1789*T1789*U1789*V1789*W1789*--($C1789&lt;&gt;"")</f>
        <v/>
      </c>
    </row>
    <row r="1790">
      <c r="Q1790">
        <f>--($A1790=IF('الداشبورد'!$B$5="الكل",$A1790,'الداشبورد'!$B$5))</f>
        <v/>
      </c>
      <c r="R1790">
        <f>--($E1790=IF('الداشبورد'!$B$6="الكل",$E1790,'الداشبورد'!$B$6))</f>
        <v/>
      </c>
      <c r="S1790">
        <f>--($K1790=IF('الداشبورد'!$B$7="الكل",$K1790,IF('الداشبورد'!$B$7="تصدير","Y","N")))</f>
        <v/>
      </c>
      <c r="T1790">
        <f>--($J1790=IF('الداشبورد'!$B$8="الكل",$J1790,IF('الداشبورد'!$B$8="AL","A","C")))</f>
        <v/>
      </c>
      <c r="U1790">
        <f>--($I1790=IF('الداشبورد'!$B$9="الكل",$I1790,IF('الداشبورد'!$B$9="بدون حالة","P",'الداشبورد'!$B$9)))</f>
        <v/>
      </c>
      <c r="V1790">
        <f>--($D1790=IF('الداشبورد'!$B$10="الكل",$D1790,'الداشبورد'!$B$10))</f>
        <v/>
      </c>
      <c r="W1790">
        <f>--($G1790=IF('الداشبورد'!$B$11="الكل",$G1790,'الداشبورد'!$B$11))</f>
        <v/>
      </c>
      <c r="X1790">
        <f>Q1790*R1790*S1790*T1790*U1790*V1790*W1790*--($C1790&lt;&gt;"")</f>
        <v/>
      </c>
    </row>
    <row r="1791">
      <c r="Q1791">
        <f>--($A1791=IF('الداشبورد'!$B$5="الكل",$A1791,'الداشبورد'!$B$5))</f>
        <v/>
      </c>
      <c r="R1791">
        <f>--($E1791=IF('الداشبورد'!$B$6="الكل",$E1791,'الداشبورد'!$B$6))</f>
        <v/>
      </c>
      <c r="S1791">
        <f>--($K1791=IF('الداشبورد'!$B$7="الكل",$K1791,IF('الداشبورد'!$B$7="تصدير","Y","N")))</f>
        <v/>
      </c>
      <c r="T1791">
        <f>--($J1791=IF('الداشبورد'!$B$8="الكل",$J1791,IF('الداشبورد'!$B$8="AL","A","C")))</f>
        <v/>
      </c>
      <c r="U1791">
        <f>--($I1791=IF('الداشبورد'!$B$9="الكل",$I1791,IF('الداشبورد'!$B$9="بدون حالة","P",'الداشبورد'!$B$9)))</f>
        <v/>
      </c>
      <c r="V1791">
        <f>--($D1791=IF('الداشبورد'!$B$10="الكل",$D1791,'الداشبورد'!$B$10))</f>
        <v/>
      </c>
      <c r="W1791">
        <f>--($G1791=IF('الداشبورد'!$B$11="الكل",$G1791,'الداشبورد'!$B$11))</f>
        <v/>
      </c>
      <c r="X1791">
        <f>Q1791*R1791*S1791*T1791*U1791*V1791*W1791*--($C1791&lt;&gt;"")</f>
        <v/>
      </c>
    </row>
    <row r="1792">
      <c r="Q1792">
        <f>--($A1792=IF('الداشبورد'!$B$5="الكل",$A1792,'الداشبورد'!$B$5))</f>
        <v/>
      </c>
      <c r="R1792">
        <f>--($E1792=IF('الداشبورد'!$B$6="الكل",$E1792,'الداشبورد'!$B$6))</f>
        <v/>
      </c>
      <c r="S1792">
        <f>--($K1792=IF('الداشبورد'!$B$7="الكل",$K1792,IF('الداشبورد'!$B$7="تصدير","Y","N")))</f>
        <v/>
      </c>
      <c r="T1792">
        <f>--($J1792=IF('الداشبورد'!$B$8="الكل",$J1792,IF('الداشبورد'!$B$8="AL","A","C")))</f>
        <v/>
      </c>
      <c r="U1792">
        <f>--($I1792=IF('الداشبورد'!$B$9="الكل",$I1792,IF('الداشبورد'!$B$9="بدون حالة","P",'الداشبورد'!$B$9)))</f>
        <v/>
      </c>
      <c r="V1792">
        <f>--($D1792=IF('الداشبورد'!$B$10="الكل",$D1792,'الداشبورد'!$B$10))</f>
        <v/>
      </c>
      <c r="W1792">
        <f>--($G1792=IF('الداشبورد'!$B$11="الكل",$G1792,'الداشبورد'!$B$11))</f>
        <v/>
      </c>
      <c r="X1792">
        <f>Q1792*R1792*S1792*T1792*U1792*V1792*W1792*--($C1792&lt;&gt;"")</f>
        <v/>
      </c>
    </row>
    <row r="1793">
      <c r="Q1793">
        <f>--($A1793=IF('الداشبورد'!$B$5="الكل",$A1793,'الداشبورد'!$B$5))</f>
        <v/>
      </c>
      <c r="R1793">
        <f>--($E1793=IF('الداشبورد'!$B$6="الكل",$E1793,'الداشبورد'!$B$6))</f>
        <v/>
      </c>
      <c r="S1793">
        <f>--($K1793=IF('الداشبورد'!$B$7="الكل",$K1793,IF('الداشبورد'!$B$7="تصدير","Y","N")))</f>
        <v/>
      </c>
      <c r="T1793">
        <f>--($J1793=IF('الداشبورد'!$B$8="الكل",$J1793,IF('الداشبورد'!$B$8="AL","A","C")))</f>
        <v/>
      </c>
      <c r="U1793">
        <f>--($I1793=IF('الداشبورد'!$B$9="الكل",$I1793,IF('الداشبورد'!$B$9="بدون حالة","P",'الداشبورد'!$B$9)))</f>
        <v/>
      </c>
      <c r="V1793">
        <f>--($D1793=IF('الداشبورد'!$B$10="الكل",$D1793,'الداشبورد'!$B$10))</f>
        <v/>
      </c>
      <c r="W1793">
        <f>--($G1793=IF('الداشبورد'!$B$11="الكل",$G1793,'الداشبورد'!$B$11))</f>
        <v/>
      </c>
      <c r="X1793">
        <f>Q1793*R1793*S1793*T1793*U1793*V1793*W1793*--($C1793&lt;&gt;"")</f>
        <v/>
      </c>
    </row>
    <row r="1794">
      <c r="Q1794">
        <f>--($A1794=IF('الداشبورد'!$B$5="الكل",$A1794,'الداشبورد'!$B$5))</f>
        <v/>
      </c>
      <c r="R1794">
        <f>--($E1794=IF('الداشبورد'!$B$6="الكل",$E1794,'الداشبورد'!$B$6))</f>
        <v/>
      </c>
      <c r="S1794">
        <f>--($K1794=IF('الداشبورد'!$B$7="الكل",$K1794,IF('الداشبورد'!$B$7="تصدير","Y","N")))</f>
        <v/>
      </c>
      <c r="T1794">
        <f>--($J1794=IF('الداشبورد'!$B$8="الكل",$J1794,IF('الداشبورد'!$B$8="AL","A","C")))</f>
        <v/>
      </c>
      <c r="U1794">
        <f>--($I1794=IF('الداشبورد'!$B$9="الكل",$I1794,IF('الداشبورد'!$B$9="بدون حالة","P",'الداشبورد'!$B$9)))</f>
        <v/>
      </c>
      <c r="V1794">
        <f>--($D1794=IF('الداشبورد'!$B$10="الكل",$D1794,'الداشبورد'!$B$10))</f>
        <v/>
      </c>
      <c r="W1794">
        <f>--($G1794=IF('الداشبورد'!$B$11="الكل",$G1794,'الداشبورد'!$B$11))</f>
        <v/>
      </c>
      <c r="X1794">
        <f>Q1794*R1794*S1794*T1794*U1794*V1794*W1794*--($C1794&lt;&gt;"")</f>
        <v/>
      </c>
    </row>
    <row r="1795">
      <c r="Q1795">
        <f>--($A1795=IF('الداشبورد'!$B$5="الكل",$A1795,'الداشبورد'!$B$5))</f>
        <v/>
      </c>
      <c r="R1795">
        <f>--($E1795=IF('الداشبورد'!$B$6="الكل",$E1795,'الداشبورد'!$B$6))</f>
        <v/>
      </c>
      <c r="S1795">
        <f>--($K1795=IF('الداشبورد'!$B$7="الكل",$K1795,IF('الداشبورد'!$B$7="تصدير","Y","N")))</f>
        <v/>
      </c>
      <c r="T1795">
        <f>--($J1795=IF('الداشبورد'!$B$8="الكل",$J1795,IF('الداشبورد'!$B$8="AL","A","C")))</f>
        <v/>
      </c>
      <c r="U1795">
        <f>--($I1795=IF('الداشبورد'!$B$9="الكل",$I1795,IF('الداشبورد'!$B$9="بدون حالة","P",'الداشبورد'!$B$9)))</f>
        <v/>
      </c>
      <c r="V1795">
        <f>--($D1795=IF('الداشبورد'!$B$10="الكل",$D1795,'الداشبورد'!$B$10))</f>
        <v/>
      </c>
      <c r="W1795">
        <f>--($G1795=IF('الداشبورد'!$B$11="الكل",$G1795,'الداشبورد'!$B$11))</f>
        <v/>
      </c>
      <c r="X1795">
        <f>Q1795*R1795*S1795*T1795*U1795*V1795*W1795*--($C1795&lt;&gt;"")</f>
        <v/>
      </c>
    </row>
    <row r="1796">
      <c r="Q1796">
        <f>--($A1796=IF('الداشبورد'!$B$5="الكل",$A1796,'الداشبورد'!$B$5))</f>
        <v/>
      </c>
      <c r="R1796">
        <f>--($E1796=IF('الداشبورد'!$B$6="الكل",$E1796,'الداشبورد'!$B$6))</f>
        <v/>
      </c>
      <c r="S1796">
        <f>--($K1796=IF('الداشبورد'!$B$7="الكل",$K1796,IF('الداشبورد'!$B$7="تصدير","Y","N")))</f>
        <v/>
      </c>
      <c r="T1796">
        <f>--($J1796=IF('الداشبورد'!$B$8="الكل",$J1796,IF('الداشبورد'!$B$8="AL","A","C")))</f>
        <v/>
      </c>
      <c r="U1796">
        <f>--($I1796=IF('الداشبورد'!$B$9="الكل",$I1796,IF('الداشبورد'!$B$9="بدون حالة","P",'الداشبورد'!$B$9)))</f>
        <v/>
      </c>
      <c r="V1796">
        <f>--($D1796=IF('الداشبورد'!$B$10="الكل",$D1796,'الداشبورد'!$B$10))</f>
        <v/>
      </c>
      <c r="W1796">
        <f>--($G1796=IF('الداشبورد'!$B$11="الكل",$G1796,'الداشبورد'!$B$11))</f>
        <v/>
      </c>
      <c r="X1796">
        <f>Q1796*R1796*S1796*T1796*U1796*V1796*W1796*--($C1796&lt;&gt;"")</f>
        <v/>
      </c>
    </row>
    <row r="1797">
      <c r="Q1797">
        <f>--($A1797=IF('الداشبورد'!$B$5="الكل",$A1797,'الداشبورد'!$B$5))</f>
        <v/>
      </c>
      <c r="R1797">
        <f>--($E1797=IF('الداشبورد'!$B$6="الكل",$E1797,'الداشبورد'!$B$6))</f>
        <v/>
      </c>
      <c r="S1797">
        <f>--($K1797=IF('الداشبورد'!$B$7="الكل",$K1797,IF('الداشبورد'!$B$7="تصدير","Y","N")))</f>
        <v/>
      </c>
      <c r="T1797">
        <f>--($J1797=IF('الداشبورد'!$B$8="الكل",$J1797,IF('الداشبورد'!$B$8="AL","A","C")))</f>
        <v/>
      </c>
      <c r="U1797">
        <f>--($I1797=IF('الداشبورد'!$B$9="الكل",$I1797,IF('الداشبورد'!$B$9="بدون حالة","P",'الداشبورد'!$B$9)))</f>
        <v/>
      </c>
      <c r="V1797">
        <f>--($D1797=IF('الداشبورد'!$B$10="الكل",$D1797,'الداشبورد'!$B$10))</f>
        <v/>
      </c>
      <c r="W1797">
        <f>--($G1797=IF('الداشبورد'!$B$11="الكل",$G1797,'الداشبورد'!$B$11))</f>
        <v/>
      </c>
      <c r="X1797">
        <f>Q1797*R1797*S1797*T1797*U1797*V1797*W1797*--($C1797&lt;&gt;"")</f>
        <v/>
      </c>
    </row>
    <row r="1798">
      <c r="Q1798">
        <f>--($A1798=IF('الداشبورد'!$B$5="الكل",$A1798,'الداشبورد'!$B$5))</f>
        <v/>
      </c>
      <c r="R1798">
        <f>--($E1798=IF('الداشبورد'!$B$6="الكل",$E1798,'الداشبورد'!$B$6))</f>
        <v/>
      </c>
      <c r="S1798">
        <f>--($K1798=IF('الداشبورد'!$B$7="الكل",$K1798,IF('الداشبورد'!$B$7="تصدير","Y","N")))</f>
        <v/>
      </c>
      <c r="T1798">
        <f>--($J1798=IF('الداشبورد'!$B$8="الكل",$J1798,IF('الداشبورد'!$B$8="AL","A","C")))</f>
        <v/>
      </c>
      <c r="U1798">
        <f>--($I1798=IF('الداشبورد'!$B$9="الكل",$I1798,IF('الداشبورد'!$B$9="بدون حالة","P",'الداشبورد'!$B$9)))</f>
        <v/>
      </c>
      <c r="V1798">
        <f>--($D1798=IF('الداشبورد'!$B$10="الكل",$D1798,'الداشبورد'!$B$10))</f>
        <v/>
      </c>
      <c r="W1798">
        <f>--($G1798=IF('الداشبورد'!$B$11="الكل",$G1798,'الداشبورد'!$B$11))</f>
        <v/>
      </c>
      <c r="X1798">
        <f>Q1798*R1798*S1798*T1798*U1798*V1798*W1798*--($C1798&lt;&gt;"")</f>
        <v/>
      </c>
    </row>
    <row r="1799">
      <c r="Q1799">
        <f>--($A1799=IF('الداشبورد'!$B$5="الكل",$A1799,'الداشبورد'!$B$5))</f>
        <v/>
      </c>
      <c r="R1799">
        <f>--($E1799=IF('الداشبورد'!$B$6="الكل",$E1799,'الداشبورد'!$B$6))</f>
        <v/>
      </c>
      <c r="S1799">
        <f>--($K1799=IF('الداشبورد'!$B$7="الكل",$K1799,IF('الداشبورد'!$B$7="تصدير","Y","N")))</f>
        <v/>
      </c>
      <c r="T1799">
        <f>--($J1799=IF('الداشبورد'!$B$8="الكل",$J1799,IF('الداشبورد'!$B$8="AL","A","C")))</f>
        <v/>
      </c>
      <c r="U1799">
        <f>--($I1799=IF('الداشبورد'!$B$9="الكل",$I1799,IF('الداشبورد'!$B$9="بدون حالة","P",'الداشبورد'!$B$9)))</f>
        <v/>
      </c>
      <c r="V1799">
        <f>--($D1799=IF('الداشبورد'!$B$10="الكل",$D1799,'الداشبورد'!$B$10))</f>
        <v/>
      </c>
      <c r="W1799">
        <f>--($G1799=IF('الداشبورد'!$B$11="الكل",$G1799,'الداشبورد'!$B$11))</f>
        <v/>
      </c>
      <c r="X1799">
        <f>Q1799*R1799*S1799*T1799*U1799*V1799*W1799*--($C1799&lt;&gt;"")</f>
        <v/>
      </c>
    </row>
    <row r="1800">
      <c r="Q1800">
        <f>--($A1800=IF('الداشبورد'!$B$5="الكل",$A1800,'الداشبورد'!$B$5))</f>
        <v/>
      </c>
      <c r="R1800">
        <f>--($E1800=IF('الداشبورد'!$B$6="الكل",$E1800,'الداشبورد'!$B$6))</f>
        <v/>
      </c>
      <c r="S1800">
        <f>--($K1800=IF('الداشبورد'!$B$7="الكل",$K1800,IF('الداشبورد'!$B$7="تصدير","Y","N")))</f>
        <v/>
      </c>
      <c r="T1800">
        <f>--($J1800=IF('الداشبورد'!$B$8="الكل",$J1800,IF('الداشبورد'!$B$8="AL","A","C")))</f>
        <v/>
      </c>
      <c r="U1800">
        <f>--($I1800=IF('الداشبورد'!$B$9="الكل",$I1800,IF('الداشبورد'!$B$9="بدون حالة","P",'الداشبورد'!$B$9)))</f>
        <v/>
      </c>
      <c r="V1800">
        <f>--($D1800=IF('الداشبورد'!$B$10="الكل",$D1800,'الداشبورد'!$B$10))</f>
        <v/>
      </c>
      <c r="W1800">
        <f>--($G1800=IF('الداشبورد'!$B$11="الكل",$G1800,'الداشبورد'!$B$11))</f>
        <v/>
      </c>
      <c r="X1800">
        <f>Q1800*R1800*S1800*T1800*U1800*V1800*W1800*--($C1800&lt;&gt;"")</f>
        <v/>
      </c>
    </row>
    <row r="1801">
      <c r="Q1801">
        <f>--($A1801=IF('الداشبورد'!$B$5="الكل",$A1801,'الداشبورد'!$B$5))</f>
        <v/>
      </c>
      <c r="R1801">
        <f>--($E1801=IF('الداشبورد'!$B$6="الكل",$E1801,'الداشبورد'!$B$6))</f>
        <v/>
      </c>
      <c r="S1801">
        <f>--($K1801=IF('الداشبورد'!$B$7="الكل",$K1801,IF('الداشبورد'!$B$7="تصدير","Y","N")))</f>
        <v/>
      </c>
      <c r="T1801">
        <f>--($J1801=IF('الداشبورد'!$B$8="الكل",$J1801,IF('الداشبورد'!$B$8="AL","A","C")))</f>
        <v/>
      </c>
      <c r="U1801">
        <f>--($I1801=IF('الداشبورد'!$B$9="الكل",$I1801,IF('الداشبورد'!$B$9="بدون حالة","P",'الداشبورد'!$B$9)))</f>
        <v/>
      </c>
      <c r="V1801">
        <f>--($D1801=IF('الداشبورد'!$B$10="الكل",$D1801,'الداشبورد'!$B$10))</f>
        <v/>
      </c>
      <c r="W1801">
        <f>--($G1801=IF('الداشبورد'!$B$11="الكل",$G1801,'الداشبورد'!$B$11))</f>
        <v/>
      </c>
      <c r="X1801">
        <f>Q1801*R1801*S1801*T1801*U1801*V1801*W1801*--($C1801&lt;&gt;"")</f>
        <v/>
      </c>
    </row>
    <row r="1802">
      <c r="Q1802">
        <f>--($A1802=IF('الداشبورد'!$B$5="الكل",$A1802,'الداشبورد'!$B$5))</f>
        <v/>
      </c>
      <c r="R1802">
        <f>--($E1802=IF('الداشبورد'!$B$6="الكل",$E1802,'الداشبورد'!$B$6))</f>
        <v/>
      </c>
      <c r="S1802">
        <f>--($K1802=IF('الداشبورد'!$B$7="الكل",$K1802,IF('الداشبورد'!$B$7="تصدير","Y","N")))</f>
        <v/>
      </c>
      <c r="T1802">
        <f>--($J1802=IF('الداشبورد'!$B$8="الكل",$J1802,IF('الداشبورد'!$B$8="AL","A","C")))</f>
        <v/>
      </c>
      <c r="U1802">
        <f>--($I1802=IF('الداشبورد'!$B$9="الكل",$I1802,IF('الداشبورد'!$B$9="بدون حالة","P",'الداشبورد'!$B$9)))</f>
        <v/>
      </c>
      <c r="V1802">
        <f>--($D1802=IF('الداشبورد'!$B$10="الكل",$D1802,'الداشبورد'!$B$10))</f>
        <v/>
      </c>
      <c r="W1802">
        <f>--($G1802=IF('الداشبورد'!$B$11="الكل",$G1802,'الداشبورد'!$B$11))</f>
        <v/>
      </c>
      <c r="X1802">
        <f>Q1802*R1802*S1802*T1802*U1802*V1802*W1802*--($C1802&lt;&gt;"")</f>
        <v/>
      </c>
    </row>
    <row r="1803">
      <c r="Q1803">
        <f>--($A1803=IF('الداشبورد'!$B$5="الكل",$A1803,'الداشبورد'!$B$5))</f>
        <v/>
      </c>
      <c r="R1803">
        <f>--($E1803=IF('الداشبورد'!$B$6="الكل",$E1803,'الداشبورد'!$B$6))</f>
        <v/>
      </c>
      <c r="S1803">
        <f>--($K1803=IF('الداشبورد'!$B$7="الكل",$K1803,IF('الداشبورد'!$B$7="تصدير","Y","N")))</f>
        <v/>
      </c>
      <c r="T1803">
        <f>--($J1803=IF('الداشبورد'!$B$8="الكل",$J1803,IF('الداشبورد'!$B$8="AL","A","C")))</f>
        <v/>
      </c>
      <c r="U1803">
        <f>--($I1803=IF('الداشبورد'!$B$9="الكل",$I1803,IF('الداشبورد'!$B$9="بدون حالة","P",'الداشبورد'!$B$9)))</f>
        <v/>
      </c>
      <c r="V1803">
        <f>--($D1803=IF('الداشبورد'!$B$10="الكل",$D1803,'الداشبورد'!$B$10))</f>
        <v/>
      </c>
      <c r="W1803">
        <f>--($G1803=IF('الداشبورد'!$B$11="الكل",$G1803,'الداشبورد'!$B$11))</f>
        <v/>
      </c>
      <c r="X1803">
        <f>Q1803*R1803*S1803*T1803*U1803*V1803*W1803*--($C1803&lt;&gt;"")</f>
        <v/>
      </c>
    </row>
    <row r="1804">
      <c r="Q1804">
        <f>--($A1804=IF('الداشبورد'!$B$5="الكل",$A1804,'الداشبورد'!$B$5))</f>
        <v/>
      </c>
      <c r="R1804">
        <f>--($E1804=IF('الداشبورد'!$B$6="الكل",$E1804,'الداشبورد'!$B$6))</f>
        <v/>
      </c>
      <c r="S1804">
        <f>--($K1804=IF('الداشبورد'!$B$7="الكل",$K1804,IF('الداشبورد'!$B$7="تصدير","Y","N")))</f>
        <v/>
      </c>
      <c r="T1804">
        <f>--($J1804=IF('الداشبورد'!$B$8="الكل",$J1804,IF('الداشبورد'!$B$8="AL","A","C")))</f>
        <v/>
      </c>
      <c r="U1804">
        <f>--($I1804=IF('الداشبورد'!$B$9="الكل",$I1804,IF('الداشبورد'!$B$9="بدون حالة","P",'الداشبورد'!$B$9)))</f>
        <v/>
      </c>
      <c r="V1804">
        <f>--($D1804=IF('الداشبورد'!$B$10="الكل",$D1804,'الداشبورد'!$B$10))</f>
        <v/>
      </c>
      <c r="W1804">
        <f>--($G1804=IF('الداشبورد'!$B$11="الكل",$G1804,'الداشبورد'!$B$11))</f>
        <v/>
      </c>
      <c r="X1804">
        <f>Q1804*R1804*S1804*T1804*U1804*V1804*W1804*--($C1804&lt;&gt;"")</f>
        <v/>
      </c>
    </row>
    <row r="1805">
      <c r="Q1805">
        <f>--($A1805=IF('الداشبورد'!$B$5="الكل",$A1805,'الداشبورد'!$B$5))</f>
        <v/>
      </c>
      <c r="R1805">
        <f>--($E1805=IF('الداشبورد'!$B$6="الكل",$E1805,'الداشبورد'!$B$6))</f>
        <v/>
      </c>
      <c r="S1805">
        <f>--($K1805=IF('الداشبورد'!$B$7="الكل",$K1805,IF('الداشبورد'!$B$7="تصدير","Y","N")))</f>
        <v/>
      </c>
      <c r="T1805">
        <f>--($J1805=IF('الداشبورد'!$B$8="الكل",$J1805,IF('الداشبورد'!$B$8="AL","A","C")))</f>
        <v/>
      </c>
      <c r="U1805">
        <f>--($I1805=IF('الداشبورد'!$B$9="الكل",$I1805,IF('الداشبورد'!$B$9="بدون حالة","P",'الداشبورد'!$B$9)))</f>
        <v/>
      </c>
      <c r="V1805">
        <f>--($D1805=IF('الداشبورد'!$B$10="الكل",$D1805,'الداشبورد'!$B$10))</f>
        <v/>
      </c>
      <c r="W1805">
        <f>--($G1805=IF('الداشبورد'!$B$11="الكل",$G1805,'الداشبورد'!$B$11))</f>
        <v/>
      </c>
      <c r="X1805">
        <f>Q1805*R1805*S1805*T1805*U1805*V1805*W1805*--($C1805&lt;&gt;"")</f>
        <v/>
      </c>
    </row>
    <row r="1806">
      <c r="Q1806">
        <f>--($A1806=IF('الداشبورد'!$B$5="الكل",$A1806,'الداشبورد'!$B$5))</f>
        <v/>
      </c>
      <c r="R1806">
        <f>--($E1806=IF('الداشبورد'!$B$6="الكل",$E1806,'الداشبورد'!$B$6))</f>
        <v/>
      </c>
      <c r="S1806">
        <f>--($K1806=IF('الداشبورد'!$B$7="الكل",$K1806,IF('الداشبورد'!$B$7="تصدير","Y","N")))</f>
        <v/>
      </c>
      <c r="T1806">
        <f>--($J1806=IF('الداشبورد'!$B$8="الكل",$J1806,IF('الداشبورد'!$B$8="AL","A","C")))</f>
        <v/>
      </c>
      <c r="U1806">
        <f>--($I1806=IF('الداشبورد'!$B$9="الكل",$I1806,IF('الداشبورد'!$B$9="بدون حالة","P",'الداشبورد'!$B$9)))</f>
        <v/>
      </c>
      <c r="V1806">
        <f>--($D1806=IF('الداشبورد'!$B$10="الكل",$D1806,'الداشبورد'!$B$10))</f>
        <v/>
      </c>
      <c r="W1806">
        <f>--($G1806=IF('الداشبورد'!$B$11="الكل",$G1806,'الداشبورد'!$B$11))</f>
        <v/>
      </c>
      <c r="X1806">
        <f>Q1806*R1806*S1806*T1806*U1806*V1806*W1806*--($C1806&lt;&gt;"")</f>
        <v/>
      </c>
    </row>
    <row r="1807">
      <c r="Q1807">
        <f>--($A1807=IF('الداشبورد'!$B$5="الكل",$A1807,'الداشبورد'!$B$5))</f>
        <v/>
      </c>
      <c r="R1807">
        <f>--($E1807=IF('الداشبورد'!$B$6="الكل",$E1807,'الداشبورد'!$B$6))</f>
        <v/>
      </c>
      <c r="S1807">
        <f>--($K1807=IF('الداشبورد'!$B$7="الكل",$K1807,IF('الداشبورد'!$B$7="تصدير","Y","N")))</f>
        <v/>
      </c>
      <c r="T1807">
        <f>--($J1807=IF('الداشبورد'!$B$8="الكل",$J1807,IF('الداشبورد'!$B$8="AL","A","C")))</f>
        <v/>
      </c>
      <c r="U1807">
        <f>--($I1807=IF('الداشبورد'!$B$9="الكل",$I1807,IF('الداشبورد'!$B$9="بدون حالة","P",'الداشبورد'!$B$9)))</f>
        <v/>
      </c>
      <c r="V1807">
        <f>--($D1807=IF('الداشبورد'!$B$10="الكل",$D1807,'الداشبورد'!$B$10))</f>
        <v/>
      </c>
      <c r="W1807">
        <f>--($G1807=IF('الداشبورد'!$B$11="الكل",$G1807,'الداشبورد'!$B$11))</f>
        <v/>
      </c>
      <c r="X1807">
        <f>Q1807*R1807*S1807*T1807*U1807*V1807*W1807*--($C1807&lt;&gt;"")</f>
        <v/>
      </c>
    </row>
    <row r="1808">
      <c r="Q1808">
        <f>--($A1808=IF('الداشبورد'!$B$5="الكل",$A1808,'الداشبورد'!$B$5))</f>
        <v/>
      </c>
      <c r="R1808">
        <f>--($E1808=IF('الداشبورد'!$B$6="الكل",$E1808,'الداشبورد'!$B$6))</f>
        <v/>
      </c>
      <c r="S1808">
        <f>--($K1808=IF('الداشبورد'!$B$7="الكل",$K1808,IF('الداشبورد'!$B$7="تصدير","Y","N")))</f>
        <v/>
      </c>
      <c r="T1808">
        <f>--($J1808=IF('الداشبورد'!$B$8="الكل",$J1808,IF('الداشبورد'!$B$8="AL","A","C")))</f>
        <v/>
      </c>
      <c r="U1808">
        <f>--($I1808=IF('الداشبورد'!$B$9="الكل",$I1808,IF('الداشبورد'!$B$9="بدون حالة","P",'الداشبورد'!$B$9)))</f>
        <v/>
      </c>
      <c r="V1808">
        <f>--($D1808=IF('الداشبورد'!$B$10="الكل",$D1808,'الداشبورد'!$B$10))</f>
        <v/>
      </c>
      <c r="W1808">
        <f>--($G1808=IF('الداشبورد'!$B$11="الكل",$G1808,'الداشبورد'!$B$11))</f>
        <v/>
      </c>
      <c r="X1808">
        <f>Q1808*R1808*S1808*T1808*U1808*V1808*W1808*--($C1808&lt;&gt;"")</f>
        <v/>
      </c>
    </row>
    <row r="1809">
      <c r="Q1809">
        <f>--($A1809=IF('الداشبورد'!$B$5="الكل",$A1809,'الداشبورد'!$B$5))</f>
        <v/>
      </c>
      <c r="R1809">
        <f>--($E1809=IF('الداشبورد'!$B$6="الكل",$E1809,'الداشبورد'!$B$6))</f>
        <v/>
      </c>
      <c r="S1809">
        <f>--($K1809=IF('الداشبورد'!$B$7="الكل",$K1809,IF('الداشبورد'!$B$7="تصدير","Y","N")))</f>
        <v/>
      </c>
      <c r="T1809">
        <f>--($J1809=IF('الداشبورد'!$B$8="الكل",$J1809,IF('الداشبورد'!$B$8="AL","A","C")))</f>
        <v/>
      </c>
      <c r="U1809">
        <f>--($I1809=IF('الداشبورد'!$B$9="الكل",$I1809,IF('الداشبورد'!$B$9="بدون حالة","P",'الداشبورد'!$B$9)))</f>
        <v/>
      </c>
      <c r="V1809">
        <f>--($D1809=IF('الداشبورد'!$B$10="الكل",$D1809,'الداشبورد'!$B$10))</f>
        <v/>
      </c>
      <c r="W1809">
        <f>--($G1809=IF('الداشبورد'!$B$11="الكل",$G1809,'الداشبورد'!$B$11))</f>
        <v/>
      </c>
      <c r="X1809">
        <f>Q1809*R1809*S1809*T1809*U1809*V1809*W1809*--($C1809&lt;&gt;"")</f>
        <v/>
      </c>
    </row>
    <row r="1810">
      <c r="Q1810">
        <f>--($A1810=IF('الداشبورد'!$B$5="الكل",$A1810,'الداشبورد'!$B$5))</f>
        <v/>
      </c>
      <c r="R1810">
        <f>--($E1810=IF('الداشبورد'!$B$6="الكل",$E1810,'الداشبورد'!$B$6))</f>
        <v/>
      </c>
      <c r="S1810">
        <f>--($K1810=IF('الداشبورد'!$B$7="الكل",$K1810,IF('الداشبورد'!$B$7="تصدير","Y","N")))</f>
        <v/>
      </c>
      <c r="T1810">
        <f>--($J1810=IF('الداشبورد'!$B$8="الكل",$J1810,IF('الداشبورد'!$B$8="AL","A","C")))</f>
        <v/>
      </c>
      <c r="U1810">
        <f>--($I1810=IF('الداشبورد'!$B$9="الكل",$I1810,IF('الداشبورد'!$B$9="بدون حالة","P",'الداشبورد'!$B$9)))</f>
        <v/>
      </c>
      <c r="V1810">
        <f>--($D1810=IF('الداشبورد'!$B$10="الكل",$D1810,'الداشبورد'!$B$10))</f>
        <v/>
      </c>
      <c r="W1810">
        <f>--($G1810=IF('الداشبورد'!$B$11="الكل",$G1810,'الداشبورد'!$B$11))</f>
        <v/>
      </c>
      <c r="X1810">
        <f>Q1810*R1810*S1810*T1810*U1810*V1810*W1810*--($C1810&lt;&gt;"")</f>
        <v/>
      </c>
    </row>
    <row r="1811">
      <c r="Q1811">
        <f>--($A1811=IF('الداشبورد'!$B$5="الكل",$A1811,'الداشبورد'!$B$5))</f>
        <v/>
      </c>
      <c r="R1811">
        <f>--($E1811=IF('الداشبورد'!$B$6="الكل",$E1811,'الداشبورد'!$B$6))</f>
        <v/>
      </c>
      <c r="S1811">
        <f>--($K1811=IF('الداشبورد'!$B$7="الكل",$K1811,IF('الداشبورد'!$B$7="تصدير","Y","N")))</f>
        <v/>
      </c>
      <c r="T1811">
        <f>--($J1811=IF('الداشبورد'!$B$8="الكل",$J1811,IF('الداشبورد'!$B$8="AL","A","C")))</f>
        <v/>
      </c>
      <c r="U1811">
        <f>--($I1811=IF('الداشبورد'!$B$9="الكل",$I1811,IF('الداشبورد'!$B$9="بدون حالة","P",'الداشبورد'!$B$9)))</f>
        <v/>
      </c>
      <c r="V1811">
        <f>--($D1811=IF('الداشبورد'!$B$10="الكل",$D1811,'الداشبورد'!$B$10))</f>
        <v/>
      </c>
      <c r="W1811">
        <f>--($G1811=IF('الداشبورد'!$B$11="الكل",$G1811,'الداشبورد'!$B$11))</f>
        <v/>
      </c>
      <c r="X1811">
        <f>Q1811*R1811*S1811*T1811*U1811*V1811*W1811*--($C1811&lt;&gt;"")</f>
        <v/>
      </c>
    </row>
    <row r="1812">
      <c r="Q1812">
        <f>--($A1812=IF('الداشبورد'!$B$5="الكل",$A1812,'الداشبورد'!$B$5))</f>
        <v/>
      </c>
      <c r="R1812">
        <f>--($E1812=IF('الداشبورد'!$B$6="الكل",$E1812,'الداشبورد'!$B$6))</f>
        <v/>
      </c>
      <c r="S1812">
        <f>--($K1812=IF('الداشبورد'!$B$7="الكل",$K1812,IF('الداشبورد'!$B$7="تصدير","Y","N")))</f>
        <v/>
      </c>
      <c r="T1812">
        <f>--($J1812=IF('الداشبورد'!$B$8="الكل",$J1812,IF('الداشبورد'!$B$8="AL","A","C")))</f>
        <v/>
      </c>
      <c r="U1812">
        <f>--($I1812=IF('الداشبورد'!$B$9="الكل",$I1812,IF('الداشبورد'!$B$9="بدون حالة","P",'الداشبورد'!$B$9)))</f>
        <v/>
      </c>
      <c r="V1812">
        <f>--($D1812=IF('الداشبورد'!$B$10="الكل",$D1812,'الداشبورد'!$B$10))</f>
        <v/>
      </c>
      <c r="W1812">
        <f>--($G1812=IF('الداشبورد'!$B$11="الكل",$G1812,'الداشبورد'!$B$11))</f>
        <v/>
      </c>
      <c r="X1812">
        <f>Q1812*R1812*S1812*T1812*U1812*V1812*W1812*--($C1812&lt;&gt;"")</f>
        <v/>
      </c>
    </row>
    <row r="1813">
      <c r="Q1813">
        <f>--($A1813=IF('الداشبورد'!$B$5="الكل",$A1813,'الداشبورد'!$B$5))</f>
        <v/>
      </c>
      <c r="R1813">
        <f>--($E1813=IF('الداشبورد'!$B$6="الكل",$E1813,'الداشبورد'!$B$6))</f>
        <v/>
      </c>
      <c r="S1813">
        <f>--($K1813=IF('الداشبورد'!$B$7="الكل",$K1813,IF('الداشبورد'!$B$7="تصدير","Y","N")))</f>
        <v/>
      </c>
      <c r="T1813">
        <f>--($J1813=IF('الداشبورد'!$B$8="الكل",$J1813,IF('الداشبورد'!$B$8="AL","A","C")))</f>
        <v/>
      </c>
      <c r="U1813">
        <f>--($I1813=IF('الداشبورد'!$B$9="الكل",$I1813,IF('الداشبورد'!$B$9="بدون حالة","P",'الداشبورد'!$B$9)))</f>
        <v/>
      </c>
      <c r="V1813">
        <f>--($D1813=IF('الداشبورد'!$B$10="الكل",$D1813,'الداشبورد'!$B$10))</f>
        <v/>
      </c>
      <c r="W1813">
        <f>--($G1813=IF('الداشبورد'!$B$11="الكل",$G1813,'الداشبورد'!$B$11))</f>
        <v/>
      </c>
      <c r="X1813">
        <f>Q1813*R1813*S1813*T1813*U1813*V1813*W1813*--($C1813&lt;&gt;"")</f>
        <v/>
      </c>
    </row>
    <row r="1814">
      <c r="Q1814">
        <f>--($A1814=IF('الداشبورد'!$B$5="الكل",$A1814,'الداشبورد'!$B$5))</f>
        <v/>
      </c>
      <c r="R1814">
        <f>--($E1814=IF('الداشبورد'!$B$6="الكل",$E1814,'الداشبورد'!$B$6))</f>
        <v/>
      </c>
      <c r="S1814">
        <f>--($K1814=IF('الداشبورد'!$B$7="الكل",$K1814,IF('الداشبورد'!$B$7="تصدير","Y","N")))</f>
        <v/>
      </c>
      <c r="T1814">
        <f>--($J1814=IF('الداشبورد'!$B$8="الكل",$J1814,IF('الداشبورد'!$B$8="AL","A","C")))</f>
        <v/>
      </c>
      <c r="U1814">
        <f>--($I1814=IF('الداشبورد'!$B$9="الكل",$I1814,IF('الداشبورد'!$B$9="بدون حالة","P",'الداشبورد'!$B$9)))</f>
        <v/>
      </c>
      <c r="V1814">
        <f>--($D1814=IF('الداشبورد'!$B$10="الكل",$D1814,'الداشبورد'!$B$10))</f>
        <v/>
      </c>
      <c r="W1814">
        <f>--($G1814=IF('الداشبورد'!$B$11="الكل",$G1814,'الداشبورد'!$B$11))</f>
        <v/>
      </c>
      <c r="X1814">
        <f>Q1814*R1814*S1814*T1814*U1814*V1814*W1814*--($C1814&lt;&gt;"")</f>
        <v/>
      </c>
    </row>
    <row r="1815">
      <c r="Q1815">
        <f>--($A1815=IF('الداشبورد'!$B$5="الكل",$A1815,'الداشبورد'!$B$5))</f>
        <v/>
      </c>
      <c r="R1815">
        <f>--($E1815=IF('الداشبورد'!$B$6="الكل",$E1815,'الداشبورد'!$B$6))</f>
        <v/>
      </c>
      <c r="S1815">
        <f>--($K1815=IF('الداشبورد'!$B$7="الكل",$K1815,IF('الداشبورد'!$B$7="تصدير","Y","N")))</f>
        <v/>
      </c>
      <c r="T1815">
        <f>--($J1815=IF('الداشبورد'!$B$8="الكل",$J1815,IF('الداشبورد'!$B$8="AL","A","C")))</f>
        <v/>
      </c>
      <c r="U1815">
        <f>--($I1815=IF('الداشبورد'!$B$9="الكل",$I1815,IF('الداشبورد'!$B$9="بدون حالة","P",'الداشبورد'!$B$9)))</f>
        <v/>
      </c>
      <c r="V1815">
        <f>--($D1815=IF('الداشبورد'!$B$10="الكل",$D1815,'الداشبورد'!$B$10))</f>
        <v/>
      </c>
      <c r="W1815">
        <f>--($G1815=IF('الداشبورد'!$B$11="الكل",$G1815,'الداشبورد'!$B$11))</f>
        <v/>
      </c>
      <c r="X1815">
        <f>Q1815*R1815*S1815*T1815*U1815*V1815*W1815*--($C1815&lt;&gt;"")</f>
        <v/>
      </c>
    </row>
    <row r="1816">
      <c r="Q1816">
        <f>--($A1816=IF('الداشبورد'!$B$5="الكل",$A1816,'الداشبورد'!$B$5))</f>
        <v/>
      </c>
      <c r="R1816">
        <f>--($E1816=IF('الداشبورد'!$B$6="الكل",$E1816,'الداشبورد'!$B$6))</f>
        <v/>
      </c>
      <c r="S1816">
        <f>--($K1816=IF('الداشبورد'!$B$7="الكل",$K1816,IF('الداشبورد'!$B$7="تصدير","Y","N")))</f>
        <v/>
      </c>
      <c r="T1816">
        <f>--($J1816=IF('الداشبورد'!$B$8="الكل",$J1816,IF('الداشبورد'!$B$8="AL","A","C")))</f>
        <v/>
      </c>
      <c r="U1816">
        <f>--($I1816=IF('الداشبورد'!$B$9="الكل",$I1816,IF('الداشبورد'!$B$9="بدون حالة","P",'الداشبورد'!$B$9)))</f>
        <v/>
      </c>
      <c r="V1816">
        <f>--($D1816=IF('الداشبورد'!$B$10="الكل",$D1816,'الداشبورد'!$B$10))</f>
        <v/>
      </c>
      <c r="W1816">
        <f>--($G1816=IF('الداشبورد'!$B$11="الكل",$G1816,'الداشبورد'!$B$11))</f>
        <v/>
      </c>
      <c r="X1816">
        <f>Q1816*R1816*S1816*T1816*U1816*V1816*W1816*--($C1816&lt;&gt;"")</f>
        <v/>
      </c>
    </row>
    <row r="1817">
      <c r="Q1817">
        <f>--($A1817=IF('الداشبورد'!$B$5="الكل",$A1817,'الداشبورد'!$B$5))</f>
        <v/>
      </c>
      <c r="R1817">
        <f>--($E1817=IF('الداشبورد'!$B$6="الكل",$E1817,'الداشبورد'!$B$6))</f>
        <v/>
      </c>
      <c r="S1817">
        <f>--($K1817=IF('الداشبورد'!$B$7="الكل",$K1817,IF('الداشبورد'!$B$7="تصدير","Y","N")))</f>
        <v/>
      </c>
      <c r="T1817">
        <f>--($J1817=IF('الداشبورد'!$B$8="الكل",$J1817,IF('الداشبورد'!$B$8="AL","A","C")))</f>
        <v/>
      </c>
      <c r="U1817">
        <f>--($I1817=IF('الداشبورد'!$B$9="الكل",$I1817,IF('الداشبورد'!$B$9="بدون حالة","P",'الداشبورد'!$B$9)))</f>
        <v/>
      </c>
      <c r="V1817">
        <f>--($D1817=IF('الداشبورد'!$B$10="الكل",$D1817,'الداشبورد'!$B$10))</f>
        <v/>
      </c>
      <c r="W1817">
        <f>--($G1817=IF('الداشبورد'!$B$11="الكل",$G1817,'الداشبورد'!$B$11))</f>
        <v/>
      </c>
      <c r="X1817">
        <f>Q1817*R1817*S1817*T1817*U1817*V1817*W1817*--($C1817&lt;&gt;"")</f>
        <v/>
      </c>
    </row>
    <row r="1818">
      <c r="Q1818">
        <f>--($A1818=IF('الداشبورد'!$B$5="الكل",$A1818,'الداشبورد'!$B$5))</f>
        <v/>
      </c>
      <c r="R1818">
        <f>--($E1818=IF('الداشبورد'!$B$6="الكل",$E1818,'الداشبورد'!$B$6))</f>
        <v/>
      </c>
      <c r="S1818">
        <f>--($K1818=IF('الداشبورد'!$B$7="الكل",$K1818,IF('الداشبورد'!$B$7="تصدير","Y","N")))</f>
        <v/>
      </c>
      <c r="T1818">
        <f>--($J1818=IF('الداشبورد'!$B$8="الكل",$J1818,IF('الداشبورد'!$B$8="AL","A","C")))</f>
        <v/>
      </c>
      <c r="U1818">
        <f>--($I1818=IF('الداشبورد'!$B$9="الكل",$I1818,IF('الداشبورد'!$B$9="بدون حالة","P",'الداشبورد'!$B$9)))</f>
        <v/>
      </c>
      <c r="V1818">
        <f>--($D1818=IF('الداشبورد'!$B$10="الكل",$D1818,'الداشبورد'!$B$10))</f>
        <v/>
      </c>
      <c r="W1818">
        <f>--($G1818=IF('الداشبورد'!$B$11="الكل",$G1818,'الداشبورد'!$B$11))</f>
        <v/>
      </c>
      <c r="X1818">
        <f>Q1818*R1818*S1818*T1818*U1818*V1818*W1818*--($C1818&lt;&gt;"")</f>
        <v/>
      </c>
    </row>
    <row r="1819">
      <c r="Q1819">
        <f>--($A1819=IF('الداشبورد'!$B$5="الكل",$A1819,'الداشبورد'!$B$5))</f>
        <v/>
      </c>
      <c r="R1819">
        <f>--($E1819=IF('الداشبورد'!$B$6="الكل",$E1819,'الداشبورد'!$B$6))</f>
        <v/>
      </c>
      <c r="S1819">
        <f>--($K1819=IF('الداشبورد'!$B$7="الكل",$K1819,IF('الداشبورد'!$B$7="تصدير","Y","N")))</f>
        <v/>
      </c>
      <c r="T1819">
        <f>--($J1819=IF('الداشبورد'!$B$8="الكل",$J1819,IF('الداشبورد'!$B$8="AL","A","C")))</f>
        <v/>
      </c>
      <c r="U1819">
        <f>--($I1819=IF('الداشبورد'!$B$9="الكل",$I1819,IF('الداشبورد'!$B$9="بدون حالة","P",'الداشبورد'!$B$9)))</f>
        <v/>
      </c>
      <c r="V1819">
        <f>--($D1819=IF('الداشبورد'!$B$10="الكل",$D1819,'الداشبورد'!$B$10))</f>
        <v/>
      </c>
      <c r="W1819">
        <f>--($G1819=IF('الداشبورد'!$B$11="الكل",$G1819,'الداشبورد'!$B$11))</f>
        <v/>
      </c>
      <c r="X1819">
        <f>Q1819*R1819*S1819*T1819*U1819*V1819*W1819*--($C1819&lt;&gt;"")</f>
        <v/>
      </c>
    </row>
    <row r="1820">
      <c r="Q1820">
        <f>--($A1820=IF('الداشبورد'!$B$5="الكل",$A1820,'الداشبورد'!$B$5))</f>
        <v/>
      </c>
      <c r="R1820">
        <f>--($E1820=IF('الداشبورد'!$B$6="الكل",$E1820,'الداشبورد'!$B$6))</f>
        <v/>
      </c>
      <c r="S1820">
        <f>--($K1820=IF('الداشبورد'!$B$7="الكل",$K1820,IF('الداشبورد'!$B$7="تصدير","Y","N")))</f>
        <v/>
      </c>
      <c r="T1820">
        <f>--($J1820=IF('الداشبورد'!$B$8="الكل",$J1820,IF('الداشبورد'!$B$8="AL","A","C")))</f>
        <v/>
      </c>
      <c r="U1820">
        <f>--($I1820=IF('الداشبورد'!$B$9="الكل",$I1820,IF('الداشبورد'!$B$9="بدون حالة","P",'الداشبورد'!$B$9)))</f>
        <v/>
      </c>
      <c r="V1820">
        <f>--($D1820=IF('الداشبورد'!$B$10="الكل",$D1820,'الداشبورد'!$B$10))</f>
        <v/>
      </c>
      <c r="W1820">
        <f>--($G1820=IF('الداشبورد'!$B$11="الكل",$G1820,'الداشبورد'!$B$11))</f>
        <v/>
      </c>
      <c r="X1820">
        <f>Q1820*R1820*S1820*T1820*U1820*V1820*W1820*--($C1820&lt;&gt;"")</f>
        <v/>
      </c>
    </row>
    <row r="1821">
      <c r="Q1821">
        <f>--($A1821=IF('الداشبورد'!$B$5="الكل",$A1821,'الداشبورد'!$B$5))</f>
        <v/>
      </c>
      <c r="R1821">
        <f>--($E1821=IF('الداشبورد'!$B$6="الكل",$E1821,'الداشبورد'!$B$6))</f>
        <v/>
      </c>
      <c r="S1821">
        <f>--($K1821=IF('الداشبورد'!$B$7="الكل",$K1821,IF('الداشبورد'!$B$7="تصدير","Y","N")))</f>
        <v/>
      </c>
      <c r="T1821">
        <f>--($J1821=IF('الداشبورد'!$B$8="الكل",$J1821,IF('الداشبورد'!$B$8="AL","A","C")))</f>
        <v/>
      </c>
      <c r="U1821">
        <f>--($I1821=IF('الداشبورد'!$B$9="الكل",$I1821,IF('الداشبورد'!$B$9="بدون حالة","P",'الداشبورد'!$B$9)))</f>
        <v/>
      </c>
      <c r="V1821">
        <f>--($D1821=IF('الداشبورد'!$B$10="الكل",$D1821,'الداشبورد'!$B$10))</f>
        <v/>
      </c>
      <c r="W1821">
        <f>--($G1821=IF('الداشبورد'!$B$11="الكل",$G1821,'الداشبورد'!$B$11))</f>
        <v/>
      </c>
      <c r="X1821">
        <f>Q1821*R1821*S1821*T1821*U1821*V1821*W1821*--($C1821&lt;&gt;"")</f>
        <v/>
      </c>
    </row>
    <row r="1822">
      <c r="Q1822">
        <f>--($A1822=IF('الداشبورد'!$B$5="الكل",$A1822,'الداشبورد'!$B$5))</f>
        <v/>
      </c>
      <c r="R1822">
        <f>--($E1822=IF('الداشبورد'!$B$6="الكل",$E1822,'الداشبورد'!$B$6))</f>
        <v/>
      </c>
      <c r="S1822">
        <f>--($K1822=IF('الداشبورد'!$B$7="الكل",$K1822,IF('الداشبورد'!$B$7="تصدير","Y","N")))</f>
        <v/>
      </c>
      <c r="T1822">
        <f>--($J1822=IF('الداشبورد'!$B$8="الكل",$J1822,IF('الداشبورد'!$B$8="AL","A","C")))</f>
        <v/>
      </c>
      <c r="U1822">
        <f>--($I1822=IF('الداشبورد'!$B$9="الكل",$I1822,IF('الداشبورد'!$B$9="بدون حالة","P",'الداشبورد'!$B$9)))</f>
        <v/>
      </c>
      <c r="V1822">
        <f>--($D1822=IF('الداشبورد'!$B$10="الكل",$D1822,'الداشبورد'!$B$10))</f>
        <v/>
      </c>
      <c r="W1822">
        <f>--($G1822=IF('الداشبورد'!$B$11="الكل",$G1822,'الداشبورد'!$B$11))</f>
        <v/>
      </c>
      <c r="X1822">
        <f>Q1822*R1822*S1822*T1822*U1822*V1822*W1822*--($C1822&lt;&gt;"")</f>
        <v/>
      </c>
    </row>
    <row r="1823">
      <c r="Q1823">
        <f>--($A1823=IF('الداشبورد'!$B$5="الكل",$A1823,'الداشبورد'!$B$5))</f>
        <v/>
      </c>
      <c r="R1823">
        <f>--($E1823=IF('الداشبورد'!$B$6="الكل",$E1823,'الداشبورد'!$B$6))</f>
        <v/>
      </c>
      <c r="S1823">
        <f>--($K1823=IF('الداشبورد'!$B$7="الكل",$K1823,IF('الداشبورد'!$B$7="تصدير","Y","N")))</f>
        <v/>
      </c>
      <c r="T1823">
        <f>--($J1823=IF('الداشبورد'!$B$8="الكل",$J1823,IF('الداشبورد'!$B$8="AL","A","C")))</f>
        <v/>
      </c>
      <c r="U1823">
        <f>--($I1823=IF('الداشبورد'!$B$9="الكل",$I1823,IF('الداشبورد'!$B$9="بدون حالة","P",'الداشبورد'!$B$9)))</f>
        <v/>
      </c>
      <c r="V1823">
        <f>--($D1823=IF('الداشبورد'!$B$10="الكل",$D1823,'الداشبورد'!$B$10))</f>
        <v/>
      </c>
      <c r="W1823">
        <f>--($G1823=IF('الداشبورد'!$B$11="الكل",$G1823,'الداشبورد'!$B$11))</f>
        <v/>
      </c>
      <c r="X1823">
        <f>Q1823*R1823*S1823*T1823*U1823*V1823*W1823*--($C1823&lt;&gt;"")</f>
        <v/>
      </c>
    </row>
    <row r="1824">
      <c r="Q1824">
        <f>--($A1824=IF('الداشبورد'!$B$5="الكل",$A1824,'الداشبورد'!$B$5))</f>
        <v/>
      </c>
      <c r="R1824">
        <f>--($E1824=IF('الداشبورد'!$B$6="الكل",$E1824,'الداشبورد'!$B$6))</f>
        <v/>
      </c>
      <c r="S1824">
        <f>--($K1824=IF('الداشبورد'!$B$7="الكل",$K1824,IF('الداشبورد'!$B$7="تصدير","Y","N")))</f>
        <v/>
      </c>
      <c r="T1824">
        <f>--($J1824=IF('الداشبورد'!$B$8="الكل",$J1824,IF('الداشبورد'!$B$8="AL","A","C")))</f>
        <v/>
      </c>
      <c r="U1824">
        <f>--($I1824=IF('الداشبورد'!$B$9="الكل",$I1824,IF('الداشبورد'!$B$9="بدون حالة","P",'الداشبورد'!$B$9)))</f>
        <v/>
      </c>
      <c r="V1824">
        <f>--($D1824=IF('الداشبورد'!$B$10="الكل",$D1824,'الداشبورد'!$B$10))</f>
        <v/>
      </c>
      <c r="W1824">
        <f>--($G1824=IF('الداشبورد'!$B$11="الكل",$G1824,'الداشبورد'!$B$11))</f>
        <v/>
      </c>
      <c r="X1824">
        <f>Q1824*R1824*S1824*T1824*U1824*V1824*W1824*--($C1824&lt;&gt;"")</f>
        <v/>
      </c>
    </row>
    <row r="1825">
      <c r="Q1825">
        <f>--($A1825=IF('الداشبورد'!$B$5="الكل",$A1825,'الداشبورد'!$B$5))</f>
        <v/>
      </c>
      <c r="R1825">
        <f>--($E1825=IF('الداشبورد'!$B$6="الكل",$E1825,'الداشبورد'!$B$6))</f>
        <v/>
      </c>
      <c r="S1825">
        <f>--($K1825=IF('الداشبورد'!$B$7="الكل",$K1825,IF('الداشبورد'!$B$7="تصدير","Y","N")))</f>
        <v/>
      </c>
      <c r="T1825">
        <f>--($J1825=IF('الداشبورد'!$B$8="الكل",$J1825,IF('الداشبورد'!$B$8="AL","A","C")))</f>
        <v/>
      </c>
      <c r="U1825">
        <f>--($I1825=IF('الداشبورد'!$B$9="الكل",$I1825,IF('الداشبورد'!$B$9="بدون حالة","P",'الداشبورد'!$B$9)))</f>
        <v/>
      </c>
      <c r="V1825">
        <f>--($D1825=IF('الداشبورد'!$B$10="الكل",$D1825,'الداشبورد'!$B$10))</f>
        <v/>
      </c>
      <c r="W1825">
        <f>--($G1825=IF('الداشبورد'!$B$11="الكل",$G1825,'الداشبورد'!$B$11))</f>
        <v/>
      </c>
      <c r="X1825">
        <f>Q1825*R1825*S1825*T1825*U1825*V1825*W1825*--($C1825&lt;&gt;"")</f>
        <v/>
      </c>
    </row>
    <row r="1826">
      <c r="Q1826">
        <f>--($A1826=IF('الداشبورد'!$B$5="الكل",$A1826,'الداشبورد'!$B$5))</f>
        <v/>
      </c>
      <c r="R1826">
        <f>--($E1826=IF('الداشبورد'!$B$6="الكل",$E1826,'الداشبورد'!$B$6))</f>
        <v/>
      </c>
      <c r="S1826">
        <f>--($K1826=IF('الداشبورد'!$B$7="الكل",$K1826,IF('الداشبورد'!$B$7="تصدير","Y","N")))</f>
        <v/>
      </c>
      <c r="T1826">
        <f>--($J1826=IF('الداشبورد'!$B$8="الكل",$J1826,IF('الداشبورد'!$B$8="AL","A","C")))</f>
        <v/>
      </c>
      <c r="U1826">
        <f>--($I1826=IF('الداشبورد'!$B$9="الكل",$I1826,IF('الداشبورد'!$B$9="بدون حالة","P",'الداشبورد'!$B$9)))</f>
        <v/>
      </c>
      <c r="V1826">
        <f>--($D1826=IF('الداشبورد'!$B$10="الكل",$D1826,'الداشبورد'!$B$10))</f>
        <v/>
      </c>
      <c r="W1826">
        <f>--($G1826=IF('الداشبورد'!$B$11="الكل",$G1826,'الداشبورد'!$B$11))</f>
        <v/>
      </c>
      <c r="X1826">
        <f>Q1826*R1826*S1826*T1826*U1826*V1826*W1826*--($C1826&lt;&gt;"")</f>
        <v/>
      </c>
    </row>
    <row r="1827">
      <c r="Q1827">
        <f>--($A1827=IF('الداشبورد'!$B$5="الكل",$A1827,'الداشبورد'!$B$5))</f>
        <v/>
      </c>
      <c r="R1827">
        <f>--($E1827=IF('الداشبورد'!$B$6="الكل",$E1827,'الداشبورد'!$B$6))</f>
        <v/>
      </c>
      <c r="S1827">
        <f>--($K1827=IF('الداشبورد'!$B$7="الكل",$K1827,IF('الداشبورد'!$B$7="تصدير","Y","N")))</f>
        <v/>
      </c>
      <c r="T1827">
        <f>--($J1827=IF('الداشبورد'!$B$8="الكل",$J1827,IF('الداشبورد'!$B$8="AL","A","C")))</f>
        <v/>
      </c>
      <c r="U1827">
        <f>--($I1827=IF('الداشبورد'!$B$9="الكل",$I1827,IF('الداشبورد'!$B$9="بدون حالة","P",'الداشبورد'!$B$9)))</f>
        <v/>
      </c>
      <c r="V1827">
        <f>--($D1827=IF('الداشبورد'!$B$10="الكل",$D1827,'الداشبورد'!$B$10))</f>
        <v/>
      </c>
      <c r="W1827">
        <f>--($G1827=IF('الداشبورد'!$B$11="الكل",$G1827,'الداشبورد'!$B$11))</f>
        <v/>
      </c>
      <c r="X1827">
        <f>Q1827*R1827*S1827*T1827*U1827*V1827*W1827*--($C1827&lt;&gt;"")</f>
        <v/>
      </c>
    </row>
    <row r="1828">
      <c r="Q1828">
        <f>--($A1828=IF('الداشبورد'!$B$5="الكل",$A1828,'الداشبورد'!$B$5))</f>
        <v/>
      </c>
      <c r="R1828">
        <f>--($E1828=IF('الداشبورد'!$B$6="الكل",$E1828,'الداشبورد'!$B$6))</f>
        <v/>
      </c>
      <c r="S1828">
        <f>--($K1828=IF('الداشبورد'!$B$7="الكل",$K1828,IF('الداشبورد'!$B$7="تصدير","Y","N")))</f>
        <v/>
      </c>
      <c r="T1828">
        <f>--($J1828=IF('الداشبورد'!$B$8="الكل",$J1828,IF('الداشبورد'!$B$8="AL","A","C")))</f>
        <v/>
      </c>
      <c r="U1828">
        <f>--($I1828=IF('الداشبورد'!$B$9="الكل",$I1828,IF('الداشبورد'!$B$9="بدون حالة","P",'الداشبورد'!$B$9)))</f>
        <v/>
      </c>
      <c r="V1828">
        <f>--($D1828=IF('الداشبورد'!$B$10="الكل",$D1828,'الداشبورد'!$B$10))</f>
        <v/>
      </c>
      <c r="W1828">
        <f>--($G1828=IF('الداشبورد'!$B$11="الكل",$G1828,'الداشبورد'!$B$11))</f>
        <v/>
      </c>
      <c r="X1828">
        <f>Q1828*R1828*S1828*T1828*U1828*V1828*W1828*--($C1828&lt;&gt;"")</f>
        <v/>
      </c>
    </row>
    <row r="1829">
      <c r="Q1829">
        <f>--($A1829=IF('الداشبورد'!$B$5="الكل",$A1829,'الداشبورد'!$B$5))</f>
        <v/>
      </c>
      <c r="R1829">
        <f>--($E1829=IF('الداشبورد'!$B$6="الكل",$E1829,'الداشبورد'!$B$6))</f>
        <v/>
      </c>
      <c r="S1829">
        <f>--($K1829=IF('الداشبورد'!$B$7="الكل",$K1829,IF('الداشبورد'!$B$7="تصدير","Y","N")))</f>
        <v/>
      </c>
      <c r="T1829">
        <f>--($J1829=IF('الداشبورد'!$B$8="الكل",$J1829,IF('الداشبورد'!$B$8="AL","A","C")))</f>
        <v/>
      </c>
      <c r="U1829">
        <f>--($I1829=IF('الداشبورد'!$B$9="الكل",$I1829,IF('الداشبورد'!$B$9="بدون حالة","P",'الداشبورد'!$B$9)))</f>
        <v/>
      </c>
      <c r="V1829">
        <f>--($D1829=IF('الداشبورد'!$B$10="الكل",$D1829,'الداشبورد'!$B$10))</f>
        <v/>
      </c>
      <c r="W1829">
        <f>--($G1829=IF('الداشبورد'!$B$11="الكل",$G1829,'الداشبورد'!$B$11))</f>
        <v/>
      </c>
      <c r="X1829">
        <f>Q1829*R1829*S1829*T1829*U1829*V1829*W1829*--($C1829&lt;&gt;"")</f>
        <v/>
      </c>
    </row>
    <row r="1830">
      <c r="Q1830">
        <f>--($A1830=IF('الداشبورد'!$B$5="الكل",$A1830,'الداشبورد'!$B$5))</f>
        <v/>
      </c>
      <c r="R1830">
        <f>--($E1830=IF('الداشبورد'!$B$6="الكل",$E1830,'الداشبورد'!$B$6))</f>
        <v/>
      </c>
      <c r="S1830">
        <f>--($K1830=IF('الداشبورد'!$B$7="الكل",$K1830,IF('الداشبورد'!$B$7="تصدير","Y","N")))</f>
        <v/>
      </c>
      <c r="T1830">
        <f>--($J1830=IF('الداشبورد'!$B$8="الكل",$J1830,IF('الداشبورد'!$B$8="AL","A","C")))</f>
        <v/>
      </c>
      <c r="U1830">
        <f>--($I1830=IF('الداشبورد'!$B$9="الكل",$I1830,IF('الداشبورد'!$B$9="بدون حالة","P",'الداشبورد'!$B$9)))</f>
        <v/>
      </c>
      <c r="V1830">
        <f>--($D1830=IF('الداشبورد'!$B$10="الكل",$D1830,'الداشبورد'!$B$10))</f>
        <v/>
      </c>
      <c r="W1830">
        <f>--($G1830=IF('الداشبورد'!$B$11="الكل",$G1830,'الداشبورد'!$B$11))</f>
        <v/>
      </c>
      <c r="X1830">
        <f>Q1830*R1830*S1830*T1830*U1830*V1830*W1830*--($C1830&lt;&gt;"")</f>
        <v/>
      </c>
    </row>
    <row r="1831">
      <c r="Q1831">
        <f>--($A1831=IF('الداشبورد'!$B$5="الكل",$A1831,'الداشبورد'!$B$5))</f>
        <v/>
      </c>
      <c r="R1831">
        <f>--($E1831=IF('الداشبورد'!$B$6="الكل",$E1831,'الداشبورد'!$B$6))</f>
        <v/>
      </c>
      <c r="S1831">
        <f>--($K1831=IF('الداشبورد'!$B$7="الكل",$K1831,IF('الداشبورد'!$B$7="تصدير","Y","N")))</f>
        <v/>
      </c>
      <c r="T1831">
        <f>--($J1831=IF('الداشبورد'!$B$8="الكل",$J1831,IF('الداشبورد'!$B$8="AL","A","C")))</f>
        <v/>
      </c>
      <c r="U1831">
        <f>--($I1831=IF('الداشبورد'!$B$9="الكل",$I1831,IF('الداشبورد'!$B$9="بدون حالة","P",'الداشبورد'!$B$9)))</f>
        <v/>
      </c>
      <c r="V1831">
        <f>--($D1831=IF('الداشبورد'!$B$10="الكل",$D1831,'الداشبورد'!$B$10))</f>
        <v/>
      </c>
      <c r="W1831">
        <f>--($G1831=IF('الداشبورد'!$B$11="الكل",$G1831,'الداشبورد'!$B$11))</f>
        <v/>
      </c>
      <c r="X1831">
        <f>Q1831*R1831*S1831*T1831*U1831*V1831*W1831*--($C1831&lt;&gt;"")</f>
        <v/>
      </c>
    </row>
    <row r="1832">
      <c r="Q1832">
        <f>--($A1832=IF('الداشبورد'!$B$5="الكل",$A1832,'الداشبورد'!$B$5))</f>
        <v/>
      </c>
      <c r="R1832">
        <f>--($E1832=IF('الداشبورد'!$B$6="الكل",$E1832,'الداشبورد'!$B$6))</f>
        <v/>
      </c>
      <c r="S1832">
        <f>--($K1832=IF('الداشبورد'!$B$7="الكل",$K1832,IF('الداشبورد'!$B$7="تصدير","Y","N")))</f>
        <v/>
      </c>
      <c r="T1832">
        <f>--($J1832=IF('الداشبورد'!$B$8="الكل",$J1832,IF('الداشبورد'!$B$8="AL","A","C")))</f>
        <v/>
      </c>
      <c r="U1832">
        <f>--($I1832=IF('الداشبورد'!$B$9="الكل",$I1832,IF('الداشبورد'!$B$9="بدون حالة","P",'الداشبورد'!$B$9)))</f>
        <v/>
      </c>
      <c r="V1832">
        <f>--($D1832=IF('الداشبورد'!$B$10="الكل",$D1832,'الداشبورد'!$B$10))</f>
        <v/>
      </c>
      <c r="W1832">
        <f>--($G1832=IF('الداشبورد'!$B$11="الكل",$G1832,'الداشبورد'!$B$11))</f>
        <v/>
      </c>
      <c r="X1832">
        <f>Q1832*R1832*S1832*T1832*U1832*V1832*W1832*--($C1832&lt;&gt;"")</f>
        <v/>
      </c>
    </row>
    <row r="1833">
      <c r="Q1833">
        <f>--($A1833=IF('الداشبورد'!$B$5="الكل",$A1833,'الداشبورد'!$B$5))</f>
        <v/>
      </c>
      <c r="R1833">
        <f>--($E1833=IF('الداشبورد'!$B$6="الكل",$E1833,'الداشبورد'!$B$6))</f>
        <v/>
      </c>
      <c r="S1833">
        <f>--($K1833=IF('الداشبورد'!$B$7="الكل",$K1833,IF('الداشبورد'!$B$7="تصدير","Y","N")))</f>
        <v/>
      </c>
      <c r="T1833">
        <f>--($J1833=IF('الداشبورد'!$B$8="الكل",$J1833,IF('الداشبورد'!$B$8="AL","A","C")))</f>
        <v/>
      </c>
      <c r="U1833">
        <f>--($I1833=IF('الداشبورد'!$B$9="الكل",$I1833,IF('الداشبورد'!$B$9="بدون حالة","P",'الداشبورد'!$B$9)))</f>
        <v/>
      </c>
      <c r="V1833">
        <f>--($D1833=IF('الداشبورد'!$B$10="الكل",$D1833,'الداشبورد'!$B$10))</f>
        <v/>
      </c>
      <c r="W1833">
        <f>--($G1833=IF('الداشبورد'!$B$11="الكل",$G1833,'الداشبورد'!$B$11))</f>
        <v/>
      </c>
      <c r="X1833">
        <f>Q1833*R1833*S1833*T1833*U1833*V1833*W1833*--($C1833&lt;&gt;"")</f>
        <v/>
      </c>
    </row>
    <row r="1834">
      <c r="Q1834">
        <f>--($A1834=IF('الداشبورد'!$B$5="الكل",$A1834,'الداشبورد'!$B$5))</f>
        <v/>
      </c>
      <c r="R1834">
        <f>--($E1834=IF('الداشبورد'!$B$6="الكل",$E1834,'الداشبورد'!$B$6))</f>
        <v/>
      </c>
      <c r="S1834">
        <f>--($K1834=IF('الداشبورد'!$B$7="الكل",$K1834,IF('الداشبورد'!$B$7="تصدير","Y","N")))</f>
        <v/>
      </c>
      <c r="T1834">
        <f>--($J1834=IF('الداشبورد'!$B$8="الكل",$J1834,IF('الداشبورد'!$B$8="AL","A","C")))</f>
        <v/>
      </c>
      <c r="U1834">
        <f>--($I1834=IF('الداشبورد'!$B$9="الكل",$I1834,IF('الداشبورد'!$B$9="بدون حالة","P",'الداشبورد'!$B$9)))</f>
        <v/>
      </c>
      <c r="V1834">
        <f>--($D1834=IF('الداشبورد'!$B$10="الكل",$D1834,'الداشبورد'!$B$10))</f>
        <v/>
      </c>
      <c r="W1834">
        <f>--($G1834=IF('الداشبورد'!$B$11="الكل",$G1834,'الداشبورد'!$B$11))</f>
        <v/>
      </c>
      <c r="X1834">
        <f>Q1834*R1834*S1834*T1834*U1834*V1834*W1834*--($C1834&lt;&gt;"")</f>
        <v/>
      </c>
    </row>
    <row r="1835">
      <c r="Q1835">
        <f>--($A1835=IF('الداشبورد'!$B$5="الكل",$A1835,'الداشبورد'!$B$5))</f>
        <v/>
      </c>
      <c r="R1835">
        <f>--($E1835=IF('الداشبورد'!$B$6="الكل",$E1835,'الداشبورد'!$B$6))</f>
        <v/>
      </c>
      <c r="S1835">
        <f>--($K1835=IF('الداشبورد'!$B$7="الكل",$K1835,IF('الداشبورد'!$B$7="تصدير","Y","N")))</f>
        <v/>
      </c>
      <c r="T1835">
        <f>--($J1835=IF('الداشبورد'!$B$8="الكل",$J1835,IF('الداشبورد'!$B$8="AL","A","C")))</f>
        <v/>
      </c>
      <c r="U1835">
        <f>--($I1835=IF('الداشبورد'!$B$9="الكل",$I1835,IF('الداشبورد'!$B$9="بدون حالة","P",'الداشبورد'!$B$9)))</f>
        <v/>
      </c>
      <c r="V1835">
        <f>--($D1835=IF('الداشبورد'!$B$10="الكل",$D1835,'الداشبورد'!$B$10))</f>
        <v/>
      </c>
      <c r="W1835">
        <f>--($G1835=IF('الداشبورد'!$B$11="الكل",$G1835,'الداشبورد'!$B$11))</f>
        <v/>
      </c>
      <c r="X1835">
        <f>Q1835*R1835*S1835*T1835*U1835*V1835*W1835*--($C1835&lt;&gt;"")</f>
        <v/>
      </c>
    </row>
    <row r="1836">
      <c r="Q1836">
        <f>--($A1836=IF('الداشبورد'!$B$5="الكل",$A1836,'الداشبورد'!$B$5))</f>
        <v/>
      </c>
      <c r="R1836">
        <f>--($E1836=IF('الداشبورد'!$B$6="الكل",$E1836,'الداشبورد'!$B$6))</f>
        <v/>
      </c>
      <c r="S1836">
        <f>--($K1836=IF('الداشبورد'!$B$7="الكل",$K1836,IF('الداشبورد'!$B$7="تصدير","Y","N")))</f>
        <v/>
      </c>
      <c r="T1836">
        <f>--($J1836=IF('الداشبورد'!$B$8="الكل",$J1836,IF('الداشبورد'!$B$8="AL","A","C")))</f>
        <v/>
      </c>
      <c r="U1836">
        <f>--($I1836=IF('الداشبورد'!$B$9="الكل",$I1836,IF('الداشبورد'!$B$9="بدون حالة","P",'الداشبورد'!$B$9)))</f>
        <v/>
      </c>
      <c r="V1836">
        <f>--($D1836=IF('الداشبورد'!$B$10="الكل",$D1836,'الداشبورد'!$B$10))</f>
        <v/>
      </c>
      <c r="W1836">
        <f>--($G1836=IF('الداشبورد'!$B$11="الكل",$G1836,'الداشبورد'!$B$11))</f>
        <v/>
      </c>
      <c r="X1836">
        <f>Q1836*R1836*S1836*T1836*U1836*V1836*W1836*--($C1836&lt;&gt;"")</f>
        <v/>
      </c>
    </row>
    <row r="1837">
      <c r="Q1837">
        <f>--($A1837=IF('الداشبورد'!$B$5="الكل",$A1837,'الداشبورد'!$B$5))</f>
        <v/>
      </c>
      <c r="R1837">
        <f>--($E1837=IF('الداشبورد'!$B$6="الكل",$E1837,'الداشبورد'!$B$6))</f>
        <v/>
      </c>
      <c r="S1837">
        <f>--($K1837=IF('الداشبورد'!$B$7="الكل",$K1837,IF('الداشبورد'!$B$7="تصدير","Y","N")))</f>
        <v/>
      </c>
      <c r="T1837">
        <f>--($J1837=IF('الداشبورد'!$B$8="الكل",$J1837,IF('الداشبورد'!$B$8="AL","A","C")))</f>
        <v/>
      </c>
      <c r="U1837">
        <f>--($I1837=IF('الداشبورد'!$B$9="الكل",$I1837,IF('الداشبورد'!$B$9="بدون حالة","P",'الداشبورد'!$B$9)))</f>
        <v/>
      </c>
      <c r="V1837">
        <f>--($D1837=IF('الداشبورد'!$B$10="الكل",$D1837,'الداشبورد'!$B$10))</f>
        <v/>
      </c>
      <c r="W1837">
        <f>--($G1837=IF('الداشبورد'!$B$11="الكل",$G1837,'الداشبورد'!$B$11))</f>
        <v/>
      </c>
      <c r="X1837">
        <f>Q1837*R1837*S1837*T1837*U1837*V1837*W1837*--($C1837&lt;&gt;"")</f>
        <v/>
      </c>
    </row>
    <row r="1838">
      <c r="Q1838">
        <f>--($A1838=IF('الداشبورد'!$B$5="الكل",$A1838,'الداشبورد'!$B$5))</f>
        <v/>
      </c>
      <c r="R1838">
        <f>--($E1838=IF('الداشبورد'!$B$6="الكل",$E1838,'الداشبورد'!$B$6))</f>
        <v/>
      </c>
      <c r="S1838">
        <f>--($K1838=IF('الداشبورد'!$B$7="الكل",$K1838,IF('الداشبورد'!$B$7="تصدير","Y","N")))</f>
        <v/>
      </c>
      <c r="T1838">
        <f>--($J1838=IF('الداشبورد'!$B$8="الكل",$J1838,IF('الداشبورد'!$B$8="AL","A","C")))</f>
        <v/>
      </c>
      <c r="U1838">
        <f>--($I1838=IF('الداشبورد'!$B$9="الكل",$I1838,IF('الداشبورد'!$B$9="بدون حالة","P",'الداشبورد'!$B$9)))</f>
        <v/>
      </c>
      <c r="V1838">
        <f>--($D1838=IF('الداشبورد'!$B$10="الكل",$D1838,'الداشبورد'!$B$10))</f>
        <v/>
      </c>
      <c r="W1838">
        <f>--($G1838=IF('الداشبورد'!$B$11="الكل",$G1838,'الداشبورد'!$B$11))</f>
        <v/>
      </c>
      <c r="X1838">
        <f>Q1838*R1838*S1838*T1838*U1838*V1838*W1838*--($C1838&lt;&gt;"")</f>
        <v/>
      </c>
    </row>
    <row r="1839">
      <c r="Q1839">
        <f>--($A1839=IF('الداشبورد'!$B$5="الكل",$A1839,'الداشبورد'!$B$5))</f>
        <v/>
      </c>
      <c r="R1839">
        <f>--($E1839=IF('الداشبورد'!$B$6="الكل",$E1839,'الداشبورد'!$B$6))</f>
        <v/>
      </c>
      <c r="S1839">
        <f>--($K1839=IF('الداشبورد'!$B$7="الكل",$K1839,IF('الداشبورد'!$B$7="تصدير","Y","N")))</f>
        <v/>
      </c>
      <c r="T1839">
        <f>--($J1839=IF('الداشبورد'!$B$8="الكل",$J1839,IF('الداشبورد'!$B$8="AL","A","C")))</f>
        <v/>
      </c>
      <c r="U1839">
        <f>--($I1839=IF('الداشبورد'!$B$9="الكل",$I1839,IF('الداشبورد'!$B$9="بدون حالة","P",'الداشبورد'!$B$9)))</f>
        <v/>
      </c>
      <c r="V1839">
        <f>--($D1839=IF('الداشبورد'!$B$10="الكل",$D1839,'الداشبورد'!$B$10))</f>
        <v/>
      </c>
      <c r="W1839">
        <f>--($G1839=IF('الداشبورد'!$B$11="الكل",$G1839,'الداشبورد'!$B$11))</f>
        <v/>
      </c>
      <c r="X1839">
        <f>Q1839*R1839*S1839*T1839*U1839*V1839*W1839*--($C1839&lt;&gt;"")</f>
        <v/>
      </c>
    </row>
    <row r="1840">
      <c r="Q1840">
        <f>--($A1840=IF('الداشبورد'!$B$5="الكل",$A1840,'الداشبورد'!$B$5))</f>
        <v/>
      </c>
      <c r="R1840">
        <f>--($E1840=IF('الداشبورد'!$B$6="الكل",$E1840,'الداشبورد'!$B$6))</f>
        <v/>
      </c>
      <c r="S1840">
        <f>--($K1840=IF('الداشبورد'!$B$7="الكل",$K1840,IF('الداشبورد'!$B$7="تصدير","Y","N")))</f>
        <v/>
      </c>
      <c r="T1840">
        <f>--($J1840=IF('الداشبورد'!$B$8="الكل",$J1840,IF('الداشبورد'!$B$8="AL","A","C")))</f>
        <v/>
      </c>
      <c r="U1840">
        <f>--($I1840=IF('الداشبورد'!$B$9="الكل",$I1840,IF('الداشبورد'!$B$9="بدون حالة","P",'الداشبورد'!$B$9)))</f>
        <v/>
      </c>
      <c r="V1840">
        <f>--($D1840=IF('الداشبورد'!$B$10="الكل",$D1840,'الداشبورد'!$B$10))</f>
        <v/>
      </c>
      <c r="W1840">
        <f>--($G1840=IF('الداشبورد'!$B$11="الكل",$G1840,'الداشبورد'!$B$11))</f>
        <v/>
      </c>
      <c r="X1840">
        <f>Q1840*R1840*S1840*T1840*U1840*V1840*W1840*--($C1840&lt;&gt;"")</f>
        <v/>
      </c>
    </row>
    <row r="1841">
      <c r="Q1841">
        <f>--($A1841=IF('الداشبورد'!$B$5="الكل",$A1841,'الداشبورد'!$B$5))</f>
        <v/>
      </c>
      <c r="R1841">
        <f>--($E1841=IF('الداشبورد'!$B$6="الكل",$E1841,'الداشبورد'!$B$6))</f>
        <v/>
      </c>
      <c r="S1841">
        <f>--($K1841=IF('الداشبورد'!$B$7="الكل",$K1841,IF('الداشبورد'!$B$7="تصدير","Y","N")))</f>
        <v/>
      </c>
      <c r="T1841">
        <f>--($J1841=IF('الداشبورد'!$B$8="الكل",$J1841,IF('الداشبورد'!$B$8="AL","A","C")))</f>
        <v/>
      </c>
      <c r="U1841">
        <f>--($I1841=IF('الداشبورد'!$B$9="الكل",$I1841,IF('الداشبورد'!$B$9="بدون حالة","P",'الداشبورد'!$B$9)))</f>
        <v/>
      </c>
      <c r="V1841">
        <f>--($D1841=IF('الداشبورد'!$B$10="الكل",$D1841,'الداشبورد'!$B$10))</f>
        <v/>
      </c>
      <c r="W1841">
        <f>--($G1841=IF('الداشبورد'!$B$11="الكل",$G1841,'الداشبورد'!$B$11))</f>
        <v/>
      </c>
      <c r="X1841">
        <f>Q1841*R1841*S1841*T1841*U1841*V1841*W1841*--($C1841&lt;&gt;"")</f>
        <v/>
      </c>
    </row>
    <row r="1842">
      <c r="Q1842">
        <f>--($A1842=IF('الداشبورد'!$B$5="الكل",$A1842,'الداشبورد'!$B$5))</f>
        <v/>
      </c>
      <c r="R1842">
        <f>--($E1842=IF('الداشبورد'!$B$6="الكل",$E1842,'الداشبورد'!$B$6))</f>
        <v/>
      </c>
      <c r="S1842">
        <f>--($K1842=IF('الداشبورد'!$B$7="الكل",$K1842,IF('الداشبورد'!$B$7="تصدير","Y","N")))</f>
        <v/>
      </c>
      <c r="T1842">
        <f>--($J1842=IF('الداشبورد'!$B$8="الكل",$J1842,IF('الداشبورد'!$B$8="AL","A","C")))</f>
        <v/>
      </c>
      <c r="U1842">
        <f>--($I1842=IF('الداشبورد'!$B$9="الكل",$I1842,IF('الداشبورد'!$B$9="بدون حالة","P",'الداشبورد'!$B$9)))</f>
        <v/>
      </c>
      <c r="V1842">
        <f>--($D1842=IF('الداشبورد'!$B$10="الكل",$D1842,'الداشبورد'!$B$10))</f>
        <v/>
      </c>
      <c r="W1842">
        <f>--($G1842=IF('الداشبورد'!$B$11="الكل",$G1842,'الداشبورد'!$B$11))</f>
        <v/>
      </c>
      <c r="X1842">
        <f>Q1842*R1842*S1842*T1842*U1842*V1842*W1842*--($C1842&lt;&gt;"")</f>
        <v/>
      </c>
    </row>
    <row r="1843">
      <c r="Q1843">
        <f>--($A1843=IF('الداشبورد'!$B$5="الكل",$A1843,'الداشبورد'!$B$5))</f>
        <v/>
      </c>
      <c r="R1843">
        <f>--($E1843=IF('الداشبورد'!$B$6="الكل",$E1843,'الداشبورد'!$B$6))</f>
        <v/>
      </c>
      <c r="S1843">
        <f>--($K1843=IF('الداشبورد'!$B$7="الكل",$K1843,IF('الداشبورد'!$B$7="تصدير","Y","N")))</f>
        <v/>
      </c>
      <c r="T1843">
        <f>--($J1843=IF('الداشبورد'!$B$8="الكل",$J1843,IF('الداشبورد'!$B$8="AL","A","C")))</f>
        <v/>
      </c>
      <c r="U1843">
        <f>--($I1843=IF('الداشبورد'!$B$9="الكل",$I1843,IF('الداشبورد'!$B$9="بدون حالة","P",'الداشبورد'!$B$9)))</f>
        <v/>
      </c>
      <c r="V1843">
        <f>--($D1843=IF('الداشبورد'!$B$10="الكل",$D1843,'الداشبورد'!$B$10))</f>
        <v/>
      </c>
      <c r="W1843">
        <f>--($G1843=IF('الداشبورد'!$B$11="الكل",$G1843,'الداشبورد'!$B$11))</f>
        <v/>
      </c>
      <c r="X1843">
        <f>Q1843*R1843*S1843*T1843*U1843*V1843*W1843*--($C1843&lt;&gt;"")</f>
        <v/>
      </c>
    </row>
    <row r="1844">
      <c r="Q1844">
        <f>--($A1844=IF('الداشبورد'!$B$5="الكل",$A1844,'الداشبورد'!$B$5))</f>
        <v/>
      </c>
      <c r="R1844">
        <f>--($E1844=IF('الداشبورد'!$B$6="الكل",$E1844,'الداشبورد'!$B$6))</f>
        <v/>
      </c>
      <c r="S1844">
        <f>--($K1844=IF('الداشبورد'!$B$7="الكل",$K1844,IF('الداشبورد'!$B$7="تصدير","Y","N")))</f>
        <v/>
      </c>
      <c r="T1844">
        <f>--($J1844=IF('الداشبورد'!$B$8="الكل",$J1844,IF('الداشبورد'!$B$8="AL","A","C")))</f>
        <v/>
      </c>
      <c r="U1844">
        <f>--($I1844=IF('الداشبورد'!$B$9="الكل",$I1844,IF('الداشبورد'!$B$9="بدون حالة","P",'الداشبورد'!$B$9)))</f>
        <v/>
      </c>
      <c r="V1844">
        <f>--($D1844=IF('الداشبورد'!$B$10="الكل",$D1844,'الداشبورد'!$B$10))</f>
        <v/>
      </c>
      <c r="W1844">
        <f>--($G1844=IF('الداشبورد'!$B$11="الكل",$G1844,'الداشبورد'!$B$11))</f>
        <v/>
      </c>
      <c r="X1844">
        <f>Q1844*R1844*S1844*T1844*U1844*V1844*W1844*--($C1844&lt;&gt;"")</f>
        <v/>
      </c>
    </row>
    <row r="1845">
      <c r="Q1845">
        <f>--($A1845=IF('الداشبورد'!$B$5="الكل",$A1845,'الداشبورد'!$B$5))</f>
        <v/>
      </c>
      <c r="R1845">
        <f>--($E1845=IF('الداشبورد'!$B$6="الكل",$E1845,'الداشبورد'!$B$6))</f>
        <v/>
      </c>
      <c r="S1845">
        <f>--($K1845=IF('الداشبورد'!$B$7="الكل",$K1845,IF('الداشبورد'!$B$7="تصدير","Y","N")))</f>
        <v/>
      </c>
      <c r="T1845">
        <f>--($J1845=IF('الداشبورد'!$B$8="الكل",$J1845,IF('الداشبورد'!$B$8="AL","A","C")))</f>
        <v/>
      </c>
      <c r="U1845">
        <f>--($I1845=IF('الداشبورد'!$B$9="الكل",$I1845,IF('الداشبورد'!$B$9="بدون حالة","P",'الداشبورد'!$B$9)))</f>
        <v/>
      </c>
      <c r="V1845">
        <f>--($D1845=IF('الداشبورد'!$B$10="الكل",$D1845,'الداشبورد'!$B$10))</f>
        <v/>
      </c>
      <c r="W1845">
        <f>--($G1845=IF('الداشبورد'!$B$11="الكل",$G1845,'الداشبورد'!$B$11))</f>
        <v/>
      </c>
      <c r="X1845">
        <f>Q1845*R1845*S1845*T1845*U1845*V1845*W1845*--($C1845&lt;&gt;"")</f>
        <v/>
      </c>
    </row>
    <row r="1846">
      <c r="Q1846">
        <f>--($A1846=IF('الداشبورد'!$B$5="الكل",$A1846,'الداشبورد'!$B$5))</f>
        <v/>
      </c>
      <c r="R1846">
        <f>--($E1846=IF('الداشبورد'!$B$6="الكل",$E1846,'الداشبورد'!$B$6))</f>
        <v/>
      </c>
      <c r="S1846">
        <f>--($K1846=IF('الداشبورد'!$B$7="الكل",$K1846,IF('الداشبورد'!$B$7="تصدير","Y","N")))</f>
        <v/>
      </c>
      <c r="T1846">
        <f>--($J1846=IF('الداشبورد'!$B$8="الكل",$J1846,IF('الداشبورد'!$B$8="AL","A","C")))</f>
        <v/>
      </c>
      <c r="U1846">
        <f>--($I1846=IF('الداشبورد'!$B$9="الكل",$I1846,IF('الداشبورد'!$B$9="بدون حالة","P",'الداشبورد'!$B$9)))</f>
        <v/>
      </c>
      <c r="V1846">
        <f>--($D1846=IF('الداشبورد'!$B$10="الكل",$D1846,'الداشبورد'!$B$10))</f>
        <v/>
      </c>
      <c r="W1846">
        <f>--($G1846=IF('الداشبورد'!$B$11="الكل",$G1846,'الداشبورد'!$B$11))</f>
        <v/>
      </c>
      <c r="X1846">
        <f>Q1846*R1846*S1846*T1846*U1846*V1846*W1846*--($C1846&lt;&gt;"")</f>
        <v/>
      </c>
    </row>
    <row r="1847">
      <c r="Q1847">
        <f>--($A1847=IF('الداشبورد'!$B$5="الكل",$A1847,'الداشبورد'!$B$5))</f>
        <v/>
      </c>
      <c r="R1847">
        <f>--($E1847=IF('الداشبورد'!$B$6="الكل",$E1847,'الداشبورد'!$B$6))</f>
        <v/>
      </c>
      <c r="S1847">
        <f>--($K1847=IF('الداشبورد'!$B$7="الكل",$K1847,IF('الداشبورد'!$B$7="تصدير","Y","N")))</f>
        <v/>
      </c>
      <c r="T1847">
        <f>--($J1847=IF('الداشبورد'!$B$8="الكل",$J1847,IF('الداشبورد'!$B$8="AL","A","C")))</f>
        <v/>
      </c>
      <c r="U1847">
        <f>--($I1847=IF('الداشبورد'!$B$9="الكل",$I1847,IF('الداشبورد'!$B$9="بدون حالة","P",'الداشبورد'!$B$9)))</f>
        <v/>
      </c>
      <c r="V1847">
        <f>--($D1847=IF('الداشبورد'!$B$10="الكل",$D1847,'الداشبورد'!$B$10))</f>
        <v/>
      </c>
      <c r="W1847">
        <f>--($G1847=IF('الداشبورد'!$B$11="الكل",$G1847,'الداشبورد'!$B$11))</f>
        <v/>
      </c>
      <c r="X1847">
        <f>Q1847*R1847*S1847*T1847*U1847*V1847*W1847*--($C1847&lt;&gt;"")</f>
        <v/>
      </c>
    </row>
    <row r="1848">
      <c r="Q1848">
        <f>--($A1848=IF('الداشبورد'!$B$5="الكل",$A1848,'الداشبورد'!$B$5))</f>
        <v/>
      </c>
      <c r="R1848">
        <f>--($E1848=IF('الداشبورد'!$B$6="الكل",$E1848,'الداشبورد'!$B$6))</f>
        <v/>
      </c>
      <c r="S1848">
        <f>--($K1848=IF('الداشبورد'!$B$7="الكل",$K1848,IF('الداشبورد'!$B$7="تصدير","Y","N")))</f>
        <v/>
      </c>
      <c r="T1848">
        <f>--($J1848=IF('الداشبورد'!$B$8="الكل",$J1848,IF('الداشبورد'!$B$8="AL","A","C")))</f>
        <v/>
      </c>
      <c r="U1848">
        <f>--($I1848=IF('الداشبورد'!$B$9="الكل",$I1848,IF('الداشبورد'!$B$9="بدون حالة","P",'الداشبورد'!$B$9)))</f>
        <v/>
      </c>
      <c r="V1848">
        <f>--($D1848=IF('الداشبورد'!$B$10="الكل",$D1848,'الداشبورد'!$B$10))</f>
        <v/>
      </c>
      <c r="W1848">
        <f>--($G1848=IF('الداشبورد'!$B$11="الكل",$G1848,'الداشبورد'!$B$11))</f>
        <v/>
      </c>
      <c r="X1848">
        <f>Q1848*R1848*S1848*T1848*U1848*V1848*W1848*--($C1848&lt;&gt;"")</f>
        <v/>
      </c>
    </row>
    <row r="1849">
      <c r="Q1849">
        <f>--($A1849=IF('الداشبورد'!$B$5="الكل",$A1849,'الداشبورد'!$B$5))</f>
        <v/>
      </c>
      <c r="R1849">
        <f>--($E1849=IF('الداشبورد'!$B$6="الكل",$E1849,'الداشبورد'!$B$6))</f>
        <v/>
      </c>
      <c r="S1849">
        <f>--($K1849=IF('الداشبورد'!$B$7="الكل",$K1849,IF('الداشبورد'!$B$7="تصدير","Y","N")))</f>
        <v/>
      </c>
      <c r="T1849">
        <f>--($J1849=IF('الداشبورد'!$B$8="الكل",$J1849,IF('الداشبورد'!$B$8="AL","A","C")))</f>
        <v/>
      </c>
      <c r="U1849">
        <f>--($I1849=IF('الداشبورد'!$B$9="الكل",$I1849,IF('الداشبورد'!$B$9="بدون حالة","P",'الداشبورد'!$B$9)))</f>
        <v/>
      </c>
      <c r="V1849">
        <f>--($D1849=IF('الداشبورد'!$B$10="الكل",$D1849,'الداشبورد'!$B$10))</f>
        <v/>
      </c>
      <c r="W1849">
        <f>--($G1849=IF('الداشبورد'!$B$11="الكل",$G1849,'الداشبورد'!$B$11))</f>
        <v/>
      </c>
      <c r="X1849">
        <f>Q1849*R1849*S1849*T1849*U1849*V1849*W1849*--($C1849&lt;&gt;"")</f>
        <v/>
      </c>
    </row>
    <row r="1850">
      <c r="Q1850">
        <f>--($A1850=IF('الداشبورد'!$B$5="الكل",$A1850,'الداشبورد'!$B$5))</f>
        <v/>
      </c>
      <c r="R1850">
        <f>--($E1850=IF('الداشبورد'!$B$6="الكل",$E1850,'الداشبورد'!$B$6))</f>
        <v/>
      </c>
      <c r="S1850">
        <f>--($K1850=IF('الداشبورد'!$B$7="الكل",$K1850,IF('الداشبورد'!$B$7="تصدير","Y","N")))</f>
        <v/>
      </c>
      <c r="T1850">
        <f>--($J1850=IF('الداشبورد'!$B$8="الكل",$J1850,IF('الداشبورد'!$B$8="AL","A","C")))</f>
        <v/>
      </c>
      <c r="U1850">
        <f>--($I1850=IF('الداشبورد'!$B$9="الكل",$I1850,IF('الداشبورد'!$B$9="بدون حالة","P",'الداشبورد'!$B$9)))</f>
        <v/>
      </c>
      <c r="V1850">
        <f>--($D1850=IF('الداشبورد'!$B$10="الكل",$D1850,'الداشبورد'!$B$10))</f>
        <v/>
      </c>
      <c r="W1850">
        <f>--($G1850=IF('الداشبورد'!$B$11="الكل",$G1850,'الداشبورد'!$B$11))</f>
        <v/>
      </c>
      <c r="X1850">
        <f>Q1850*R1850*S1850*T1850*U1850*V1850*W1850*--($C1850&lt;&gt;"")</f>
        <v/>
      </c>
    </row>
    <row r="1851">
      <c r="Q1851">
        <f>--($A1851=IF('الداشبورد'!$B$5="الكل",$A1851,'الداشبورد'!$B$5))</f>
        <v/>
      </c>
      <c r="R1851">
        <f>--($E1851=IF('الداشبورد'!$B$6="الكل",$E1851,'الداشبورد'!$B$6))</f>
        <v/>
      </c>
      <c r="S1851">
        <f>--($K1851=IF('الداشبورد'!$B$7="الكل",$K1851,IF('الداشبورد'!$B$7="تصدير","Y","N")))</f>
        <v/>
      </c>
      <c r="T1851">
        <f>--($J1851=IF('الداشبورد'!$B$8="الكل",$J1851,IF('الداشبورد'!$B$8="AL","A","C")))</f>
        <v/>
      </c>
      <c r="U1851">
        <f>--($I1851=IF('الداشبورد'!$B$9="الكل",$I1851,IF('الداشبورد'!$B$9="بدون حالة","P",'الداشبورد'!$B$9)))</f>
        <v/>
      </c>
      <c r="V1851">
        <f>--($D1851=IF('الداشبورد'!$B$10="الكل",$D1851,'الداشبورد'!$B$10))</f>
        <v/>
      </c>
      <c r="W1851">
        <f>--($G1851=IF('الداشبورد'!$B$11="الكل",$G1851,'الداشبورد'!$B$11))</f>
        <v/>
      </c>
      <c r="X1851">
        <f>Q1851*R1851*S1851*T1851*U1851*V1851*W1851*--($C1851&lt;&gt;"")</f>
        <v/>
      </c>
    </row>
    <row r="1852">
      <c r="Q1852">
        <f>--($A1852=IF('الداشبورد'!$B$5="الكل",$A1852,'الداشبورد'!$B$5))</f>
        <v/>
      </c>
      <c r="R1852">
        <f>--($E1852=IF('الداشبورد'!$B$6="الكل",$E1852,'الداشبورد'!$B$6))</f>
        <v/>
      </c>
      <c r="S1852">
        <f>--($K1852=IF('الداشبورد'!$B$7="الكل",$K1852,IF('الداشبورد'!$B$7="تصدير","Y","N")))</f>
        <v/>
      </c>
      <c r="T1852">
        <f>--($J1852=IF('الداشبورد'!$B$8="الكل",$J1852,IF('الداشبورد'!$B$8="AL","A","C")))</f>
        <v/>
      </c>
      <c r="U1852">
        <f>--($I1852=IF('الداشبورد'!$B$9="الكل",$I1852,IF('الداشبورد'!$B$9="بدون حالة","P",'الداشبورد'!$B$9)))</f>
        <v/>
      </c>
      <c r="V1852">
        <f>--($D1852=IF('الداشبورد'!$B$10="الكل",$D1852,'الداشبورد'!$B$10))</f>
        <v/>
      </c>
      <c r="W1852">
        <f>--($G1852=IF('الداشبورد'!$B$11="الكل",$G1852,'الداشبورد'!$B$11))</f>
        <v/>
      </c>
      <c r="X1852">
        <f>Q1852*R1852*S1852*T1852*U1852*V1852*W1852*--($C1852&lt;&gt;"")</f>
        <v/>
      </c>
    </row>
    <row r="1853">
      <c r="Q1853">
        <f>--($A1853=IF('الداشبورد'!$B$5="الكل",$A1853,'الداشبورد'!$B$5))</f>
        <v/>
      </c>
      <c r="R1853">
        <f>--($E1853=IF('الداشبورد'!$B$6="الكل",$E1853,'الداشبورد'!$B$6))</f>
        <v/>
      </c>
      <c r="S1853">
        <f>--($K1853=IF('الداشبورد'!$B$7="الكل",$K1853,IF('الداشبورد'!$B$7="تصدير","Y","N")))</f>
        <v/>
      </c>
      <c r="T1853">
        <f>--($J1853=IF('الداشبورد'!$B$8="الكل",$J1853,IF('الداشبورد'!$B$8="AL","A","C")))</f>
        <v/>
      </c>
      <c r="U1853">
        <f>--($I1853=IF('الداشبورد'!$B$9="الكل",$I1853,IF('الداشبورد'!$B$9="بدون حالة","P",'الداشبورد'!$B$9)))</f>
        <v/>
      </c>
      <c r="V1853">
        <f>--($D1853=IF('الداشبورد'!$B$10="الكل",$D1853,'الداشبورد'!$B$10))</f>
        <v/>
      </c>
      <c r="W1853">
        <f>--($G1853=IF('الداشبورد'!$B$11="الكل",$G1853,'الداشبورد'!$B$11))</f>
        <v/>
      </c>
      <c r="X1853">
        <f>Q1853*R1853*S1853*T1853*U1853*V1853*W1853*--($C1853&lt;&gt;"")</f>
        <v/>
      </c>
    </row>
    <row r="1854">
      <c r="Q1854">
        <f>--($A1854=IF('الداشبورد'!$B$5="الكل",$A1854,'الداشبورد'!$B$5))</f>
        <v/>
      </c>
      <c r="R1854">
        <f>--($E1854=IF('الداشبورد'!$B$6="الكل",$E1854,'الداشبورد'!$B$6))</f>
        <v/>
      </c>
      <c r="S1854">
        <f>--($K1854=IF('الداشبورد'!$B$7="الكل",$K1854,IF('الداشبورد'!$B$7="تصدير","Y","N")))</f>
        <v/>
      </c>
      <c r="T1854">
        <f>--($J1854=IF('الداشبورد'!$B$8="الكل",$J1854,IF('الداشبورد'!$B$8="AL","A","C")))</f>
        <v/>
      </c>
      <c r="U1854">
        <f>--($I1854=IF('الداشبورد'!$B$9="الكل",$I1854,IF('الداشبورد'!$B$9="بدون حالة","P",'الداشبورد'!$B$9)))</f>
        <v/>
      </c>
      <c r="V1854">
        <f>--($D1854=IF('الداشبورد'!$B$10="الكل",$D1854,'الداشبورد'!$B$10))</f>
        <v/>
      </c>
      <c r="W1854">
        <f>--($G1854=IF('الداشبورد'!$B$11="الكل",$G1854,'الداشبورد'!$B$11))</f>
        <v/>
      </c>
      <c r="X1854">
        <f>Q1854*R1854*S1854*T1854*U1854*V1854*W1854*--($C1854&lt;&gt;"")</f>
        <v/>
      </c>
    </row>
    <row r="1855">
      <c r="Q1855">
        <f>--($A1855=IF('الداشبورد'!$B$5="الكل",$A1855,'الداشبورد'!$B$5))</f>
        <v/>
      </c>
      <c r="R1855">
        <f>--($E1855=IF('الداشبورد'!$B$6="الكل",$E1855,'الداشبورد'!$B$6))</f>
        <v/>
      </c>
      <c r="S1855">
        <f>--($K1855=IF('الداشبورد'!$B$7="الكل",$K1855,IF('الداشبورد'!$B$7="تصدير","Y","N")))</f>
        <v/>
      </c>
      <c r="T1855">
        <f>--($J1855=IF('الداشبورد'!$B$8="الكل",$J1855,IF('الداشبورد'!$B$8="AL","A","C")))</f>
        <v/>
      </c>
      <c r="U1855">
        <f>--($I1855=IF('الداشبورد'!$B$9="الكل",$I1855,IF('الداشبورد'!$B$9="بدون حالة","P",'الداشبورد'!$B$9)))</f>
        <v/>
      </c>
      <c r="V1855">
        <f>--($D1855=IF('الداشبورد'!$B$10="الكل",$D1855,'الداشبورد'!$B$10))</f>
        <v/>
      </c>
      <c r="W1855">
        <f>--($G1855=IF('الداشبورد'!$B$11="الكل",$G1855,'الداشبورد'!$B$11))</f>
        <v/>
      </c>
      <c r="X1855">
        <f>Q1855*R1855*S1855*T1855*U1855*V1855*W1855*--($C1855&lt;&gt;"")</f>
        <v/>
      </c>
    </row>
    <row r="1856">
      <c r="Q1856">
        <f>--($A1856=IF('الداشبورد'!$B$5="الكل",$A1856,'الداشبورد'!$B$5))</f>
        <v/>
      </c>
      <c r="R1856">
        <f>--($E1856=IF('الداشبورد'!$B$6="الكل",$E1856,'الداشبورد'!$B$6))</f>
        <v/>
      </c>
      <c r="S1856">
        <f>--($K1856=IF('الداشبورد'!$B$7="الكل",$K1856,IF('الداشبورد'!$B$7="تصدير","Y","N")))</f>
        <v/>
      </c>
      <c r="T1856">
        <f>--($J1856=IF('الداشبورد'!$B$8="الكل",$J1856,IF('الداشبورد'!$B$8="AL","A","C")))</f>
        <v/>
      </c>
      <c r="U1856">
        <f>--($I1856=IF('الداشبورد'!$B$9="الكل",$I1856,IF('الداشبورد'!$B$9="بدون حالة","P",'الداشبورد'!$B$9)))</f>
        <v/>
      </c>
      <c r="V1856">
        <f>--($D1856=IF('الداشبورد'!$B$10="الكل",$D1856,'الداشبورد'!$B$10))</f>
        <v/>
      </c>
      <c r="W1856">
        <f>--($G1856=IF('الداشبورد'!$B$11="الكل",$G1856,'الداشبورد'!$B$11))</f>
        <v/>
      </c>
      <c r="X1856">
        <f>Q1856*R1856*S1856*T1856*U1856*V1856*W1856*--($C1856&lt;&gt;"")</f>
        <v/>
      </c>
    </row>
    <row r="1857">
      <c r="Q1857">
        <f>--($A1857=IF('الداشبورد'!$B$5="الكل",$A1857,'الداشبورد'!$B$5))</f>
        <v/>
      </c>
      <c r="R1857">
        <f>--($E1857=IF('الداشبورد'!$B$6="الكل",$E1857,'الداشبورد'!$B$6))</f>
        <v/>
      </c>
      <c r="S1857">
        <f>--($K1857=IF('الداشبورد'!$B$7="الكل",$K1857,IF('الداشبورد'!$B$7="تصدير","Y","N")))</f>
        <v/>
      </c>
      <c r="T1857">
        <f>--($J1857=IF('الداشبورد'!$B$8="الكل",$J1857,IF('الداشبورد'!$B$8="AL","A","C")))</f>
        <v/>
      </c>
      <c r="U1857">
        <f>--($I1857=IF('الداشبورد'!$B$9="الكل",$I1857,IF('الداشبورد'!$B$9="بدون حالة","P",'الداشبورد'!$B$9)))</f>
        <v/>
      </c>
      <c r="V1857">
        <f>--($D1857=IF('الداشبورد'!$B$10="الكل",$D1857,'الداشبورد'!$B$10))</f>
        <v/>
      </c>
      <c r="W1857">
        <f>--($G1857=IF('الداشبورد'!$B$11="الكل",$G1857,'الداشبورد'!$B$11))</f>
        <v/>
      </c>
      <c r="X1857">
        <f>Q1857*R1857*S1857*T1857*U1857*V1857*W1857*--($C1857&lt;&gt;"")</f>
        <v/>
      </c>
    </row>
    <row r="1858">
      <c r="Q1858">
        <f>--($A1858=IF('الداشبورد'!$B$5="الكل",$A1858,'الداشبورد'!$B$5))</f>
        <v/>
      </c>
      <c r="R1858">
        <f>--($E1858=IF('الداشبورد'!$B$6="الكل",$E1858,'الداشبورد'!$B$6))</f>
        <v/>
      </c>
      <c r="S1858">
        <f>--($K1858=IF('الداشبورد'!$B$7="الكل",$K1858,IF('الداشبورد'!$B$7="تصدير","Y","N")))</f>
        <v/>
      </c>
      <c r="T1858">
        <f>--($J1858=IF('الداشبورد'!$B$8="الكل",$J1858,IF('الداشبورد'!$B$8="AL","A","C")))</f>
        <v/>
      </c>
      <c r="U1858">
        <f>--($I1858=IF('الداشبورد'!$B$9="الكل",$I1858,IF('الداشبورد'!$B$9="بدون حالة","P",'الداشبورد'!$B$9)))</f>
        <v/>
      </c>
      <c r="V1858">
        <f>--($D1858=IF('الداشبورد'!$B$10="الكل",$D1858,'الداشبورد'!$B$10))</f>
        <v/>
      </c>
      <c r="W1858">
        <f>--($G1858=IF('الداشبورد'!$B$11="الكل",$G1858,'الداشبورد'!$B$11))</f>
        <v/>
      </c>
      <c r="X1858">
        <f>Q1858*R1858*S1858*T1858*U1858*V1858*W1858*--($C1858&lt;&gt;"")</f>
        <v/>
      </c>
    </row>
    <row r="1859">
      <c r="Q1859">
        <f>--($A1859=IF('الداشبورد'!$B$5="الكل",$A1859,'الداشبورد'!$B$5))</f>
        <v/>
      </c>
      <c r="R1859">
        <f>--($E1859=IF('الداشبورد'!$B$6="الكل",$E1859,'الداشبورد'!$B$6))</f>
        <v/>
      </c>
      <c r="S1859">
        <f>--($K1859=IF('الداشبورد'!$B$7="الكل",$K1859,IF('الداشبورد'!$B$7="تصدير","Y","N")))</f>
        <v/>
      </c>
      <c r="T1859">
        <f>--($J1859=IF('الداشبورد'!$B$8="الكل",$J1859,IF('الداشبورد'!$B$8="AL","A","C")))</f>
        <v/>
      </c>
      <c r="U1859">
        <f>--($I1859=IF('الداشبورد'!$B$9="الكل",$I1859,IF('الداشبورد'!$B$9="بدون حالة","P",'الداشبورد'!$B$9)))</f>
        <v/>
      </c>
      <c r="V1859">
        <f>--($D1859=IF('الداشبورد'!$B$10="الكل",$D1859,'الداشبورد'!$B$10))</f>
        <v/>
      </c>
      <c r="W1859">
        <f>--($G1859=IF('الداشبورد'!$B$11="الكل",$G1859,'الداشبورد'!$B$11))</f>
        <v/>
      </c>
      <c r="X1859">
        <f>Q1859*R1859*S1859*T1859*U1859*V1859*W1859*--($C1859&lt;&gt;"")</f>
        <v/>
      </c>
    </row>
    <row r="1860">
      <c r="Q1860">
        <f>--($A1860=IF('الداشبورد'!$B$5="الكل",$A1860,'الداشبورد'!$B$5))</f>
        <v/>
      </c>
      <c r="R1860">
        <f>--($E1860=IF('الداشبورد'!$B$6="الكل",$E1860,'الداشبورد'!$B$6))</f>
        <v/>
      </c>
      <c r="S1860">
        <f>--($K1860=IF('الداشبورد'!$B$7="الكل",$K1860,IF('الداشبورد'!$B$7="تصدير","Y","N")))</f>
        <v/>
      </c>
      <c r="T1860">
        <f>--($J1860=IF('الداشبورد'!$B$8="الكل",$J1860,IF('الداشبورد'!$B$8="AL","A","C")))</f>
        <v/>
      </c>
      <c r="U1860">
        <f>--($I1860=IF('الداشبورد'!$B$9="الكل",$I1860,IF('الداشبورد'!$B$9="بدون حالة","P",'الداشبورد'!$B$9)))</f>
        <v/>
      </c>
      <c r="V1860">
        <f>--($D1860=IF('الداشبورد'!$B$10="الكل",$D1860,'الداشبورد'!$B$10))</f>
        <v/>
      </c>
      <c r="W1860">
        <f>--($G1860=IF('الداشبورد'!$B$11="الكل",$G1860,'الداشبورد'!$B$11))</f>
        <v/>
      </c>
      <c r="X1860">
        <f>Q1860*R1860*S1860*T1860*U1860*V1860*W1860*--($C1860&lt;&gt;"")</f>
        <v/>
      </c>
    </row>
    <row r="1861">
      <c r="Q1861">
        <f>--($A1861=IF('الداشبورد'!$B$5="الكل",$A1861,'الداشبورد'!$B$5))</f>
        <v/>
      </c>
      <c r="R1861">
        <f>--($E1861=IF('الداشبورد'!$B$6="الكل",$E1861,'الداشبورد'!$B$6))</f>
        <v/>
      </c>
      <c r="S1861">
        <f>--($K1861=IF('الداشبورد'!$B$7="الكل",$K1861,IF('الداشبورد'!$B$7="تصدير","Y","N")))</f>
        <v/>
      </c>
      <c r="T1861">
        <f>--($J1861=IF('الداشبورد'!$B$8="الكل",$J1861,IF('الداشبورد'!$B$8="AL","A","C")))</f>
        <v/>
      </c>
      <c r="U1861">
        <f>--($I1861=IF('الداشبورد'!$B$9="الكل",$I1861,IF('الداشبورد'!$B$9="بدون حالة","P",'الداشبورد'!$B$9)))</f>
        <v/>
      </c>
      <c r="V1861">
        <f>--($D1861=IF('الداشبورد'!$B$10="الكل",$D1861,'الداشبورد'!$B$10))</f>
        <v/>
      </c>
      <c r="W1861">
        <f>--($G1861=IF('الداشبورد'!$B$11="الكل",$G1861,'الداشبورد'!$B$11))</f>
        <v/>
      </c>
      <c r="X1861">
        <f>Q1861*R1861*S1861*T1861*U1861*V1861*W1861*--($C1861&lt;&gt;"")</f>
        <v/>
      </c>
    </row>
    <row r="1862">
      <c r="Q1862">
        <f>--($A1862=IF('الداشبورد'!$B$5="الكل",$A1862,'الداشبورد'!$B$5))</f>
        <v/>
      </c>
      <c r="R1862">
        <f>--($E1862=IF('الداشبورد'!$B$6="الكل",$E1862,'الداشبورد'!$B$6))</f>
        <v/>
      </c>
      <c r="S1862">
        <f>--($K1862=IF('الداشبورد'!$B$7="الكل",$K1862,IF('الداشبورد'!$B$7="تصدير","Y","N")))</f>
        <v/>
      </c>
      <c r="T1862">
        <f>--($J1862=IF('الداشبورد'!$B$8="الكل",$J1862,IF('الداشبورد'!$B$8="AL","A","C")))</f>
        <v/>
      </c>
      <c r="U1862">
        <f>--($I1862=IF('الداشبورد'!$B$9="الكل",$I1862,IF('الداشبورد'!$B$9="بدون حالة","P",'الداشبورد'!$B$9)))</f>
        <v/>
      </c>
      <c r="V1862">
        <f>--($D1862=IF('الداشبورد'!$B$10="الكل",$D1862,'الداشبورد'!$B$10))</f>
        <v/>
      </c>
      <c r="W1862">
        <f>--($G1862=IF('الداشبورد'!$B$11="الكل",$G1862,'الداشبورد'!$B$11))</f>
        <v/>
      </c>
      <c r="X1862">
        <f>Q1862*R1862*S1862*T1862*U1862*V1862*W1862*--($C1862&lt;&gt;"")</f>
        <v/>
      </c>
    </row>
    <row r="1863">
      <c r="Q1863">
        <f>--($A1863=IF('الداشبورد'!$B$5="الكل",$A1863,'الداشبورد'!$B$5))</f>
        <v/>
      </c>
      <c r="R1863">
        <f>--($E1863=IF('الداشبورد'!$B$6="الكل",$E1863,'الداشبورد'!$B$6))</f>
        <v/>
      </c>
      <c r="S1863">
        <f>--($K1863=IF('الداشبورد'!$B$7="الكل",$K1863,IF('الداشبورد'!$B$7="تصدير","Y","N")))</f>
        <v/>
      </c>
      <c r="T1863">
        <f>--($J1863=IF('الداشبورد'!$B$8="الكل",$J1863,IF('الداشبورد'!$B$8="AL","A","C")))</f>
        <v/>
      </c>
      <c r="U1863">
        <f>--($I1863=IF('الداشبورد'!$B$9="الكل",$I1863,IF('الداشبورد'!$B$9="بدون حالة","P",'الداشبورد'!$B$9)))</f>
        <v/>
      </c>
      <c r="V1863">
        <f>--($D1863=IF('الداشبورد'!$B$10="الكل",$D1863,'الداشبورد'!$B$10))</f>
        <v/>
      </c>
      <c r="W1863">
        <f>--($G1863=IF('الداشبورد'!$B$11="الكل",$G1863,'الداشبورد'!$B$11))</f>
        <v/>
      </c>
      <c r="X1863">
        <f>Q1863*R1863*S1863*T1863*U1863*V1863*W1863*--($C1863&lt;&gt;"")</f>
        <v/>
      </c>
    </row>
    <row r="1864">
      <c r="Q1864">
        <f>--($A1864=IF('الداشبورد'!$B$5="الكل",$A1864,'الداشبورد'!$B$5))</f>
        <v/>
      </c>
      <c r="R1864">
        <f>--($E1864=IF('الداشبورد'!$B$6="الكل",$E1864,'الداشبورد'!$B$6))</f>
        <v/>
      </c>
      <c r="S1864">
        <f>--($K1864=IF('الداشبورد'!$B$7="الكل",$K1864,IF('الداشبورد'!$B$7="تصدير","Y","N")))</f>
        <v/>
      </c>
      <c r="T1864">
        <f>--($J1864=IF('الداشبورد'!$B$8="الكل",$J1864,IF('الداشبورد'!$B$8="AL","A","C")))</f>
        <v/>
      </c>
      <c r="U1864">
        <f>--($I1864=IF('الداشبورد'!$B$9="الكل",$I1864,IF('الداشبورد'!$B$9="بدون حالة","P",'الداشبورد'!$B$9)))</f>
        <v/>
      </c>
      <c r="V1864">
        <f>--($D1864=IF('الداشبورد'!$B$10="الكل",$D1864,'الداشبورد'!$B$10))</f>
        <v/>
      </c>
      <c r="W1864">
        <f>--($G1864=IF('الداشبورد'!$B$11="الكل",$G1864,'الداشبورد'!$B$11))</f>
        <v/>
      </c>
      <c r="X1864">
        <f>Q1864*R1864*S1864*T1864*U1864*V1864*W1864*--($C1864&lt;&gt;"")</f>
        <v/>
      </c>
    </row>
    <row r="1865">
      <c r="Q1865">
        <f>--($A1865=IF('الداشبورد'!$B$5="الكل",$A1865,'الداشبورد'!$B$5))</f>
        <v/>
      </c>
      <c r="R1865">
        <f>--($E1865=IF('الداشبورد'!$B$6="الكل",$E1865,'الداشبورد'!$B$6))</f>
        <v/>
      </c>
      <c r="S1865">
        <f>--($K1865=IF('الداشبورد'!$B$7="الكل",$K1865,IF('الداشبورد'!$B$7="تصدير","Y","N")))</f>
        <v/>
      </c>
      <c r="T1865">
        <f>--($J1865=IF('الداشبورد'!$B$8="الكل",$J1865,IF('الداشبورد'!$B$8="AL","A","C")))</f>
        <v/>
      </c>
      <c r="U1865">
        <f>--($I1865=IF('الداشبورد'!$B$9="الكل",$I1865,IF('الداشبورد'!$B$9="بدون حالة","P",'الداشبورد'!$B$9)))</f>
        <v/>
      </c>
      <c r="V1865">
        <f>--($D1865=IF('الداشبورد'!$B$10="الكل",$D1865,'الداشبورد'!$B$10))</f>
        <v/>
      </c>
      <c r="W1865">
        <f>--($G1865=IF('الداشبورد'!$B$11="الكل",$G1865,'الداشبورد'!$B$11))</f>
        <v/>
      </c>
      <c r="X1865">
        <f>Q1865*R1865*S1865*T1865*U1865*V1865*W1865*--($C1865&lt;&gt;"")</f>
        <v/>
      </c>
    </row>
    <row r="1866">
      <c r="Q1866">
        <f>--($A1866=IF('الداشبورد'!$B$5="الكل",$A1866,'الداشبورد'!$B$5))</f>
        <v/>
      </c>
      <c r="R1866">
        <f>--($E1866=IF('الداشبورد'!$B$6="الكل",$E1866,'الداشبورد'!$B$6))</f>
        <v/>
      </c>
      <c r="S1866">
        <f>--($K1866=IF('الداشبورد'!$B$7="الكل",$K1866,IF('الداشبورد'!$B$7="تصدير","Y","N")))</f>
        <v/>
      </c>
      <c r="T1866">
        <f>--($J1866=IF('الداشبورد'!$B$8="الكل",$J1866,IF('الداشبورد'!$B$8="AL","A","C")))</f>
        <v/>
      </c>
      <c r="U1866">
        <f>--($I1866=IF('الداشبورد'!$B$9="الكل",$I1866,IF('الداشبورد'!$B$9="بدون حالة","P",'الداشبورد'!$B$9)))</f>
        <v/>
      </c>
      <c r="V1866">
        <f>--($D1866=IF('الداشبورد'!$B$10="الكل",$D1866,'الداشبورد'!$B$10))</f>
        <v/>
      </c>
      <c r="W1866">
        <f>--($G1866=IF('الداشبورد'!$B$11="الكل",$G1866,'الداشبورد'!$B$11))</f>
        <v/>
      </c>
      <c r="X1866">
        <f>Q1866*R1866*S1866*T1866*U1866*V1866*W1866*--($C1866&lt;&gt;"")</f>
        <v/>
      </c>
    </row>
    <row r="1867">
      <c r="Q1867">
        <f>--($A1867=IF('الداشبورد'!$B$5="الكل",$A1867,'الداشبورد'!$B$5))</f>
        <v/>
      </c>
      <c r="R1867">
        <f>--($E1867=IF('الداشبورد'!$B$6="الكل",$E1867,'الداشبورد'!$B$6))</f>
        <v/>
      </c>
      <c r="S1867">
        <f>--($K1867=IF('الداشبورد'!$B$7="الكل",$K1867,IF('الداشبورد'!$B$7="تصدير","Y","N")))</f>
        <v/>
      </c>
      <c r="T1867">
        <f>--($J1867=IF('الداشبورد'!$B$8="الكل",$J1867,IF('الداشبورد'!$B$8="AL","A","C")))</f>
        <v/>
      </c>
      <c r="U1867">
        <f>--($I1867=IF('الداشبورد'!$B$9="الكل",$I1867,IF('الداشبورد'!$B$9="بدون حالة","P",'الداشبورد'!$B$9)))</f>
        <v/>
      </c>
      <c r="V1867">
        <f>--($D1867=IF('الداشبورد'!$B$10="الكل",$D1867,'الداشبورد'!$B$10))</f>
        <v/>
      </c>
      <c r="W1867">
        <f>--($G1867=IF('الداشبورد'!$B$11="الكل",$G1867,'الداشبورد'!$B$11))</f>
        <v/>
      </c>
      <c r="X1867">
        <f>Q1867*R1867*S1867*T1867*U1867*V1867*W1867*--($C1867&lt;&gt;"")</f>
        <v/>
      </c>
    </row>
    <row r="1868">
      <c r="Q1868">
        <f>--($A1868=IF('الداشبورد'!$B$5="الكل",$A1868,'الداشبورد'!$B$5))</f>
        <v/>
      </c>
      <c r="R1868">
        <f>--($E1868=IF('الداشبورد'!$B$6="الكل",$E1868,'الداشبورد'!$B$6))</f>
        <v/>
      </c>
      <c r="S1868">
        <f>--($K1868=IF('الداشبورد'!$B$7="الكل",$K1868,IF('الداشبورد'!$B$7="تصدير","Y","N")))</f>
        <v/>
      </c>
      <c r="T1868">
        <f>--($J1868=IF('الداشبورد'!$B$8="الكل",$J1868,IF('الداشبورد'!$B$8="AL","A","C")))</f>
        <v/>
      </c>
      <c r="U1868">
        <f>--($I1868=IF('الداشبورد'!$B$9="الكل",$I1868,IF('الداشبورد'!$B$9="بدون حالة","P",'الداشبورد'!$B$9)))</f>
        <v/>
      </c>
      <c r="V1868">
        <f>--($D1868=IF('الداشبورد'!$B$10="الكل",$D1868,'الداشبورد'!$B$10))</f>
        <v/>
      </c>
      <c r="W1868">
        <f>--($G1868=IF('الداشبورد'!$B$11="الكل",$G1868,'الداشبورد'!$B$11))</f>
        <v/>
      </c>
      <c r="X1868">
        <f>Q1868*R1868*S1868*T1868*U1868*V1868*W1868*--($C1868&lt;&gt;"")</f>
        <v/>
      </c>
    </row>
    <row r="1869">
      <c r="Q1869">
        <f>--($A1869=IF('الداشبورد'!$B$5="الكل",$A1869,'الداشبورد'!$B$5))</f>
        <v/>
      </c>
      <c r="R1869">
        <f>--($E1869=IF('الداشبورد'!$B$6="الكل",$E1869,'الداشبورد'!$B$6))</f>
        <v/>
      </c>
      <c r="S1869">
        <f>--($K1869=IF('الداشبورد'!$B$7="الكل",$K1869,IF('الداشبورد'!$B$7="تصدير","Y","N")))</f>
        <v/>
      </c>
      <c r="T1869">
        <f>--($J1869=IF('الداشبورد'!$B$8="الكل",$J1869,IF('الداشبورد'!$B$8="AL","A","C")))</f>
        <v/>
      </c>
      <c r="U1869">
        <f>--($I1869=IF('الداشبورد'!$B$9="الكل",$I1869,IF('الداشبورد'!$B$9="بدون حالة","P",'الداشبورد'!$B$9)))</f>
        <v/>
      </c>
      <c r="V1869">
        <f>--($D1869=IF('الداشبورد'!$B$10="الكل",$D1869,'الداشبورد'!$B$10))</f>
        <v/>
      </c>
      <c r="W1869">
        <f>--($G1869=IF('الداشبورد'!$B$11="الكل",$G1869,'الداشبورد'!$B$11))</f>
        <v/>
      </c>
      <c r="X1869">
        <f>Q1869*R1869*S1869*T1869*U1869*V1869*W1869*--($C1869&lt;&gt;"")</f>
        <v/>
      </c>
    </row>
    <row r="1870">
      <c r="Q1870">
        <f>--($A1870=IF('الداشبورد'!$B$5="الكل",$A1870,'الداشبورد'!$B$5))</f>
        <v/>
      </c>
      <c r="R1870">
        <f>--($E1870=IF('الداشبورد'!$B$6="الكل",$E1870,'الداشبورد'!$B$6))</f>
        <v/>
      </c>
      <c r="S1870">
        <f>--($K1870=IF('الداشبورد'!$B$7="الكل",$K1870,IF('الداشبورد'!$B$7="تصدير","Y","N")))</f>
        <v/>
      </c>
      <c r="T1870">
        <f>--($J1870=IF('الداشبورد'!$B$8="الكل",$J1870,IF('الداشبورد'!$B$8="AL","A","C")))</f>
        <v/>
      </c>
      <c r="U1870">
        <f>--($I1870=IF('الداشبورد'!$B$9="الكل",$I1870,IF('الداشبورد'!$B$9="بدون حالة","P",'الداشبورد'!$B$9)))</f>
        <v/>
      </c>
      <c r="V1870">
        <f>--($D1870=IF('الداشبورد'!$B$10="الكل",$D1870,'الداشبورد'!$B$10))</f>
        <v/>
      </c>
      <c r="W1870">
        <f>--($G1870=IF('الداشبورد'!$B$11="الكل",$G1870,'الداشبورد'!$B$11))</f>
        <v/>
      </c>
      <c r="X1870">
        <f>Q1870*R1870*S1870*T1870*U1870*V1870*W1870*--($C1870&lt;&gt;"")</f>
        <v/>
      </c>
    </row>
    <row r="1871">
      <c r="Q1871">
        <f>--($A1871=IF('الداشبورد'!$B$5="الكل",$A1871,'الداشبورد'!$B$5))</f>
        <v/>
      </c>
      <c r="R1871">
        <f>--($E1871=IF('الداشبورد'!$B$6="الكل",$E1871,'الداشبورد'!$B$6))</f>
        <v/>
      </c>
      <c r="S1871">
        <f>--($K1871=IF('الداشبورد'!$B$7="الكل",$K1871,IF('الداشبورد'!$B$7="تصدير","Y","N")))</f>
        <v/>
      </c>
      <c r="T1871">
        <f>--($J1871=IF('الداشبورد'!$B$8="الكل",$J1871,IF('الداشبورد'!$B$8="AL","A","C")))</f>
        <v/>
      </c>
      <c r="U1871">
        <f>--($I1871=IF('الداشبورد'!$B$9="الكل",$I1871,IF('الداشبورد'!$B$9="بدون حالة","P",'الداشبورد'!$B$9)))</f>
        <v/>
      </c>
      <c r="V1871">
        <f>--($D1871=IF('الداشبورد'!$B$10="الكل",$D1871,'الداشبورد'!$B$10))</f>
        <v/>
      </c>
      <c r="W1871">
        <f>--($G1871=IF('الداشبورد'!$B$11="الكل",$G1871,'الداشبورد'!$B$11))</f>
        <v/>
      </c>
      <c r="X1871">
        <f>Q1871*R1871*S1871*T1871*U1871*V1871*W1871*--($C1871&lt;&gt;"")</f>
        <v/>
      </c>
    </row>
    <row r="1872">
      <c r="Q1872">
        <f>--($A1872=IF('الداشبورد'!$B$5="الكل",$A1872,'الداشبورد'!$B$5))</f>
        <v/>
      </c>
      <c r="R1872">
        <f>--($E1872=IF('الداشبورد'!$B$6="الكل",$E1872,'الداشبورد'!$B$6))</f>
        <v/>
      </c>
      <c r="S1872">
        <f>--($K1872=IF('الداشبورد'!$B$7="الكل",$K1872,IF('الداشبورد'!$B$7="تصدير","Y","N")))</f>
        <v/>
      </c>
      <c r="T1872">
        <f>--($J1872=IF('الداشبورد'!$B$8="الكل",$J1872,IF('الداشبورد'!$B$8="AL","A","C")))</f>
        <v/>
      </c>
      <c r="U1872">
        <f>--($I1872=IF('الداشبورد'!$B$9="الكل",$I1872,IF('الداشبورد'!$B$9="بدون حالة","P",'الداشبورد'!$B$9)))</f>
        <v/>
      </c>
      <c r="V1872">
        <f>--($D1872=IF('الداشبورد'!$B$10="الكل",$D1872,'الداشبورد'!$B$10))</f>
        <v/>
      </c>
      <c r="W1872">
        <f>--($G1872=IF('الداشبورد'!$B$11="الكل",$G1872,'الداشبورد'!$B$11))</f>
        <v/>
      </c>
      <c r="X1872">
        <f>Q1872*R1872*S1872*T1872*U1872*V1872*W1872*--($C1872&lt;&gt;"")</f>
        <v/>
      </c>
    </row>
    <row r="1873">
      <c r="Q1873">
        <f>--($A1873=IF('الداشبورد'!$B$5="الكل",$A1873,'الداشبورد'!$B$5))</f>
        <v/>
      </c>
      <c r="R1873">
        <f>--($E1873=IF('الداشبورد'!$B$6="الكل",$E1873,'الداشبورد'!$B$6))</f>
        <v/>
      </c>
      <c r="S1873">
        <f>--($K1873=IF('الداشبورد'!$B$7="الكل",$K1873,IF('الداشبورد'!$B$7="تصدير","Y","N")))</f>
        <v/>
      </c>
      <c r="T1873">
        <f>--($J1873=IF('الداشبورد'!$B$8="الكل",$J1873,IF('الداشبورد'!$B$8="AL","A","C")))</f>
        <v/>
      </c>
      <c r="U1873">
        <f>--($I1873=IF('الداشبورد'!$B$9="الكل",$I1873,IF('الداشبورد'!$B$9="بدون حالة","P",'الداشبورد'!$B$9)))</f>
        <v/>
      </c>
      <c r="V1873">
        <f>--($D1873=IF('الداشبورد'!$B$10="الكل",$D1873,'الداشبورد'!$B$10))</f>
        <v/>
      </c>
      <c r="W1873">
        <f>--($G1873=IF('الداشبورد'!$B$11="الكل",$G1873,'الداشبورد'!$B$11))</f>
        <v/>
      </c>
      <c r="X1873">
        <f>Q1873*R1873*S1873*T1873*U1873*V1873*W1873*--($C1873&lt;&gt;"")</f>
        <v/>
      </c>
    </row>
    <row r="1874">
      <c r="Q1874">
        <f>--($A1874=IF('الداشبورد'!$B$5="الكل",$A1874,'الداشبورد'!$B$5))</f>
        <v/>
      </c>
      <c r="R1874">
        <f>--($E1874=IF('الداشبورد'!$B$6="الكل",$E1874,'الداشبورد'!$B$6))</f>
        <v/>
      </c>
      <c r="S1874">
        <f>--($K1874=IF('الداشبورد'!$B$7="الكل",$K1874,IF('الداشبورد'!$B$7="تصدير","Y","N")))</f>
        <v/>
      </c>
      <c r="T1874">
        <f>--($J1874=IF('الداشبورد'!$B$8="الكل",$J1874,IF('الداشبورد'!$B$8="AL","A","C")))</f>
        <v/>
      </c>
      <c r="U1874">
        <f>--($I1874=IF('الداشبورد'!$B$9="الكل",$I1874,IF('الداشبورد'!$B$9="بدون حالة","P",'الداشبورد'!$B$9)))</f>
        <v/>
      </c>
      <c r="V1874">
        <f>--($D1874=IF('الداشبورد'!$B$10="الكل",$D1874,'الداشبورد'!$B$10))</f>
        <v/>
      </c>
      <c r="W1874">
        <f>--($G1874=IF('الداشبورد'!$B$11="الكل",$G1874,'الداشبورد'!$B$11))</f>
        <v/>
      </c>
      <c r="X1874">
        <f>Q1874*R1874*S1874*T1874*U1874*V1874*W1874*--($C1874&lt;&gt;"")</f>
        <v/>
      </c>
    </row>
    <row r="1875">
      <c r="Q1875">
        <f>--($A1875=IF('الداشبورد'!$B$5="الكل",$A1875,'الداشبورد'!$B$5))</f>
        <v/>
      </c>
      <c r="R1875">
        <f>--($E1875=IF('الداشبورد'!$B$6="الكل",$E1875,'الداشبورد'!$B$6))</f>
        <v/>
      </c>
      <c r="S1875">
        <f>--($K1875=IF('الداشبورد'!$B$7="الكل",$K1875,IF('الداشبورد'!$B$7="تصدير","Y","N")))</f>
        <v/>
      </c>
      <c r="T1875">
        <f>--($J1875=IF('الداشبورد'!$B$8="الكل",$J1875,IF('الداشبورد'!$B$8="AL","A","C")))</f>
        <v/>
      </c>
      <c r="U1875">
        <f>--($I1875=IF('الداشبورد'!$B$9="الكل",$I1875,IF('الداشبورد'!$B$9="بدون حالة","P",'الداشبورد'!$B$9)))</f>
        <v/>
      </c>
      <c r="V1875">
        <f>--($D1875=IF('الداشبورد'!$B$10="الكل",$D1875,'الداشبورد'!$B$10))</f>
        <v/>
      </c>
      <c r="W1875">
        <f>--($G1875=IF('الداشبورد'!$B$11="الكل",$G1875,'الداشبورد'!$B$11))</f>
        <v/>
      </c>
      <c r="X1875">
        <f>Q1875*R1875*S1875*T1875*U1875*V1875*W1875*--($C1875&lt;&gt;"")</f>
        <v/>
      </c>
    </row>
    <row r="1876">
      <c r="Q1876">
        <f>--($A1876=IF('الداشبورد'!$B$5="الكل",$A1876,'الداشبورد'!$B$5))</f>
        <v/>
      </c>
      <c r="R1876">
        <f>--($E1876=IF('الداشبورد'!$B$6="الكل",$E1876,'الداشبورد'!$B$6))</f>
        <v/>
      </c>
      <c r="S1876">
        <f>--($K1876=IF('الداشبورد'!$B$7="الكل",$K1876,IF('الداشبورد'!$B$7="تصدير","Y","N")))</f>
        <v/>
      </c>
      <c r="T1876">
        <f>--($J1876=IF('الداشبورد'!$B$8="الكل",$J1876,IF('الداشبورد'!$B$8="AL","A","C")))</f>
        <v/>
      </c>
      <c r="U1876">
        <f>--($I1876=IF('الداشبورد'!$B$9="الكل",$I1876,IF('الداشبورد'!$B$9="بدون حالة","P",'الداشبورد'!$B$9)))</f>
        <v/>
      </c>
      <c r="V1876">
        <f>--($D1876=IF('الداشبورد'!$B$10="الكل",$D1876,'الداشبورد'!$B$10))</f>
        <v/>
      </c>
      <c r="W1876">
        <f>--($G1876=IF('الداشبورد'!$B$11="الكل",$G1876,'الداشبورد'!$B$11))</f>
        <v/>
      </c>
      <c r="X1876">
        <f>Q1876*R1876*S1876*T1876*U1876*V1876*W1876*--($C1876&lt;&gt;"")</f>
        <v/>
      </c>
    </row>
    <row r="1877">
      <c r="Q1877">
        <f>--($A1877=IF('الداشبورد'!$B$5="الكل",$A1877,'الداشبورد'!$B$5))</f>
        <v/>
      </c>
      <c r="R1877">
        <f>--($E1877=IF('الداشبورد'!$B$6="الكل",$E1877,'الداشبورد'!$B$6))</f>
        <v/>
      </c>
      <c r="S1877">
        <f>--($K1877=IF('الداشبورد'!$B$7="الكل",$K1877,IF('الداشبورد'!$B$7="تصدير","Y","N")))</f>
        <v/>
      </c>
      <c r="T1877">
        <f>--($J1877=IF('الداشبورد'!$B$8="الكل",$J1877,IF('الداشبورد'!$B$8="AL","A","C")))</f>
        <v/>
      </c>
      <c r="U1877">
        <f>--($I1877=IF('الداشبورد'!$B$9="الكل",$I1877,IF('الداشبورد'!$B$9="بدون حالة","P",'الداشبورد'!$B$9)))</f>
        <v/>
      </c>
      <c r="V1877">
        <f>--($D1877=IF('الداشبورد'!$B$10="الكل",$D1877,'الداشبورد'!$B$10))</f>
        <v/>
      </c>
      <c r="W1877">
        <f>--($G1877=IF('الداشبورد'!$B$11="الكل",$G1877,'الداشبورد'!$B$11))</f>
        <v/>
      </c>
      <c r="X1877">
        <f>Q1877*R1877*S1877*T1877*U1877*V1877*W1877*--($C1877&lt;&gt;"")</f>
        <v/>
      </c>
    </row>
    <row r="1878">
      <c r="Q1878">
        <f>--($A1878=IF('الداشبورد'!$B$5="الكل",$A1878,'الداشبورد'!$B$5))</f>
        <v/>
      </c>
      <c r="R1878">
        <f>--($E1878=IF('الداشبورد'!$B$6="الكل",$E1878,'الداشبورد'!$B$6))</f>
        <v/>
      </c>
      <c r="S1878">
        <f>--($K1878=IF('الداشبورد'!$B$7="الكل",$K1878,IF('الداشبورد'!$B$7="تصدير","Y","N")))</f>
        <v/>
      </c>
      <c r="T1878">
        <f>--($J1878=IF('الداشبورد'!$B$8="الكل",$J1878,IF('الداشبورد'!$B$8="AL","A","C")))</f>
        <v/>
      </c>
      <c r="U1878">
        <f>--($I1878=IF('الداشبورد'!$B$9="الكل",$I1878,IF('الداشبورد'!$B$9="بدون حالة","P",'الداشبورد'!$B$9)))</f>
        <v/>
      </c>
      <c r="V1878">
        <f>--($D1878=IF('الداشبورد'!$B$10="الكل",$D1878,'الداشبورد'!$B$10))</f>
        <v/>
      </c>
      <c r="W1878">
        <f>--($G1878=IF('الداشبورد'!$B$11="الكل",$G1878,'الداشبورد'!$B$11))</f>
        <v/>
      </c>
      <c r="X1878">
        <f>Q1878*R1878*S1878*T1878*U1878*V1878*W1878*--($C1878&lt;&gt;"")</f>
        <v/>
      </c>
    </row>
    <row r="1879">
      <c r="Q1879">
        <f>--($A1879=IF('الداشبورد'!$B$5="الكل",$A1879,'الداشبورد'!$B$5))</f>
        <v/>
      </c>
      <c r="R1879">
        <f>--($E1879=IF('الداشبورد'!$B$6="الكل",$E1879,'الداشبورد'!$B$6))</f>
        <v/>
      </c>
      <c r="S1879">
        <f>--($K1879=IF('الداشبورد'!$B$7="الكل",$K1879,IF('الداشبورد'!$B$7="تصدير","Y","N")))</f>
        <v/>
      </c>
      <c r="T1879">
        <f>--($J1879=IF('الداشبورد'!$B$8="الكل",$J1879,IF('الداشبورد'!$B$8="AL","A","C")))</f>
        <v/>
      </c>
      <c r="U1879">
        <f>--($I1879=IF('الداشبورد'!$B$9="الكل",$I1879,IF('الداشبورد'!$B$9="بدون حالة","P",'الداشبورد'!$B$9)))</f>
        <v/>
      </c>
      <c r="V1879">
        <f>--($D1879=IF('الداشبورد'!$B$10="الكل",$D1879,'الداشبورد'!$B$10))</f>
        <v/>
      </c>
      <c r="W1879">
        <f>--($G1879=IF('الداشبورد'!$B$11="الكل",$G1879,'الداشبورد'!$B$11))</f>
        <v/>
      </c>
      <c r="X1879">
        <f>Q1879*R1879*S1879*T1879*U1879*V1879*W1879*--($C1879&lt;&gt;"")</f>
        <v/>
      </c>
    </row>
    <row r="1880">
      <c r="Q1880">
        <f>--($A1880=IF('الداشبورد'!$B$5="الكل",$A1880,'الداشبورد'!$B$5))</f>
        <v/>
      </c>
      <c r="R1880">
        <f>--($E1880=IF('الداشبورد'!$B$6="الكل",$E1880,'الداشبورد'!$B$6))</f>
        <v/>
      </c>
      <c r="S1880">
        <f>--($K1880=IF('الداشبورد'!$B$7="الكل",$K1880,IF('الداشبورد'!$B$7="تصدير","Y","N")))</f>
        <v/>
      </c>
      <c r="T1880">
        <f>--($J1880=IF('الداشبورد'!$B$8="الكل",$J1880,IF('الداشبورد'!$B$8="AL","A","C")))</f>
        <v/>
      </c>
      <c r="U1880">
        <f>--($I1880=IF('الداشبورد'!$B$9="الكل",$I1880,IF('الداشبورد'!$B$9="بدون حالة","P",'الداشبورد'!$B$9)))</f>
        <v/>
      </c>
      <c r="V1880">
        <f>--($D1880=IF('الداشبورد'!$B$10="الكل",$D1880,'الداشبورد'!$B$10))</f>
        <v/>
      </c>
      <c r="W1880">
        <f>--($G1880=IF('الداشبورد'!$B$11="الكل",$G1880,'الداشبورد'!$B$11))</f>
        <v/>
      </c>
      <c r="X1880">
        <f>Q1880*R1880*S1880*T1880*U1880*V1880*W1880*--($C1880&lt;&gt;"")</f>
        <v/>
      </c>
    </row>
    <row r="1881">
      <c r="Q1881">
        <f>--($A1881=IF('الداشبورد'!$B$5="الكل",$A1881,'الداشبورد'!$B$5))</f>
        <v/>
      </c>
      <c r="R1881">
        <f>--($E1881=IF('الداشبورد'!$B$6="الكل",$E1881,'الداشبورد'!$B$6))</f>
        <v/>
      </c>
      <c r="S1881">
        <f>--($K1881=IF('الداشبورد'!$B$7="الكل",$K1881,IF('الداشبورد'!$B$7="تصدير","Y","N")))</f>
        <v/>
      </c>
      <c r="T1881">
        <f>--($J1881=IF('الداشبورد'!$B$8="الكل",$J1881,IF('الداشبورد'!$B$8="AL","A","C")))</f>
        <v/>
      </c>
      <c r="U1881">
        <f>--($I1881=IF('الداشبورد'!$B$9="الكل",$I1881,IF('الداشبورد'!$B$9="بدون حالة","P",'الداشبورد'!$B$9)))</f>
        <v/>
      </c>
      <c r="V1881">
        <f>--($D1881=IF('الداشبورد'!$B$10="الكل",$D1881,'الداشبورد'!$B$10))</f>
        <v/>
      </c>
      <c r="W1881">
        <f>--($G1881=IF('الداشبورد'!$B$11="الكل",$G1881,'الداشبورد'!$B$11))</f>
        <v/>
      </c>
      <c r="X1881">
        <f>Q1881*R1881*S1881*T1881*U1881*V1881*W1881*--($C1881&lt;&gt;"")</f>
        <v/>
      </c>
    </row>
    <row r="1882">
      <c r="Q1882">
        <f>--($A1882=IF('الداشبورد'!$B$5="الكل",$A1882,'الداشبورد'!$B$5))</f>
        <v/>
      </c>
      <c r="R1882">
        <f>--($E1882=IF('الداشبورد'!$B$6="الكل",$E1882,'الداشبورد'!$B$6))</f>
        <v/>
      </c>
      <c r="S1882">
        <f>--($K1882=IF('الداشبورد'!$B$7="الكل",$K1882,IF('الداشبورد'!$B$7="تصدير","Y","N")))</f>
        <v/>
      </c>
      <c r="T1882">
        <f>--($J1882=IF('الداشبورد'!$B$8="الكل",$J1882,IF('الداشبورد'!$B$8="AL","A","C")))</f>
        <v/>
      </c>
      <c r="U1882">
        <f>--($I1882=IF('الداشبورد'!$B$9="الكل",$I1882,IF('الداشبورد'!$B$9="بدون حالة","P",'الداشبورد'!$B$9)))</f>
        <v/>
      </c>
      <c r="V1882">
        <f>--($D1882=IF('الداشبورد'!$B$10="الكل",$D1882,'الداشبورد'!$B$10))</f>
        <v/>
      </c>
      <c r="W1882">
        <f>--($G1882=IF('الداشبورد'!$B$11="الكل",$G1882,'الداشبورد'!$B$11))</f>
        <v/>
      </c>
      <c r="X1882">
        <f>Q1882*R1882*S1882*T1882*U1882*V1882*W1882*--($C1882&lt;&gt;"")</f>
        <v/>
      </c>
    </row>
    <row r="1883">
      <c r="Q1883">
        <f>--($A1883=IF('الداشبورد'!$B$5="الكل",$A1883,'الداشبورد'!$B$5))</f>
        <v/>
      </c>
      <c r="R1883">
        <f>--($E1883=IF('الداشبورد'!$B$6="الكل",$E1883,'الداشبورد'!$B$6))</f>
        <v/>
      </c>
      <c r="S1883">
        <f>--($K1883=IF('الداشبورد'!$B$7="الكل",$K1883,IF('الداشبورد'!$B$7="تصدير","Y","N")))</f>
        <v/>
      </c>
      <c r="T1883">
        <f>--($J1883=IF('الداشبورد'!$B$8="الكل",$J1883,IF('الداشبورد'!$B$8="AL","A","C")))</f>
        <v/>
      </c>
      <c r="U1883">
        <f>--($I1883=IF('الداشبورد'!$B$9="الكل",$I1883,IF('الداشبورد'!$B$9="بدون حالة","P",'الداشبورد'!$B$9)))</f>
        <v/>
      </c>
      <c r="V1883">
        <f>--($D1883=IF('الداشبورد'!$B$10="الكل",$D1883,'الداشبورد'!$B$10))</f>
        <v/>
      </c>
      <c r="W1883">
        <f>--($G1883=IF('الداشبورد'!$B$11="الكل",$G1883,'الداشبورد'!$B$11))</f>
        <v/>
      </c>
      <c r="X1883">
        <f>Q1883*R1883*S1883*T1883*U1883*V1883*W1883*--($C1883&lt;&gt;"")</f>
        <v/>
      </c>
    </row>
    <row r="1884">
      <c r="Q1884">
        <f>--($A1884=IF('الداشبورد'!$B$5="الكل",$A1884,'الداشبورد'!$B$5))</f>
        <v/>
      </c>
      <c r="R1884">
        <f>--($E1884=IF('الداشبورد'!$B$6="الكل",$E1884,'الداشبورد'!$B$6))</f>
        <v/>
      </c>
      <c r="S1884">
        <f>--($K1884=IF('الداشبورد'!$B$7="الكل",$K1884,IF('الداشبورد'!$B$7="تصدير","Y","N")))</f>
        <v/>
      </c>
      <c r="T1884">
        <f>--($J1884=IF('الداشبورد'!$B$8="الكل",$J1884,IF('الداشبورد'!$B$8="AL","A","C")))</f>
        <v/>
      </c>
      <c r="U1884">
        <f>--($I1884=IF('الداشبورد'!$B$9="الكل",$I1884,IF('الداشبورد'!$B$9="بدون حالة","P",'الداشبورد'!$B$9)))</f>
        <v/>
      </c>
      <c r="V1884">
        <f>--($D1884=IF('الداشبورد'!$B$10="الكل",$D1884,'الداشبورد'!$B$10))</f>
        <v/>
      </c>
      <c r="W1884">
        <f>--($G1884=IF('الداشبورد'!$B$11="الكل",$G1884,'الداشبورد'!$B$11))</f>
        <v/>
      </c>
      <c r="X1884">
        <f>Q1884*R1884*S1884*T1884*U1884*V1884*W1884*--($C1884&lt;&gt;"")</f>
        <v/>
      </c>
    </row>
    <row r="1885">
      <c r="Q1885">
        <f>--($A1885=IF('الداشبورد'!$B$5="الكل",$A1885,'الداشبورد'!$B$5))</f>
        <v/>
      </c>
      <c r="R1885">
        <f>--($E1885=IF('الداشبورد'!$B$6="الكل",$E1885,'الداشبورد'!$B$6))</f>
        <v/>
      </c>
      <c r="S1885">
        <f>--($K1885=IF('الداشبورد'!$B$7="الكل",$K1885,IF('الداشبورد'!$B$7="تصدير","Y","N")))</f>
        <v/>
      </c>
      <c r="T1885">
        <f>--($J1885=IF('الداشبورد'!$B$8="الكل",$J1885,IF('الداشبورد'!$B$8="AL","A","C")))</f>
        <v/>
      </c>
      <c r="U1885">
        <f>--($I1885=IF('الداشبورد'!$B$9="الكل",$I1885,IF('الداشبورد'!$B$9="بدون حالة","P",'الداشبورد'!$B$9)))</f>
        <v/>
      </c>
      <c r="V1885">
        <f>--($D1885=IF('الداشبورد'!$B$10="الكل",$D1885,'الداشبورد'!$B$10))</f>
        <v/>
      </c>
      <c r="W1885">
        <f>--($G1885=IF('الداشبورد'!$B$11="الكل",$G1885,'الداشبورد'!$B$11))</f>
        <v/>
      </c>
      <c r="X1885">
        <f>Q1885*R1885*S1885*T1885*U1885*V1885*W1885*--($C1885&lt;&gt;"")</f>
        <v/>
      </c>
    </row>
    <row r="1886">
      <c r="Q1886">
        <f>--($A1886=IF('الداشبورد'!$B$5="الكل",$A1886,'الداشبورد'!$B$5))</f>
        <v/>
      </c>
      <c r="R1886">
        <f>--($E1886=IF('الداشبورد'!$B$6="الكل",$E1886,'الداشبورد'!$B$6))</f>
        <v/>
      </c>
      <c r="S1886">
        <f>--($K1886=IF('الداشبورد'!$B$7="الكل",$K1886,IF('الداشبورد'!$B$7="تصدير","Y","N")))</f>
        <v/>
      </c>
      <c r="T1886">
        <f>--($J1886=IF('الداشبورد'!$B$8="الكل",$J1886,IF('الداشبورد'!$B$8="AL","A","C")))</f>
        <v/>
      </c>
      <c r="U1886">
        <f>--($I1886=IF('الداشبورد'!$B$9="الكل",$I1886,IF('الداشبورد'!$B$9="بدون حالة","P",'الداشبورد'!$B$9)))</f>
        <v/>
      </c>
      <c r="V1886">
        <f>--($D1886=IF('الداشبورد'!$B$10="الكل",$D1886,'الداشبورد'!$B$10))</f>
        <v/>
      </c>
      <c r="W1886">
        <f>--($G1886=IF('الداشبورد'!$B$11="الكل",$G1886,'الداشبورد'!$B$11))</f>
        <v/>
      </c>
      <c r="X1886">
        <f>Q1886*R1886*S1886*T1886*U1886*V1886*W1886*--($C1886&lt;&gt;"")</f>
        <v/>
      </c>
    </row>
    <row r="1887">
      <c r="Q1887">
        <f>--($A1887=IF('الداشبورد'!$B$5="الكل",$A1887,'الداشبورد'!$B$5))</f>
        <v/>
      </c>
      <c r="R1887">
        <f>--($E1887=IF('الداشبورد'!$B$6="الكل",$E1887,'الداشبورد'!$B$6))</f>
        <v/>
      </c>
      <c r="S1887">
        <f>--($K1887=IF('الداشبورد'!$B$7="الكل",$K1887,IF('الداشبورد'!$B$7="تصدير","Y","N")))</f>
        <v/>
      </c>
      <c r="T1887">
        <f>--($J1887=IF('الداشبورد'!$B$8="الكل",$J1887,IF('الداشبورد'!$B$8="AL","A","C")))</f>
        <v/>
      </c>
      <c r="U1887">
        <f>--($I1887=IF('الداشبورد'!$B$9="الكل",$I1887,IF('الداشبورد'!$B$9="بدون حالة","P",'الداشبورد'!$B$9)))</f>
        <v/>
      </c>
      <c r="V1887">
        <f>--($D1887=IF('الداشبورد'!$B$10="الكل",$D1887,'الداشبورد'!$B$10))</f>
        <v/>
      </c>
      <c r="W1887">
        <f>--($G1887=IF('الداشبورد'!$B$11="الكل",$G1887,'الداشبورد'!$B$11))</f>
        <v/>
      </c>
      <c r="X1887">
        <f>Q1887*R1887*S1887*T1887*U1887*V1887*W1887*--($C1887&lt;&gt;"")</f>
        <v/>
      </c>
    </row>
    <row r="1888">
      <c r="Q1888">
        <f>--($A1888=IF('الداشبورد'!$B$5="الكل",$A1888,'الداشبورد'!$B$5))</f>
        <v/>
      </c>
      <c r="R1888">
        <f>--($E1888=IF('الداشبورد'!$B$6="الكل",$E1888,'الداشبورد'!$B$6))</f>
        <v/>
      </c>
      <c r="S1888">
        <f>--($K1888=IF('الداشبورد'!$B$7="الكل",$K1888,IF('الداشبورد'!$B$7="تصدير","Y","N")))</f>
        <v/>
      </c>
      <c r="T1888">
        <f>--($J1888=IF('الداشبورد'!$B$8="الكل",$J1888,IF('الداشبورد'!$B$8="AL","A","C")))</f>
        <v/>
      </c>
      <c r="U1888">
        <f>--($I1888=IF('الداشبورد'!$B$9="الكل",$I1888,IF('الداشبورد'!$B$9="بدون حالة","P",'الداشبورد'!$B$9)))</f>
        <v/>
      </c>
      <c r="V1888">
        <f>--($D1888=IF('الداشبورد'!$B$10="الكل",$D1888,'الداشبورد'!$B$10))</f>
        <v/>
      </c>
      <c r="W1888">
        <f>--($G1888=IF('الداشبورد'!$B$11="الكل",$G1888,'الداشبورد'!$B$11))</f>
        <v/>
      </c>
      <c r="X1888">
        <f>Q1888*R1888*S1888*T1888*U1888*V1888*W1888*--($C1888&lt;&gt;"")</f>
        <v/>
      </c>
    </row>
    <row r="1889">
      <c r="Q1889">
        <f>--($A1889=IF('الداشبورد'!$B$5="الكل",$A1889,'الداشبورد'!$B$5))</f>
        <v/>
      </c>
      <c r="R1889">
        <f>--($E1889=IF('الداشبورد'!$B$6="الكل",$E1889,'الداشبورد'!$B$6))</f>
        <v/>
      </c>
      <c r="S1889">
        <f>--($K1889=IF('الداشبورد'!$B$7="الكل",$K1889,IF('الداشبورد'!$B$7="تصدير","Y","N")))</f>
        <v/>
      </c>
      <c r="T1889">
        <f>--($J1889=IF('الداشبورد'!$B$8="الكل",$J1889,IF('الداشبورد'!$B$8="AL","A","C")))</f>
        <v/>
      </c>
      <c r="U1889">
        <f>--($I1889=IF('الداشبورد'!$B$9="الكل",$I1889,IF('الداشبورد'!$B$9="بدون حالة","P",'الداشبورد'!$B$9)))</f>
        <v/>
      </c>
      <c r="V1889">
        <f>--($D1889=IF('الداشبورد'!$B$10="الكل",$D1889,'الداشبورد'!$B$10))</f>
        <v/>
      </c>
      <c r="W1889">
        <f>--($G1889=IF('الداشبورد'!$B$11="الكل",$G1889,'الداشبورد'!$B$11))</f>
        <v/>
      </c>
      <c r="X1889">
        <f>Q1889*R1889*S1889*T1889*U1889*V1889*W1889*--($C1889&lt;&gt;"")</f>
        <v/>
      </c>
    </row>
    <row r="1890">
      <c r="Q1890">
        <f>--($A1890=IF('الداشبورد'!$B$5="الكل",$A1890,'الداشبورد'!$B$5))</f>
        <v/>
      </c>
      <c r="R1890">
        <f>--($E1890=IF('الداشبورد'!$B$6="الكل",$E1890,'الداشبورد'!$B$6))</f>
        <v/>
      </c>
      <c r="S1890">
        <f>--($K1890=IF('الداشبورد'!$B$7="الكل",$K1890,IF('الداشبورد'!$B$7="تصدير","Y","N")))</f>
        <v/>
      </c>
      <c r="T1890">
        <f>--($J1890=IF('الداشبورد'!$B$8="الكل",$J1890,IF('الداشبورد'!$B$8="AL","A","C")))</f>
        <v/>
      </c>
      <c r="U1890">
        <f>--($I1890=IF('الداشبورد'!$B$9="الكل",$I1890,IF('الداشبورد'!$B$9="بدون حالة","P",'الداشبورد'!$B$9)))</f>
        <v/>
      </c>
      <c r="V1890">
        <f>--($D1890=IF('الداشبورد'!$B$10="الكل",$D1890,'الداشبورد'!$B$10))</f>
        <v/>
      </c>
      <c r="W1890">
        <f>--($G1890=IF('الداشبورد'!$B$11="الكل",$G1890,'الداشبورد'!$B$11))</f>
        <v/>
      </c>
      <c r="X1890">
        <f>Q1890*R1890*S1890*T1890*U1890*V1890*W1890*--($C1890&lt;&gt;"")</f>
        <v/>
      </c>
    </row>
    <row r="1891">
      <c r="Q1891">
        <f>--($A1891=IF('الداشبورد'!$B$5="الكل",$A1891,'الداشبورد'!$B$5))</f>
        <v/>
      </c>
      <c r="R1891">
        <f>--($E1891=IF('الداشبورد'!$B$6="الكل",$E1891,'الداشبورد'!$B$6))</f>
        <v/>
      </c>
      <c r="S1891">
        <f>--($K1891=IF('الداشبورد'!$B$7="الكل",$K1891,IF('الداشبورد'!$B$7="تصدير","Y","N")))</f>
        <v/>
      </c>
      <c r="T1891">
        <f>--($J1891=IF('الداشبورد'!$B$8="الكل",$J1891,IF('الداشبورد'!$B$8="AL","A","C")))</f>
        <v/>
      </c>
      <c r="U1891">
        <f>--($I1891=IF('الداشبورد'!$B$9="الكل",$I1891,IF('الداشبورد'!$B$9="بدون حالة","P",'الداشبورد'!$B$9)))</f>
        <v/>
      </c>
      <c r="V1891">
        <f>--($D1891=IF('الداشبورد'!$B$10="الكل",$D1891,'الداشبورد'!$B$10))</f>
        <v/>
      </c>
      <c r="W1891">
        <f>--($G1891=IF('الداشبورد'!$B$11="الكل",$G1891,'الداشبورد'!$B$11))</f>
        <v/>
      </c>
      <c r="X1891">
        <f>Q1891*R1891*S1891*T1891*U1891*V1891*W1891*--($C1891&lt;&gt;"")</f>
        <v/>
      </c>
    </row>
    <row r="1892">
      <c r="Q1892">
        <f>--($A1892=IF('الداشبورد'!$B$5="الكل",$A1892,'الداشبورد'!$B$5))</f>
        <v/>
      </c>
      <c r="R1892">
        <f>--($E1892=IF('الداشبورد'!$B$6="الكل",$E1892,'الداشبورد'!$B$6))</f>
        <v/>
      </c>
      <c r="S1892">
        <f>--($K1892=IF('الداشبورد'!$B$7="الكل",$K1892,IF('الداشبورد'!$B$7="تصدير","Y","N")))</f>
        <v/>
      </c>
      <c r="T1892">
        <f>--($J1892=IF('الداشبورد'!$B$8="الكل",$J1892,IF('الداشبورد'!$B$8="AL","A","C")))</f>
        <v/>
      </c>
      <c r="U1892">
        <f>--($I1892=IF('الداشبورد'!$B$9="الكل",$I1892,IF('الداشبورد'!$B$9="بدون حالة","P",'الداشبورد'!$B$9)))</f>
        <v/>
      </c>
      <c r="V1892">
        <f>--($D1892=IF('الداشبورد'!$B$10="الكل",$D1892,'الداشبورد'!$B$10))</f>
        <v/>
      </c>
      <c r="W1892">
        <f>--($G1892=IF('الداشبورد'!$B$11="الكل",$G1892,'الداشبورد'!$B$11))</f>
        <v/>
      </c>
      <c r="X1892">
        <f>Q1892*R1892*S1892*T1892*U1892*V1892*W1892*--($C1892&lt;&gt;"")</f>
        <v/>
      </c>
    </row>
    <row r="1893">
      <c r="Q1893">
        <f>--($A1893=IF('الداشبورد'!$B$5="الكل",$A1893,'الداشبورد'!$B$5))</f>
        <v/>
      </c>
      <c r="R1893">
        <f>--($E1893=IF('الداشبورد'!$B$6="الكل",$E1893,'الداشبورد'!$B$6))</f>
        <v/>
      </c>
      <c r="S1893">
        <f>--($K1893=IF('الداشبورد'!$B$7="الكل",$K1893,IF('الداشبورد'!$B$7="تصدير","Y","N")))</f>
        <v/>
      </c>
      <c r="T1893">
        <f>--($J1893=IF('الداشبورد'!$B$8="الكل",$J1893,IF('الداشبورد'!$B$8="AL","A","C")))</f>
        <v/>
      </c>
      <c r="U1893">
        <f>--($I1893=IF('الداشبورد'!$B$9="الكل",$I1893,IF('الداشبورد'!$B$9="بدون حالة","P",'الداشبورد'!$B$9)))</f>
        <v/>
      </c>
      <c r="V1893">
        <f>--($D1893=IF('الداشبورد'!$B$10="الكل",$D1893,'الداشبورد'!$B$10))</f>
        <v/>
      </c>
      <c r="W1893">
        <f>--($G1893=IF('الداشبورد'!$B$11="الكل",$G1893,'الداشبورد'!$B$11))</f>
        <v/>
      </c>
      <c r="X1893">
        <f>Q1893*R1893*S1893*T1893*U1893*V1893*W1893*--($C1893&lt;&gt;"")</f>
        <v/>
      </c>
    </row>
    <row r="1894">
      <c r="Q1894">
        <f>--($A1894=IF('الداشبورد'!$B$5="الكل",$A1894,'الداشبورد'!$B$5))</f>
        <v/>
      </c>
      <c r="R1894">
        <f>--($E1894=IF('الداشبورد'!$B$6="الكل",$E1894,'الداشبورد'!$B$6))</f>
        <v/>
      </c>
      <c r="S1894">
        <f>--($K1894=IF('الداشبورد'!$B$7="الكل",$K1894,IF('الداشبورد'!$B$7="تصدير","Y","N")))</f>
        <v/>
      </c>
      <c r="T1894">
        <f>--($J1894=IF('الداشبورد'!$B$8="الكل",$J1894,IF('الداشبورد'!$B$8="AL","A","C")))</f>
        <v/>
      </c>
      <c r="U1894">
        <f>--($I1894=IF('الداشبورد'!$B$9="الكل",$I1894,IF('الداشبورد'!$B$9="بدون حالة","P",'الداشبورد'!$B$9)))</f>
        <v/>
      </c>
      <c r="V1894">
        <f>--($D1894=IF('الداشبورد'!$B$10="الكل",$D1894,'الداشبورد'!$B$10))</f>
        <v/>
      </c>
      <c r="W1894">
        <f>--($G1894=IF('الداشبورد'!$B$11="الكل",$G1894,'الداشبورد'!$B$11))</f>
        <v/>
      </c>
      <c r="X1894">
        <f>Q1894*R1894*S1894*T1894*U1894*V1894*W1894*--($C1894&lt;&gt;"")</f>
        <v/>
      </c>
    </row>
    <row r="1895">
      <c r="Q1895">
        <f>--($A1895=IF('الداشبورد'!$B$5="الكل",$A1895,'الداشبورد'!$B$5))</f>
        <v/>
      </c>
      <c r="R1895">
        <f>--($E1895=IF('الداشبورد'!$B$6="الكل",$E1895,'الداشبورد'!$B$6))</f>
        <v/>
      </c>
      <c r="S1895">
        <f>--($K1895=IF('الداشبورد'!$B$7="الكل",$K1895,IF('الداشبورد'!$B$7="تصدير","Y","N")))</f>
        <v/>
      </c>
      <c r="T1895">
        <f>--($J1895=IF('الداشبورد'!$B$8="الكل",$J1895,IF('الداشبورد'!$B$8="AL","A","C")))</f>
        <v/>
      </c>
      <c r="U1895">
        <f>--($I1895=IF('الداشبورد'!$B$9="الكل",$I1895,IF('الداشبورد'!$B$9="بدون حالة","P",'الداشبورد'!$B$9)))</f>
        <v/>
      </c>
      <c r="V1895">
        <f>--($D1895=IF('الداشبورد'!$B$10="الكل",$D1895,'الداشبورد'!$B$10))</f>
        <v/>
      </c>
      <c r="W1895">
        <f>--($G1895=IF('الداشبورد'!$B$11="الكل",$G1895,'الداشبورد'!$B$11))</f>
        <v/>
      </c>
      <c r="X1895">
        <f>Q1895*R1895*S1895*T1895*U1895*V1895*W1895*--($C1895&lt;&gt;"")</f>
        <v/>
      </c>
    </row>
    <row r="1896">
      <c r="Q1896">
        <f>--($A1896=IF('الداشبورد'!$B$5="الكل",$A1896,'الداشبورد'!$B$5))</f>
        <v/>
      </c>
      <c r="R1896">
        <f>--($E1896=IF('الداشبورد'!$B$6="الكل",$E1896,'الداشبورد'!$B$6))</f>
        <v/>
      </c>
      <c r="S1896">
        <f>--($K1896=IF('الداشبورد'!$B$7="الكل",$K1896,IF('الداشبورد'!$B$7="تصدير","Y","N")))</f>
        <v/>
      </c>
      <c r="T1896">
        <f>--($J1896=IF('الداشبورد'!$B$8="الكل",$J1896,IF('الداشبورد'!$B$8="AL","A","C")))</f>
        <v/>
      </c>
      <c r="U1896">
        <f>--($I1896=IF('الداشبورد'!$B$9="الكل",$I1896,IF('الداشبورد'!$B$9="بدون حالة","P",'الداشبورد'!$B$9)))</f>
        <v/>
      </c>
      <c r="V1896">
        <f>--($D1896=IF('الداشبورد'!$B$10="الكل",$D1896,'الداشبورد'!$B$10))</f>
        <v/>
      </c>
      <c r="W1896">
        <f>--($G1896=IF('الداشبورد'!$B$11="الكل",$G1896,'الداشبورد'!$B$11))</f>
        <v/>
      </c>
      <c r="X1896">
        <f>Q1896*R1896*S1896*T1896*U1896*V1896*W1896*--($C1896&lt;&gt;"")</f>
        <v/>
      </c>
    </row>
    <row r="1897">
      <c r="Q1897">
        <f>--($A1897=IF('الداشبورد'!$B$5="الكل",$A1897,'الداشبورد'!$B$5))</f>
        <v/>
      </c>
      <c r="R1897">
        <f>--($E1897=IF('الداشبورد'!$B$6="الكل",$E1897,'الداشبورد'!$B$6))</f>
        <v/>
      </c>
      <c r="S1897">
        <f>--($K1897=IF('الداشبورد'!$B$7="الكل",$K1897,IF('الداشبورد'!$B$7="تصدير","Y","N")))</f>
        <v/>
      </c>
      <c r="T1897">
        <f>--($J1897=IF('الداشبورد'!$B$8="الكل",$J1897,IF('الداشبورد'!$B$8="AL","A","C")))</f>
        <v/>
      </c>
      <c r="U1897">
        <f>--($I1897=IF('الداشبورد'!$B$9="الكل",$I1897,IF('الداشبورد'!$B$9="بدون حالة","P",'الداشبورد'!$B$9)))</f>
        <v/>
      </c>
      <c r="V1897">
        <f>--($D1897=IF('الداشبورد'!$B$10="الكل",$D1897,'الداشبورد'!$B$10))</f>
        <v/>
      </c>
      <c r="W1897">
        <f>--($G1897=IF('الداشبورد'!$B$11="الكل",$G1897,'الداشبورد'!$B$11))</f>
        <v/>
      </c>
      <c r="X1897">
        <f>Q1897*R1897*S1897*T1897*U1897*V1897*W1897*--($C1897&lt;&gt;"")</f>
        <v/>
      </c>
    </row>
    <row r="1898">
      <c r="Q1898">
        <f>--($A1898=IF('الداشبورد'!$B$5="الكل",$A1898,'الداشبورد'!$B$5))</f>
        <v/>
      </c>
      <c r="R1898">
        <f>--($E1898=IF('الداشبورد'!$B$6="الكل",$E1898,'الداشبورد'!$B$6))</f>
        <v/>
      </c>
      <c r="S1898">
        <f>--($K1898=IF('الداشبورد'!$B$7="الكل",$K1898,IF('الداشبورد'!$B$7="تصدير","Y","N")))</f>
        <v/>
      </c>
      <c r="T1898">
        <f>--($J1898=IF('الداشبورد'!$B$8="الكل",$J1898,IF('الداشبورد'!$B$8="AL","A","C")))</f>
        <v/>
      </c>
      <c r="U1898">
        <f>--($I1898=IF('الداشبورد'!$B$9="الكل",$I1898,IF('الداشبورد'!$B$9="بدون حالة","P",'الداشبورد'!$B$9)))</f>
        <v/>
      </c>
      <c r="V1898">
        <f>--($D1898=IF('الداشبورد'!$B$10="الكل",$D1898,'الداشبورد'!$B$10))</f>
        <v/>
      </c>
      <c r="W1898">
        <f>--($G1898=IF('الداشبورد'!$B$11="الكل",$G1898,'الداشبورد'!$B$11))</f>
        <v/>
      </c>
      <c r="X1898">
        <f>Q1898*R1898*S1898*T1898*U1898*V1898*W1898*--($C1898&lt;&gt;"")</f>
        <v/>
      </c>
    </row>
    <row r="1899">
      <c r="Q1899">
        <f>--($A1899=IF('الداشبورد'!$B$5="الكل",$A1899,'الداشبورد'!$B$5))</f>
        <v/>
      </c>
      <c r="R1899">
        <f>--($E1899=IF('الداشبورد'!$B$6="الكل",$E1899,'الداشبورد'!$B$6))</f>
        <v/>
      </c>
      <c r="S1899">
        <f>--($K1899=IF('الداشبورد'!$B$7="الكل",$K1899,IF('الداشبورد'!$B$7="تصدير","Y","N")))</f>
        <v/>
      </c>
      <c r="T1899">
        <f>--($J1899=IF('الداشبورد'!$B$8="الكل",$J1899,IF('الداشبورد'!$B$8="AL","A","C")))</f>
        <v/>
      </c>
      <c r="U1899">
        <f>--($I1899=IF('الداشبورد'!$B$9="الكل",$I1899,IF('الداشبورد'!$B$9="بدون حالة","P",'الداشبورد'!$B$9)))</f>
        <v/>
      </c>
      <c r="V1899">
        <f>--($D1899=IF('الداشبورد'!$B$10="الكل",$D1899,'الداشبورد'!$B$10))</f>
        <v/>
      </c>
      <c r="W1899">
        <f>--($G1899=IF('الداشبورد'!$B$11="الكل",$G1899,'الداشبورد'!$B$11))</f>
        <v/>
      </c>
      <c r="X1899">
        <f>Q1899*R1899*S1899*T1899*U1899*V1899*W1899*--($C1899&lt;&gt;"")</f>
        <v/>
      </c>
    </row>
    <row r="1900">
      <c r="Q1900">
        <f>--($A1900=IF('الداشبورد'!$B$5="الكل",$A1900,'الداشبورد'!$B$5))</f>
        <v/>
      </c>
      <c r="R1900">
        <f>--($E1900=IF('الداشبورد'!$B$6="الكل",$E1900,'الداشبورد'!$B$6))</f>
        <v/>
      </c>
      <c r="S1900">
        <f>--($K1900=IF('الداشبورد'!$B$7="الكل",$K1900,IF('الداشبورد'!$B$7="تصدير","Y","N")))</f>
        <v/>
      </c>
      <c r="T1900">
        <f>--($J1900=IF('الداشبورد'!$B$8="الكل",$J1900,IF('الداشبورد'!$B$8="AL","A","C")))</f>
        <v/>
      </c>
      <c r="U1900">
        <f>--($I1900=IF('الداشبورد'!$B$9="الكل",$I1900,IF('الداشبورد'!$B$9="بدون حالة","P",'الداشبورد'!$B$9)))</f>
        <v/>
      </c>
      <c r="V1900">
        <f>--($D1900=IF('الداشبورد'!$B$10="الكل",$D1900,'الداشبورد'!$B$10))</f>
        <v/>
      </c>
      <c r="W1900">
        <f>--($G1900=IF('الداشبورد'!$B$11="الكل",$G1900,'الداشبورد'!$B$11))</f>
        <v/>
      </c>
      <c r="X1900">
        <f>Q1900*R1900*S1900*T1900*U1900*V1900*W1900*--($C1900&lt;&gt;"")</f>
        <v/>
      </c>
    </row>
    <row r="1901">
      <c r="Q1901">
        <f>--($A1901=IF('الداشبورد'!$B$5="الكل",$A1901,'الداشبورد'!$B$5))</f>
        <v/>
      </c>
      <c r="R1901">
        <f>--($E1901=IF('الداشبورد'!$B$6="الكل",$E1901,'الداشبورد'!$B$6))</f>
        <v/>
      </c>
      <c r="S1901">
        <f>--($K1901=IF('الداشبورد'!$B$7="الكل",$K1901,IF('الداشبورد'!$B$7="تصدير","Y","N")))</f>
        <v/>
      </c>
      <c r="T1901">
        <f>--($J1901=IF('الداشبورد'!$B$8="الكل",$J1901,IF('الداشبورد'!$B$8="AL","A","C")))</f>
        <v/>
      </c>
      <c r="U1901">
        <f>--($I1901=IF('الداشبورد'!$B$9="الكل",$I1901,IF('الداشبورد'!$B$9="بدون حالة","P",'الداشبورد'!$B$9)))</f>
        <v/>
      </c>
      <c r="V1901">
        <f>--($D1901=IF('الداشبورد'!$B$10="الكل",$D1901,'الداشبورد'!$B$10))</f>
        <v/>
      </c>
      <c r="W1901">
        <f>--($G1901=IF('الداشبورد'!$B$11="الكل",$G1901,'الداشبورد'!$B$11))</f>
        <v/>
      </c>
      <c r="X1901">
        <f>Q1901*R1901*S1901*T1901*U1901*V1901*W1901*--($C1901&lt;&gt;"")</f>
        <v/>
      </c>
    </row>
    <row r="1902">
      <c r="Q1902">
        <f>--($A1902=IF('الداشبورد'!$B$5="الكل",$A1902,'الداشبورد'!$B$5))</f>
        <v/>
      </c>
      <c r="R1902">
        <f>--($E1902=IF('الداشبورد'!$B$6="الكل",$E1902,'الداشبورد'!$B$6))</f>
        <v/>
      </c>
      <c r="S1902">
        <f>--($K1902=IF('الداشبورد'!$B$7="الكل",$K1902,IF('الداشبورد'!$B$7="تصدير","Y","N")))</f>
        <v/>
      </c>
      <c r="T1902">
        <f>--($J1902=IF('الداشبورد'!$B$8="الكل",$J1902,IF('الداشبورد'!$B$8="AL","A","C")))</f>
        <v/>
      </c>
      <c r="U1902">
        <f>--($I1902=IF('الداشبورد'!$B$9="الكل",$I1902,IF('الداشبورد'!$B$9="بدون حالة","P",'الداشبورد'!$B$9)))</f>
        <v/>
      </c>
      <c r="V1902">
        <f>--($D1902=IF('الداشبورد'!$B$10="الكل",$D1902,'الداشبورد'!$B$10))</f>
        <v/>
      </c>
      <c r="W1902">
        <f>--($G1902=IF('الداشبورد'!$B$11="الكل",$G1902,'الداشبورد'!$B$11))</f>
        <v/>
      </c>
      <c r="X1902">
        <f>Q1902*R1902*S1902*T1902*U1902*V1902*W1902*--($C1902&lt;&gt;"")</f>
        <v/>
      </c>
    </row>
    <row r="1903">
      <c r="Q1903">
        <f>--($A1903=IF('الداشبورد'!$B$5="الكل",$A1903,'الداشبورد'!$B$5))</f>
        <v/>
      </c>
      <c r="R1903">
        <f>--($E1903=IF('الداشبورد'!$B$6="الكل",$E1903,'الداشبورد'!$B$6))</f>
        <v/>
      </c>
      <c r="S1903">
        <f>--($K1903=IF('الداشبورد'!$B$7="الكل",$K1903,IF('الداشبورد'!$B$7="تصدير","Y","N")))</f>
        <v/>
      </c>
      <c r="T1903">
        <f>--($J1903=IF('الداشبورد'!$B$8="الكل",$J1903,IF('الداشبورد'!$B$8="AL","A","C")))</f>
        <v/>
      </c>
      <c r="U1903">
        <f>--($I1903=IF('الداشبورد'!$B$9="الكل",$I1903,IF('الداشبورد'!$B$9="بدون حالة","P",'الداشبورد'!$B$9)))</f>
        <v/>
      </c>
      <c r="V1903">
        <f>--($D1903=IF('الداشبورد'!$B$10="الكل",$D1903,'الداشبورد'!$B$10))</f>
        <v/>
      </c>
      <c r="W1903">
        <f>--($G1903=IF('الداشبورد'!$B$11="الكل",$G1903,'الداشبورد'!$B$11))</f>
        <v/>
      </c>
      <c r="X1903">
        <f>Q1903*R1903*S1903*T1903*U1903*V1903*W1903*--($C1903&lt;&gt;"")</f>
        <v/>
      </c>
    </row>
    <row r="1904">
      <c r="Q1904">
        <f>--($A1904=IF('الداشبورد'!$B$5="الكل",$A1904,'الداشبورد'!$B$5))</f>
        <v/>
      </c>
      <c r="R1904">
        <f>--($E1904=IF('الداشبورد'!$B$6="الكل",$E1904,'الداشبورد'!$B$6))</f>
        <v/>
      </c>
      <c r="S1904">
        <f>--($K1904=IF('الداشبورد'!$B$7="الكل",$K1904,IF('الداشبورد'!$B$7="تصدير","Y","N")))</f>
        <v/>
      </c>
      <c r="T1904">
        <f>--($J1904=IF('الداشبورد'!$B$8="الكل",$J1904,IF('الداشبورد'!$B$8="AL","A","C")))</f>
        <v/>
      </c>
      <c r="U1904">
        <f>--($I1904=IF('الداشبورد'!$B$9="الكل",$I1904,IF('الداشبورد'!$B$9="بدون حالة","P",'الداشبورد'!$B$9)))</f>
        <v/>
      </c>
      <c r="V1904">
        <f>--($D1904=IF('الداشبورد'!$B$10="الكل",$D1904,'الداشبورد'!$B$10))</f>
        <v/>
      </c>
      <c r="W1904">
        <f>--($G1904=IF('الداشبورد'!$B$11="الكل",$G1904,'الداشبورد'!$B$11))</f>
        <v/>
      </c>
      <c r="X1904">
        <f>Q1904*R1904*S1904*T1904*U1904*V1904*W1904*--($C1904&lt;&gt;"")</f>
        <v/>
      </c>
    </row>
    <row r="1905">
      <c r="Q1905">
        <f>--($A1905=IF('الداشبورد'!$B$5="الكل",$A1905,'الداشبورد'!$B$5))</f>
        <v/>
      </c>
      <c r="R1905">
        <f>--($E1905=IF('الداشبورد'!$B$6="الكل",$E1905,'الداشبورد'!$B$6))</f>
        <v/>
      </c>
      <c r="S1905">
        <f>--($K1905=IF('الداشبورد'!$B$7="الكل",$K1905,IF('الداشبورد'!$B$7="تصدير","Y","N")))</f>
        <v/>
      </c>
      <c r="T1905">
        <f>--($J1905=IF('الداشبورد'!$B$8="الكل",$J1905,IF('الداشبورد'!$B$8="AL","A","C")))</f>
        <v/>
      </c>
      <c r="U1905">
        <f>--($I1905=IF('الداشبورد'!$B$9="الكل",$I1905,IF('الداشبورد'!$B$9="بدون حالة","P",'الداشبورد'!$B$9)))</f>
        <v/>
      </c>
      <c r="V1905">
        <f>--($D1905=IF('الداشبورد'!$B$10="الكل",$D1905,'الداشبورد'!$B$10))</f>
        <v/>
      </c>
      <c r="W1905">
        <f>--($G1905=IF('الداشبورد'!$B$11="الكل",$G1905,'الداشبورد'!$B$11))</f>
        <v/>
      </c>
      <c r="X1905">
        <f>Q1905*R1905*S1905*T1905*U1905*V1905*W1905*--($C1905&lt;&gt;"")</f>
        <v/>
      </c>
    </row>
    <row r="1906">
      <c r="Q1906">
        <f>--($A1906=IF('الداشبورد'!$B$5="الكل",$A1906,'الداشبورد'!$B$5))</f>
        <v/>
      </c>
      <c r="R1906">
        <f>--($E1906=IF('الداشبورد'!$B$6="الكل",$E1906,'الداشبورد'!$B$6))</f>
        <v/>
      </c>
      <c r="S1906">
        <f>--($K1906=IF('الداشبورد'!$B$7="الكل",$K1906,IF('الداشبورد'!$B$7="تصدير","Y","N")))</f>
        <v/>
      </c>
      <c r="T1906">
        <f>--($J1906=IF('الداشبورد'!$B$8="الكل",$J1906,IF('الداشبورد'!$B$8="AL","A","C")))</f>
        <v/>
      </c>
      <c r="U1906">
        <f>--($I1906=IF('الداشبورد'!$B$9="الكل",$I1906,IF('الداشبورد'!$B$9="بدون حالة","P",'الداشبورد'!$B$9)))</f>
        <v/>
      </c>
      <c r="V1906">
        <f>--($D1906=IF('الداشبورد'!$B$10="الكل",$D1906,'الداشبورد'!$B$10))</f>
        <v/>
      </c>
      <c r="W1906">
        <f>--($G1906=IF('الداشبورد'!$B$11="الكل",$G1906,'الداشبورد'!$B$11))</f>
        <v/>
      </c>
      <c r="X1906">
        <f>Q1906*R1906*S1906*T1906*U1906*V1906*W1906*--($C1906&lt;&gt;"")</f>
        <v/>
      </c>
    </row>
    <row r="1907">
      <c r="Q1907">
        <f>--($A1907=IF('الداشبورد'!$B$5="الكل",$A1907,'الداشبورد'!$B$5))</f>
        <v/>
      </c>
      <c r="R1907">
        <f>--($E1907=IF('الداشبورد'!$B$6="الكل",$E1907,'الداشبورد'!$B$6))</f>
        <v/>
      </c>
      <c r="S1907">
        <f>--($K1907=IF('الداشبورد'!$B$7="الكل",$K1907,IF('الداشبورد'!$B$7="تصدير","Y","N")))</f>
        <v/>
      </c>
      <c r="T1907">
        <f>--($J1907=IF('الداشبورد'!$B$8="الكل",$J1907,IF('الداشبورد'!$B$8="AL","A","C")))</f>
        <v/>
      </c>
      <c r="U1907">
        <f>--($I1907=IF('الداشبورد'!$B$9="الكل",$I1907,IF('الداشبورد'!$B$9="بدون حالة","P",'الداشبورد'!$B$9)))</f>
        <v/>
      </c>
      <c r="V1907">
        <f>--($D1907=IF('الداشبورد'!$B$10="الكل",$D1907,'الداشبورد'!$B$10))</f>
        <v/>
      </c>
      <c r="W1907">
        <f>--($G1907=IF('الداشبورد'!$B$11="الكل",$G1907,'الداشبورد'!$B$11))</f>
        <v/>
      </c>
      <c r="X1907">
        <f>Q1907*R1907*S1907*T1907*U1907*V1907*W1907*--($C1907&lt;&gt;"")</f>
        <v/>
      </c>
    </row>
    <row r="1908">
      <c r="Q1908">
        <f>--($A1908=IF('الداشبورد'!$B$5="الكل",$A1908,'الداشبورد'!$B$5))</f>
        <v/>
      </c>
      <c r="R1908">
        <f>--($E1908=IF('الداشبورد'!$B$6="الكل",$E1908,'الداشبورد'!$B$6))</f>
        <v/>
      </c>
      <c r="S1908">
        <f>--($K1908=IF('الداشبورد'!$B$7="الكل",$K1908,IF('الداشبورد'!$B$7="تصدير","Y","N")))</f>
        <v/>
      </c>
      <c r="T1908">
        <f>--($J1908=IF('الداشبورد'!$B$8="الكل",$J1908,IF('الداشبورد'!$B$8="AL","A","C")))</f>
        <v/>
      </c>
      <c r="U1908">
        <f>--($I1908=IF('الداشبورد'!$B$9="الكل",$I1908,IF('الداشبورد'!$B$9="بدون حالة","P",'الداشبورد'!$B$9)))</f>
        <v/>
      </c>
      <c r="V1908">
        <f>--($D1908=IF('الداشبورد'!$B$10="الكل",$D1908,'الداشبورد'!$B$10))</f>
        <v/>
      </c>
      <c r="W1908">
        <f>--($G1908=IF('الداشبورد'!$B$11="الكل",$G1908,'الداشبورد'!$B$11))</f>
        <v/>
      </c>
      <c r="X1908">
        <f>Q1908*R1908*S1908*T1908*U1908*V1908*W1908*--($C1908&lt;&gt;"")</f>
        <v/>
      </c>
    </row>
    <row r="1909">
      <c r="Q1909">
        <f>--($A1909=IF('الداشبورد'!$B$5="الكل",$A1909,'الداشبورد'!$B$5))</f>
        <v/>
      </c>
      <c r="R1909">
        <f>--($E1909=IF('الداشبورد'!$B$6="الكل",$E1909,'الداشبورد'!$B$6))</f>
        <v/>
      </c>
      <c r="S1909">
        <f>--($K1909=IF('الداشبورد'!$B$7="الكل",$K1909,IF('الداشبورد'!$B$7="تصدير","Y","N")))</f>
        <v/>
      </c>
      <c r="T1909">
        <f>--($J1909=IF('الداشبورد'!$B$8="الكل",$J1909,IF('الداشبورد'!$B$8="AL","A","C")))</f>
        <v/>
      </c>
      <c r="U1909">
        <f>--($I1909=IF('الداشبورد'!$B$9="الكل",$I1909,IF('الداشبورد'!$B$9="بدون حالة","P",'الداشبورد'!$B$9)))</f>
        <v/>
      </c>
      <c r="V1909">
        <f>--($D1909=IF('الداشبورد'!$B$10="الكل",$D1909,'الداشبورد'!$B$10))</f>
        <v/>
      </c>
      <c r="W1909">
        <f>--($G1909=IF('الداشبورد'!$B$11="الكل",$G1909,'الداشبورد'!$B$11))</f>
        <v/>
      </c>
      <c r="X1909">
        <f>Q1909*R1909*S1909*T1909*U1909*V1909*W1909*--($C1909&lt;&gt;"")</f>
        <v/>
      </c>
    </row>
    <row r="1910">
      <c r="Q1910">
        <f>--($A1910=IF('الداشبورد'!$B$5="الكل",$A1910,'الداشبورد'!$B$5))</f>
        <v/>
      </c>
      <c r="R1910">
        <f>--($E1910=IF('الداشبورد'!$B$6="الكل",$E1910,'الداشبورد'!$B$6))</f>
        <v/>
      </c>
      <c r="S1910">
        <f>--($K1910=IF('الداشبورد'!$B$7="الكل",$K1910,IF('الداشبورد'!$B$7="تصدير","Y","N")))</f>
        <v/>
      </c>
      <c r="T1910">
        <f>--($J1910=IF('الداشبورد'!$B$8="الكل",$J1910,IF('الداشبورد'!$B$8="AL","A","C")))</f>
        <v/>
      </c>
      <c r="U1910">
        <f>--($I1910=IF('الداشبورد'!$B$9="الكل",$I1910,IF('الداشبورد'!$B$9="بدون حالة","P",'الداشبورد'!$B$9)))</f>
        <v/>
      </c>
      <c r="V1910">
        <f>--($D1910=IF('الداشبورد'!$B$10="الكل",$D1910,'الداشبورد'!$B$10))</f>
        <v/>
      </c>
      <c r="W1910">
        <f>--($G1910=IF('الداشبورد'!$B$11="الكل",$G1910,'الداشبورد'!$B$11))</f>
        <v/>
      </c>
      <c r="X1910">
        <f>Q1910*R1910*S1910*T1910*U1910*V1910*W1910*--($C1910&lt;&gt;"")</f>
        <v/>
      </c>
    </row>
    <row r="1911">
      <c r="Q1911">
        <f>--($A1911=IF('الداشبورد'!$B$5="الكل",$A1911,'الداشبورد'!$B$5))</f>
        <v/>
      </c>
      <c r="R1911">
        <f>--($E1911=IF('الداشبورد'!$B$6="الكل",$E1911,'الداشبورد'!$B$6))</f>
        <v/>
      </c>
      <c r="S1911">
        <f>--($K1911=IF('الداشبورد'!$B$7="الكل",$K1911,IF('الداشبورد'!$B$7="تصدير","Y","N")))</f>
        <v/>
      </c>
      <c r="T1911">
        <f>--($J1911=IF('الداشبورد'!$B$8="الكل",$J1911,IF('الداشبورد'!$B$8="AL","A","C")))</f>
        <v/>
      </c>
      <c r="U1911">
        <f>--($I1911=IF('الداشبورد'!$B$9="الكل",$I1911,IF('الداشبورد'!$B$9="بدون حالة","P",'الداشبورد'!$B$9)))</f>
        <v/>
      </c>
      <c r="V1911">
        <f>--($D1911=IF('الداشبورد'!$B$10="الكل",$D1911,'الداشبورد'!$B$10))</f>
        <v/>
      </c>
      <c r="W1911">
        <f>--($G1911=IF('الداشبورد'!$B$11="الكل",$G1911,'الداشبورد'!$B$11))</f>
        <v/>
      </c>
      <c r="X1911">
        <f>Q1911*R1911*S1911*T1911*U1911*V1911*W1911*--($C1911&lt;&gt;"")</f>
        <v/>
      </c>
    </row>
    <row r="1912">
      <c r="Q1912">
        <f>--($A1912=IF('الداشبورد'!$B$5="الكل",$A1912,'الداشبورد'!$B$5))</f>
        <v/>
      </c>
      <c r="R1912">
        <f>--($E1912=IF('الداشبورد'!$B$6="الكل",$E1912,'الداشبورد'!$B$6))</f>
        <v/>
      </c>
      <c r="S1912">
        <f>--($K1912=IF('الداشبورد'!$B$7="الكل",$K1912,IF('الداشبورد'!$B$7="تصدير","Y","N")))</f>
        <v/>
      </c>
      <c r="T1912">
        <f>--($J1912=IF('الداشبورد'!$B$8="الكل",$J1912,IF('الداشبورد'!$B$8="AL","A","C")))</f>
        <v/>
      </c>
      <c r="U1912">
        <f>--($I1912=IF('الداشبورد'!$B$9="الكل",$I1912,IF('الداشبورد'!$B$9="بدون حالة","P",'الداشبورد'!$B$9)))</f>
        <v/>
      </c>
      <c r="V1912">
        <f>--($D1912=IF('الداشبورد'!$B$10="الكل",$D1912,'الداشبورد'!$B$10))</f>
        <v/>
      </c>
      <c r="W1912">
        <f>--($G1912=IF('الداشبورد'!$B$11="الكل",$G1912,'الداشبورد'!$B$11))</f>
        <v/>
      </c>
      <c r="X1912">
        <f>Q1912*R1912*S1912*T1912*U1912*V1912*W1912*--($C1912&lt;&gt;"")</f>
        <v/>
      </c>
    </row>
    <row r="1913">
      <c r="Q1913">
        <f>--($A1913=IF('الداشبورد'!$B$5="الكل",$A1913,'الداشبورد'!$B$5))</f>
        <v/>
      </c>
      <c r="R1913">
        <f>--($E1913=IF('الداشبورد'!$B$6="الكل",$E1913,'الداشبورد'!$B$6))</f>
        <v/>
      </c>
      <c r="S1913">
        <f>--($K1913=IF('الداشبورد'!$B$7="الكل",$K1913,IF('الداشبورد'!$B$7="تصدير","Y","N")))</f>
        <v/>
      </c>
      <c r="T1913">
        <f>--($J1913=IF('الداشبورد'!$B$8="الكل",$J1913,IF('الداشبورد'!$B$8="AL","A","C")))</f>
        <v/>
      </c>
      <c r="U1913">
        <f>--($I1913=IF('الداشبورد'!$B$9="الكل",$I1913,IF('الداشبورد'!$B$9="بدون حالة","P",'الداشبورد'!$B$9)))</f>
        <v/>
      </c>
      <c r="V1913">
        <f>--($D1913=IF('الداشبورد'!$B$10="الكل",$D1913,'الداشبورد'!$B$10))</f>
        <v/>
      </c>
      <c r="W1913">
        <f>--($G1913=IF('الداشبورد'!$B$11="الكل",$G1913,'الداشبورد'!$B$11))</f>
        <v/>
      </c>
      <c r="X1913">
        <f>Q1913*R1913*S1913*T1913*U1913*V1913*W1913*--($C1913&lt;&gt;"")</f>
        <v/>
      </c>
    </row>
    <row r="1914">
      <c r="Q1914">
        <f>--($A1914=IF('الداشبورد'!$B$5="الكل",$A1914,'الداشبورد'!$B$5))</f>
        <v/>
      </c>
      <c r="R1914">
        <f>--($E1914=IF('الداشبورد'!$B$6="الكل",$E1914,'الداشبورد'!$B$6))</f>
        <v/>
      </c>
      <c r="S1914">
        <f>--($K1914=IF('الداشبورد'!$B$7="الكل",$K1914,IF('الداشبورد'!$B$7="تصدير","Y","N")))</f>
        <v/>
      </c>
      <c r="T1914">
        <f>--($J1914=IF('الداشبورد'!$B$8="الكل",$J1914,IF('الداشبورد'!$B$8="AL","A","C")))</f>
        <v/>
      </c>
      <c r="U1914">
        <f>--($I1914=IF('الداشبورد'!$B$9="الكل",$I1914,IF('الداشبورد'!$B$9="بدون حالة","P",'الداشبورد'!$B$9)))</f>
        <v/>
      </c>
      <c r="V1914">
        <f>--($D1914=IF('الداشبورد'!$B$10="الكل",$D1914,'الداشبورد'!$B$10))</f>
        <v/>
      </c>
      <c r="W1914">
        <f>--($G1914=IF('الداشبورد'!$B$11="الكل",$G1914,'الداشبورد'!$B$11))</f>
        <v/>
      </c>
      <c r="X1914">
        <f>Q1914*R1914*S1914*T1914*U1914*V1914*W1914*--($C1914&lt;&gt;"")</f>
        <v/>
      </c>
    </row>
    <row r="1915">
      <c r="Q1915">
        <f>--($A1915=IF('الداشبورد'!$B$5="الكل",$A1915,'الداشبورد'!$B$5))</f>
        <v/>
      </c>
      <c r="R1915">
        <f>--($E1915=IF('الداشبورد'!$B$6="الكل",$E1915,'الداشبورد'!$B$6))</f>
        <v/>
      </c>
      <c r="S1915">
        <f>--($K1915=IF('الداشبورد'!$B$7="الكل",$K1915,IF('الداشبورد'!$B$7="تصدير","Y","N")))</f>
        <v/>
      </c>
      <c r="T1915">
        <f>--($J1915=IF('الداشبورد'!$B$8="الكل",$J1915,IF('الداشبورد'!$B$8="AL","A","C")))</f>
        <v/>
      </c>
      <c r="U1915">
        <f>--($I1915=IF('الداشبورد'!$B$9="الكل",$I1915,IF('الداشبورد'!$B$9="بدون حالة","P",'الداشبورد'!$B$9)))</f>
        <v/>
      </c>
      <c r="V1915">
        <f>--($D1915=IF('الداشبورد'!$B$10="الكل",$D1915,'الداشبورد'!$B$10))</f>
        <v/>
      </c>
      <c r="W1915">
        <f>--($G1915=IF('الداشبورد'!$B$11="الكل",$G1915,'الداشبورد'!$B$11))</f>
        <v/>
      </c>
      <c r="X1915">
        <f>Q1915*R1915*S1915*T1915*U1915*V1915*W1915*--($C1915&lt;&gt;"")</f>
        <v/>
      </c>
    </row>
    <row r="1916">
      <c r="Q1916">
        <f>--($A1916=IF('الداشبورد'!$B$5="الكل",$A1916,'الداشبورد'!$B$5))</f>
        <v/>
      </c>
      <c r="R1916">
        <f>--($E1916=IF('الداشبورد'!$B$6="الكل",$E1916,'الداشبورد'!$B$6))</f>
        <v/>
      </c>
      <c r="S1916">
        <f>--($K1916=IF('الداشبورد'!$B$7="الكل",$K1916,IF('الداشبورد'!$B$7="تصدير","Y","N")))</f>
        <v/>
      </c>
      <c r="T1916">
        <f>--($J1916=IF('الداشبورد'!$B$8="الكل",$J1916,IF('الداشبورد'!$B$8="AL","A","C")))</f>
        <v/>
      </c>
      <c r="U1916">
        <f>--($I1916=IF('الداشبورد'!$B$9="الكل",$I1916,IF('الداشبورد'!$B$9="بدون حالة","P",'الداشبورد'!$B$9)))</f>
        <v/>
      </c>
      <c r="V1916">
        <f>--($D1916=IF('الداشبورد'!$B$10="الكل",$D1916,'الداشبورد'!$B$10))</f>
        <v/>
      </c>
      <c r="W1916">
        <f>--($G1916=IF('الداشبورد'!$B$11="الكل",$G1916,'الداشبورد'!$B$11))</f>
        <v/>
      </c>
      <c r="X1916">
        <f>Q1916*R1916*S1916*T1916*U1916*V1916*W1916*--($C1916&lt;&gt;"")</f>
        <v/>
      </c>
    </row>
    <row r="1917">
      <c r="Q1917">
        <f>--($A1917=IF('الداشبورد'!$B$5="الكل",$A1917,'الداشبورد'!$B$5))</f>
        <v/>
      </c>
      <c r="R1917">
        <f>--($E1917=IF('الداشبورد'!$B$6="الكل",$E1917,'الداشبورد'!$B$6))</f>
        <v/>
      </c>
      <c r="S1917">
        <f>--($K1917=IF('الداشبورد'!$B$7="الكل",$K1917,IF('الداشبورد'!$B$7="تصدير","Y","N")))</f>
        <v/>
      </c>
      <c r="T1917">
        <f>--($J1917=IF('الداشبورد'!$B$8="الكل",$J1917,IF('الداشبورد'!$B$8="AL","A","C")))</f>
        <v/>
      </c>
      <c r="U1917">
        <f>--($I1917=IF('الداشبورد'!$B$9="الكل",$I1917,IF('الداشبورد'!$B$9="بدون حالة","P",'الداشبورد'!$B$9)))</f>
        <v/>
      </c>
      <c r="V1917">
        <f>--($D1917=IF('الداشبورد'!$B$10="الكل",$D1917,'الداشبورد'!$B$10))</f>
        <v/>
      </c>
      <c r="W1917">
        <f>--($G1917=IF('الداشبورد'!$B$11="الكل",$G1917,'الداشبورد'!$B$11))</f>
        <v/>
      </c>
      <c r="X1917">
        <f>Q1917*R1917*S1917*T1917*U1917*V1917*W1917*--($C1917&lt;&gt;"")</f>
        <v/>
      </c>
    </row>
    <row r="1918">
      <c r="Q1918">
        <f>--($A1918=IF('الداشبورد'!$B$5="الكل",$A1918,'الداشبورد'!$B$5))</f>
        <v/>
      </c>
      <c r="R1918">
        <f>--($E1918=IF('الداشبورد'!$B$6="الكل",$E1918,'الداشبورد'!$B$6))</f>
        <v/>
      </c>
      <c r="S1918">
        <f>--($K1918=IF('الداشبورد'!$B$7="الكل",$K1918,IF('الداشبورد'!$B$7="تصدير","Y","N")))</f>
        <v/>
      </c>
      <c r="T1918">
        <f>--($J1918=IF('الداشبورد'!$B$8="الكل",$J1918,IF('الداشبورد'!$B$8="AL","A","C")))</f>
        <v/>
      </c>
      <c r="U1918">
        <f>--($I1918=IF('الداشبورد'!$B$9="الكل",$I1918,IF('الداشبورد'!$B$9="بدون حالة","P",'الداشبورد'!$B$9)))</f>
        <v/>
      </c>
      <c r="V1918">
        <f>--($D1918=IF('الداشبورد'!$B$10="الكل",$D1918,'الداشبورد'!$B$10))</f>
        <v/>
      </c>
      <c r="W1918">
        <f>--($G1918=IF('الداشبورد'!$B$11="الكل",$G1918,'الداشبورد'!$B$11))</f>
        <v/>
      </c>
      <c r="X1918">
        <f>Q1918*R1918*S1918*T1918*U1918*V1918*W1918*--($C1918&lt;&gt;"")</f>
        <v/>
      </c>
    </row>
    <row r="1919">
      <c r="Q1919">
        <f>--($A1919=IF('الداشبورد'!$B$5="الكل",$A1919,'الداشبورد'!$B$5))</f>
        <v/>
      </c>
      <c r="R1919">
        <f>--($E1919=IF('الداشبورد'!$B$6="الكل",$E1919,'الداشبورد'!$B$6))</f>
        <v/>
      </c>
      <c r="S1919">
        <f>--($K1919=IF('الداشبورد'!$B$7="الكل",$K1919,IF('الداشبورد'!$B$7="تصدير","Y","N")))</f>
        <v/>
      </c>
      <c r="T1919">
        <f>--($J1919=IF('الداشبورد'!$B$8="الكل",$J1919,IF('الداشبورد'!$B$8="AL","A","C")))</f>
        <v/>
      </c>
      <c r="U1919">
        <f>--($I1919=IF('الداشبورد'!$B$9="الكل",$I1919,IF('الداشبورد'!$B$9="بدون حالة","P",'الداشبورد'!$B$9)))</f>
        <v/>
      </c>
      <c r="V1919">
        <f>--($D1919=IF('الداشبورد'!$B$10="الكل",$D1919,'الداشبورد'!$B$10))</f>
        <v/>
      </c>
      <c r="W1919">
        <f>--($G1919=IF('الداشبورد'!$B$11="الكل",$G1919,'الداشبورد'!$B$11))</f>
        <v/>
      </c>
      <c r="X1919">
        <f>Q1919*R1919*S1919*T1919*U1919*V1919*W1919*--($C1919&lt;&gt;"")</f>
        <v/>
      </c>
    </row>
    <row r="1920">
      <c r="Q1920">
        <f>--($A1920=IF('الداشبورد'!$B$5="الكل",$A1920,'الداشبورد'!$B$5))</f>
        <v/>
      </c>
      <c r="R1920">
        <f>--($E1920=IF('الداشبورد'!$B$6="الكل",$E1920,'الداشبورد'!$B$6))</f>
        <v/>
      </c>
      <c r="S1920">
        <f>--($K1920=IF('الداشبورد'!$B$7="الكل",$K1920,IF('الداشبورد'!$B$7="تصدير","Y","N")))</f>
        <v/>
      </c>
      <c r="T1920">
        <f>--($J1920=IF('الداشبورد'!$B$8="الكل",$J1920,IF('الداشبورد'!$B$8="AL","A","C")))</f>
        <v/>
      </c>
      <c r="U1920">
        <f>--($I1920=IF('الداشبورد'!$B$9="الكل",$I1920,IF('الداشبورد'!$B$9="بدون حالة","P",'الداشبورد'!$B$9)))</f>
        <v/>
      </c>
      <c r="V1920">
        <f>--($D1920=IF('الداشبورد'!$B$10="الكل",$D1920,'الداشبورد'!$B$10))</f>
        <v/>
      </c>
      <c r="W1920">
        <f>--($G1920=IF('الداشبورد'!$B$11="الكل",$G1920,'الداشبورد'!$B$11))</f>
        <v/>
      </c>
      <c r="X1920">
        <f>Q1920*R1920*S1920*T1920*U1920*V1920*W1920*--($C1920&lt;&gt;"")</f>
        <v/>
      </c>
    </row>
    <row r="1921">
      <c r="Q1921">
        <f>--($A1921=IF('الداشبورد'!$B$5="الكل",$A1921,'الداشبورد'!$B$5))</f>
        <v/>
      </c>
      <c r="R1921">
        <f>--($E1921=IF('الداشبورد'!$B$6="الكل",$E1921,'الداشبورد'!$B$6))</f>
        <v/>
      </c>
      <c r="S1921">
        <f>--($K1921=IF('الداشبورد'!$B$7="الكل",$K1921,IF('الداشبورد'!$B$7="تصدير","Y","N")))</f>
        <v/>
      </c>
      <c r="T1921">
        <f>--($J1921=IF('الداشبورد'!$B$8="الكل",$J1921,IF('الداشبورد'!$B$8="AL","A","C")))</f>
        <v/>
      </c>
      <c r="U1921">
        <f>--($I1921=IF('الداشبورد'!$B$9="الكل",$I1921,IF('الداشبورد'!$B$9="بدون حالة","P",'الداشبورد'!$B$9)))</f>
        <v/>
      </c>
      <c r="V1921">
        <f>--($D1921=IF('الداشبورد'!$B$10="الكل",$D1921,'الداشبورد'!$B$10))</f>
        <v/>
      </c>
      <c r="W1921">
        <f>--($G1921=IF('الداشبورد'!$B$11="الكل",$G1921,'الداشبورد'!$B$11))</f>
        <v/>
      </c>
      <c r="X1921">
        <f>Q1921*R1921*S1921*T1921*U1921*V1921*W1921*--($C1921&lt;&gt;"")</f>
        <v/>
      </c>
    </row>
    <row r="1922">
      <c r="Q1922">
        <f>--($A1922=IF('الداشبورد'!$B$5="الكل",$A1922,'الداشبورد'!$B$5))</f>
        <v/>
      </c>
      <c r="R1922">
        <f>--($E1922=IF('الداشبورد'!$B$6="الكل",$E1922,'الداشبورد'!$B$6))</f>
        <v/>
      </c>
      <c r="S1922">
        <f>--($K1922=IF('الداشبورد'!$B$7="الكل",$K1922,IF('الداشبورد'!$B$7="تصدير","Y","N")))</f>
        <v/>
      </c>
      <c r="T1922">
        <f>--($J1922=IF('الداشبورد'!$B$8="الكل",$J1922,IF('الداشبورد'!$B$8="AL","A","C")))</f>
        <v/>
      </c>
      <c r="U1922">
        <f>--($I1922=IF('الداشبورد'!$B$9="الكل",$I1922,IF('الداشبورد'!$B$9="بدون حالة","P",'الداشبورد'!$B$9)))</f>
        <v/>
      </c>
      <c r="V1922">
        <f>--($D1922=IF('الداشبورد'!$B$10="الكل",$D1922,'الداشبورد'!$B$10))</f>
        <v/>
      </c>
      <c r="W1922">
        <f>--($G1922=IF('الداشبورد'!$B$11="الكل",$G1922,'الداشبورد'!$B$11))</f>
        <v/>
      </c>
      <c r="X1922">
        <f>Q1922*R1922*S1922*T1922*U1922*V1922*W1922*--($C1922&lt;&gt;"")</f>
        <v/>
      </c>
    </row>
    <row r="1923">
      <c r="Q1923">
        <f>--($A1923=IF('الداشبورد'!$B$5="الكل",$A1923,'الداشبورد'!$B$5))</f>
        <v/>
      </c>
      <c r="R1923">
        <f>--($E1923=IF('الداشبورد'!$B$6="الكل",$E1923,'الداشبورد'!$B$6))</f>
        <v/>
      </c>
      <c r="S1923">
        <f>--($K1923=IF('الداشبورد'!$B$7="الكل",$K1923,IF('الداشبورد'!$B$7="تصدير","Y","N")))</f>
        <v/>
      </c>
      <c r="T1923">
        <f>--($J1923=IF('الداشبورد'!$B$8="الكل",$J1923,IF('الداشبورد'!$B$8="AL","A","C")))</f>
        <v/>
      </c>
      <c r="U1923">
        <f>--($I1923=IF('الداشبورد'!$B$9="الكل",$I1923,IF('الداشبورد'!$B$9="بدون حالة","P",'الداشبورد'!$B$9)))</f>
        <v/>
      </c>
      <c r="V1923">
        <f>--($D1923=IF('الداشبورد'!$B$10="الكل",$D1923,'الداشبورد'!$B$10))</f>
        <v/>
      </c>
      <c r="W1923">
        <f>--($G1923=IF('الداشبورد'!$B$11="الكل",$G1923,'الداشبورد'!$B$11))</f>
        <v/>
      </c>
      <c r="X1923">
        <f>Q1923*R1923*S1923*T1923*U1923*V1923*W1923*--($C1923&lt;&gt;"")</f>
        <v/>
      </c>
    </row>
    <row r="1924">
      <c r="Q1924">
        <f>--($A1924=IF('الداشبورد'!$B$5="الكل",$A1924,'الداشبورد'!$B$5))</f>
        <v/>
      </c>
      <c r="R1924">
        <f>--($E1924=IF('الداشبورد'!$B$6="الكل",$E1924,'الداشبورد'!$B$6))</f>
        <v/>
      </c>
      <c r="S1924">
        <f>--($K1924=IF('الداشبورد'!$B$7="الكل",$K1924,IF('الداشبورد'!$B$7="تصدير","Y","N")))</f>
        <v/>
      </c>
      <c r="T1924">
        <f>--($J1924=IF('الداشبورد'!$B$8="الكل",$J1924,IF('الداشبورد'!$B$8="AL","A","C")))</f>
        <v/>
      </c>
      <c r="U1924">
        <f>--($I1924=IF('الداشبورد'!$B$9="الكل",$I1924,IF('الداشبورد'!$B$9="بدون حالة","P",'الداشبورد'!$B$9)))</f>
        <v/>
      </c>
      <c r="V1924">
        <f>--($D1924=IF('الداشبورد'!$B$10="الكل",$D1924,'الداشبورد'!$B$10))</f>
        <v/>
      </c>
      <c r="W1924">
        <f>--($G1924=IF('الداشبورد'!$B$11="الكل",$G1924,'الداشبورد'!$B$11))</f>
        <v/>
      </c>
      <c r="X1924">
        <f>Q1924*R1924*S1924*T1924*U1924*V1924*W1924*--($C1924&lt;&gt;"")</f>
        <v/>
      </c>
    </row>
    <row r="1925">
      <c r="Q1925">
        <f>--($A1925=IF('الداشبورد'!$B$5="الكل",$A1925,'الداشبورد'!$B$5))</f>
        <v/>
      </c>
      <c r="R1925">
        <f>--($E1925=IF('الداشبورد'!$B$6="الكل",$E1925,'الداشبورد'!$B$6))</f>
        <v/>
      </c>
      <c r="S1925">
        <f>--($K1925=IF('الداشبورد'!$B$7="الكل",$K1925,IF('الداشبورد'!$B$7="تصدير","Y","N")))</f>
        <v/>
      </c>
      <c r="T1925">
        <f>--($J1925=IF('الداشبورد'!$B$8="الكل",$J1925,IF('الداشبورد'!$B$8="AL","A","C")))</f>
        <v/>
      </c>
      <c r="U1925">
        <f>--($I1925=IF('الداشبورد'!$B$9="الكل",$I1925,IF('الداشبورد'!$B$9="بدون حالة","P",'الداشبورد'!$B$9)))</f>
        <v/>
      </c>
      <c r="V1925">
        <f>--($D1925=IF('الداشبورد'!$B$10="الكل",$D1925,'الداشبورد'!$B$10))</f>
        <v/>
      </c>
      <c r="W1925">
        <f>--($G1925=IF('الداشبورد'!$B$11="الكل",$G1925,'الداشبورد'!$B$11))</f>
        <v/>
      </c>
      <c r="X1925">
        <f>Q1925*R1925*S1925*T1925*U1925*V1925*W1925*--($C1925&lt;&gt;"")</f>
        <v/>
      </c>
    </row>
    <row r="1926">
      <c r="Q1926">
        <f>--($A1926=IF('الداشبورد'!$B$5="الكل",$A1926,'الداشبورد'!$B$5))</f>
        <v/>
      </c>
      <c r="R1926">
        <f>--($E1926=IF('الداشبورد'!$B$6="الكل",$E1926,'الداشبورد'!$B$6))</f>
        <v/>
      </c>
      <c r="S1926">
        <f>--($K1926=IF('الداشبورد'!$B$7="الكل",$K1926,IF('الداشبورد'!$B$7="تصدير","Y","N")))</f>
        <v/>
      </c>
      <c r="T1926">
        <f>--($J1926=IF('الداشبورد'!$B$8="الكل",$J1926,IF('الداشبورد'!$B$8="AL","A","C")))</f>
        <v/>
      </c>
      <c r="U1926">
        <f>--($I1926=IF('الداشبورد'!$B$9="الكل",$I1926,IF('الداشبورد'!$B$9="بدون حالة","P",'الداشبورد'!$B$9)))</f>
        <v/>
      </c>
      <c r="V1926">
        <f>--($D1926=IF('الداشبورد'!$B$10="الكل",$D1926,'الداشبورد'!$B$10))</f>
        <v/>
      </c>
      <c r="W1926">
        <f>--($G1926=IF('الداشبورد'!$B$11="الكل",$G1926,'الداشبورد'!$B$11))</f>
        <v/>
      </c>
      <c r="X1926">
        <f>Q1926*R1926*S1926*T1926*U1926*V1926*W1926*--($C1926&lt;&gt;"")</f>
        <v/>
      </c>
    </row>
    <row r="1927">
      <c r="Q1927">
        <f>--($A1927=IF('الداشبورد'!$B$5="الكل",$A1927,'الداشبورد'!$B$5))</f>
        <v/>
      </c>
      <c r="R1927">
        <f>--($E1927=IF('الداشبورد'!$B$6="الكل",$E1927,'الداشبورد'!$B$6))</f>
        <v/>
      </c>
      <c r="S1927">
        <f>--($K1927=IF('الداشبورد'!$B$7="الكل",$K1927,IF('الداشبورد'!$B$7="تصدير","Y","N")))</f>
        <v/>
      </c>
      <c r="T1927">
        <f>--($J1927=IF('الداشبورد'!$B$8="الكل",$J1927,IF('الداشبورد'!$B$8="AL","A","C")))</f>
        <v/>
      </c>
      <c r="U1927">
        <f>--($I1927=IF('الداشبورد'!$B$9="الكل",$I1927,IF('الداشبورد'!$B$9="بدون حالة","P",'الداشبورد'!$B$9)))</f>
        <v/>
      </c>
      <c r="V1927">
        <f>--($D1927=IF('الداشبورد'!$B$10="الكل",$D1927,'الداشبورد'!$B$10))</f>
        <v/>
      </c>
      <c r="W1927">
        <f>--($G1927=IF('الداشبورد'!$B$11="الكل",$G1927,'الداشبورد'!$B$11))</f>
        <v/>
      </c>
      <c r="X1927">
        <f>Q1927*R1927*S1927*T1927*U1927*V1927*W1927*--($C1927&lt;&gt;"")</f>
        <v/>
      </c>
    </row>
    <row r="1928">
      <c r="Q1928">
        <f>--($A1928=IF('الداشبورد'!$B$5="الكل",$A1928,'الداشبورد'!$B$5))</f>
        <v/>
      </c>
      <c r="R1928">
        <f>--($E1928=IF('الداشبورد'!$B$6="الكل",$E1928,'الداشبورد'!$B$6))</f>
        <v/>
      </c>
      <c r="S1928">
        <f>--($K1928=IF('الداشبورد'!$B$7="الكل",$K1928,IF('الداشبورد'!$B$7="تصدير","Y","N")))</f>
        <v/>
      </c>
      <c r="T1928">
        <f>--($J1928=IF('الداشبورد'!$B$8="الكل",$J1928,IF('الداشبورد'!$B$8="AL","A","C")))</f>
        <v/>
      </c>
      <c r="U1928">
        <f>--($I1928=IF('الداشبورد'!$B$9="الكل",$I1928,IF('الداشبورد'!$B$9="بدون حالة","P",'الداشبورد'!$B$9)))</f>
        <v/>
      </c>
      <c r="V1928">
        <f>--($D1928=IF('الداشبورد'!$B$10="الكل",$D1928,'الداشبورد'!$B$10))</f>
        <v/>
      </c>
      <c r="W1928">
        <f>--($G1928=IF('الداشبورد'!$B$11="الكل",$G1928,'الداشبورد'!$B$11))</f>
        <v/>
      </c>
      <c r="X1928">
        <f>Q1928*R1928*S1928*T1928*U1928*V1928*W1928*--($C1928&lt;&gt;"")</f>
        <v/>
      </c>
    </row>
    <row r="1929">
      <c r="Q1929">
        <f>--($A1929=IF('الداشبورد'!$B$5="الكل",$A1929,'الداشبورد'!$B$5))</f>
        <v/>
      </c>
      <c r="R1929">
        <f>--($E1929=IF('الداشبورد'!$B$6="الكل",$E1929,'الداشبورد'!$B$6))</f>
        <v/>
      </c>
      <c r="S1929">
        <f>--($K1929=IF('الداشبورد'!$B$7="الكل",$K1929,IF('الداشبورد'!$B$7="تصدير","Y","N")))</f>
        <v/>
      </c>
      <c r="T1929">
        <f>--($J1929=IF('الداشبورد'!$B$8="الكل",$J1929,IF('الداشبورد'!$B$8="AL","A","C")))</f>
        <v/>
      </c>
      <c r="U1929">
        <f>--($I1929=IF('الداشبورد'!$B$9="الكل",$I1929,IF('الداشبورد'!$B$9="بدون حالة","P",'الداشبورد'!$B$9)))</f>
        <v/>
      </c>
      <c r="V1929">
        <f>--($D1929=IF('الداشبورد'!$B$10="الكل",$D1929,'الداشبورد'!$B$10))</f>
        <v/>
      </c>
      <c r="W1929">
        <f>--($G1929=IF('الداشبورد'!$B$11="الكل",$G1929,'الداشبورد'!$B$11))</f>
        <v/>
      </c>
      <c r="X1929">
        <f>Q1929*R1929*S1929*T1929*U1929*V1929*W1929*--($C1929&lt;&gt;"")</f>
        <v/>
      </c>
    </row>
    <row r="1930">
      <c r="Q1930">
        <f>--($A1930=IF('الداشبورد'!$B$5="الكل",$A1930,'الداشبورد'!$B$5))</f>
        <v/>
      </c>
      <c r="R1930">
        <f>--($E1930=IF('الداشبورد'!$B$6="الكل",$E1930,'الداشبورد'!$B$6))</f>
        <v/>
      </c>
      <c r="S1930">
        <f>--($K1930=IF('الداشبورد'!$B$7="الكل",$K1930,IF('الداشبورد'!$B$7="تصدير","Y","N")))</f>
        <v/>
      </c>
      <c r="T1930">
        <f>--($J1930=IF('الداشبورد'!$B$8="الكل",$J1930,IF('الداشبورد'!$B$8="AL","A","C")))</f>
        <v/>
      </c>
      <c r="U1930">
        <f>--($I1930=IF('الداشبورد'!$B$9="الكل",$I1930,IF('الداشبورد'!$B$9="بدون حالة","P",'الداشبورد'!$B$9)))</f>
        <v/>
      </c>
      <c r="V1930">
        <f>--($D1930=IF('الداشبورد'!$B$10="الكل",$D1930,'الداشبورد'!$B$10))</f>
        <v/>
      </c>
      <c r="W1930">
        <f>--($G1930=IF('الداشبورد'!$B$11="الكل",$G1930,'الداشبورد'!$B$11))</f>
        <v/>
      </c>
      <c r="X1930">
        <f>Q1930*R1930*S1930*T1930*U1930*V1930*W1930*--($C1930&lt;&gt;"")</f>
        <v/>
      </c>
    </row>
    <row r="1931">
      <c r="Q1931">
        <f>--($A1931=IF('الداشبورد'!$B$5="الكل",$A1931,'الداشبورد'!$B$5))</f>
        <v/>
      </c>
      <c r="R1931">
        <f>--($E1931=IF('الداشبورد'!$B$6="الكل",$E1931,'الداشبورد'!$B$6))</f>
        <v/>
      </c>
      <c r="S1931">
        <f>--($K1931=IF('الداشبورد'!$B$7="الكل",$K1931,IF('الداشبورد'!$B$7="تصدير","Y","N")))</f>
        <v/>
      </c>
      <c r="T1931">
        <f>--($J1931=IF('الداشبورد'!$B$8="الكل",$J1931,IF('الداشبورد'!$B$8="AL","A","C")))</f>
        <v/>
      </c>
      <c r="U1931">
        <f>--($I1931=IF('الداشبورد'!$B$9="الكل",$I1931,IF('الداشبورد'!$B$9="بدون حالة","P",'الداشبورد'!$B$9)))</f>
        <v/>
      </c>
      <c r="V1931">
        <f>--($D1931=IF('الداشبورد'!$B$10="الكل",$D1931,'الداشبورد'!$B$10))</f>
        <v/>
      </c>
      <c r="W1931">
        <f>--($G1931=IF('الداشبورد'!$B$11="الكل",$G1931,'الداشبورد'!$B$11))</f>
        <v/>
      </c>
      <c r="X1931">
        <f>Q1931*R1931*S1931*T1931*U1931*V1931*W1931*--($C1931&lt;&gt;"")</f>
        <v/>
      </c>
    </row>
    <row r="1932">
      <c r="Q1932">
        <f>--($A1932=IF('الداشبورد'!$B$5="الكل",$A1932,'الداشبورد'!$B$5))</f>
        <v/>
      </c>
      <c r="R1932">
        <f>--($E1932=IF('الداشبورد'!$B$6="الكل",$E1932,'الداشبورد'!$B$6))</f>
        <v/>
      </c>
      <c r="S1932">
        <f>--($K1932=IF('الداشبورد'!$B$7="الكل",$K1932,IF('الداشبورد'!$B$7="تصدير","Y","N")))</f>
        <v/>
      </c>
      <c r="T1932">
        <f>--($J1932=IF('الداشبورد'!$B$8="الكل",$J1932,IF('الداشبورد'!$B$8="AL","A","C")))</f>
        <v/>
      </c>
      <c r="U1932">
        <f>--($I1932=IF('الداشبورد'!$B$9="الكل",$I1932,IF('الداشبورد'!$B$9="بدون حالة","P",'الداشبورد'!$B$9)))</f>
        <v/>
      </c>
      <c r="V1932">
        <f>--($D1932=IF('الداشبورد'!$B$10="الكل",$D1932,'الداشبورد'!$B$10))</f>
        <v/>
      </c>
      <c r="W1932">
        <f>--($G1932=IF('الداشبورد'!$B$11="الكل",$G1932,'الداشبورد'!$B$11))</f>
        <v/>
      </c>
      <c r="X1932">
        <f>Q1932*R1932*S1932*T1932*U1932*V1932*W1932*--($C1932&lt;&gt;"")</f>
        <v/>
      </c>
    </row>
    <row r="1933">
      <c r="Q1933">
        <f>--($A1933=IF('الداشبورد'!$B$5="الكل",$A1933,'الداشبورد'!$B$5))</f>
        <v/>
      </c>
      <c r="R1933">
        <f>--($E1933=IF('الداشبورد'!$B$6="الكل",$E1933,'الداشبورد'!$B$6))</f>
        <v/>
      </c>
      <c r="S1933">
        <f>--($K1933=IF('الداشبورد'!$B$7="الكل",$K1933,IF('الداشبورد'!$B$7="تصدير","Y","N")))</f>
        <v/>
      </c>
      <c r="T1933">
        <f>--($J1933=IF('الداشبورد'!$B$8="الكل",$J1933,IF('الداشبورد'!$B$8="AL","A","C")))</f>
        <v/>
      </c>
      <c r="U1933">
        <f>--($I1933=IF('الداشبورد'!$B$9="الكل",$I1933,IF('الداشبورد'!$B$9="بدون حالة","P",'الداشبورد'!$B$9)))</f>
        <v/>
      </c>
      <c r="V1933">
        <f>--($D1933=IF('الداشبورد'!$B$10="الكل",$D1933,'الداشبورد'!$B$10))</f>
        <v/>
      </c>
      <c r="W1933">
        <f>--($G1933=IF('الداشبورد'!$B$11="الكل",$G1933,'الداشبورد'!$B$11))</f>
        <v/>
      </c>
      <c r="X1933">
        <f>Q1933*R1933*S1933*T1933*U1933*V1933*W1933*--($C1933&lt;&gt;"")</f>
        <v/>
      </c>
    </row>
    <row r="1934">
      <c r="Q1934">
        <f>--($A1934=IF('الداشبورد'!$B$5="الكل",$A1934,'الداشبورد'!$B$5))</f>
        <v/>
      </c>
      <c r="R1934">
        <f>--($E1934=IF('الداشبورد'!$B$6="الكل",$E1934,'الداشبورد'!$B$6))</f>
        <v/>
      </c>
      <c r="S1934">
        <f>--($K1934=IF('الداشبورد'!$B$7="الكل",$K1934,IF('الداشبورد'!$B$7="تصدير","Y","N")))</f>
        <v/>
      </c>
      <c r="T1934">
        <f>--($J1934=IF('الداشبورد'!$B$8="الكل",$J1934,IF('الداشبورد'!$B$8="AL","A","C")))</f>
        <v/>
      </c>
      <c r="U1934">
        <f>--($I1934=IF('الداشبورد'!$B$9="الكل",$I1934,IF('الداشبورد'!$B$9="بدون حالة","P",'الداشبورد'!$B$9)))</f>
        <v/>
      </c>
      <c r="V1934">
        <f>--($D1934=IF('الداشبورد'!$B$10="الكل",$D1934,'الداشبورد'!$B$10))</f>
        <v/>
      </c>
      <c r="W1934">
        <f>--($G1934=IF('الداشبورد'!$B$11="الكل",$G1934,'الداشبورد'!$B$11))</f>
        <v/>
      </c>
      <c r="X1934">
        <f>Q1934*R1934*S1934*T1934*U1934*V1934*W1934*--($C1934&lt;&gt;"")</f>
        <v/>
      </c>
    </row>
    <row r="1935">
      <c r="Q1935">
        <f>--($A1935=IF('الداشبورد'!$B$5="الكل",$A1935,'الداشبورد'!$B$5))</f>
        <v/>
      </c>
      <c r="R1935">
        <f>--($E1935=IF('الداشبورد'!$B$6="الكل",$E1935,'الداشبورد'!$B$6))</f>
        <v/>
      </c>
      <c r="S1935">
        <f>--($K1935=IF('الداشبورد'!$B$7="الكل",$K1935,IF('الداشبورد'!$B$7="تصدير","Y","N")))</f>
        <v/>
      </c>
      <c r="T1935">
        <f>--($J1935=IF('الداشبورد'!$B$8="الكل",$J1935,IF('الداشبورد'!$B$8="AL","A","C")))</f>
        <v/>
      </c>
      <c r="U1935">
        <f>--($I1935=IF('الداشبورد'!$B$9="الكل",$I1935,IF('الداشبورد'!$B$9="بدون حالة","P",'الداشبورد'!$B$9)))</f>
        <v/>
      </c>
      <c r="V1935">
        <f>--($D1935=IF('الداشبورد'!$B$10="الكل",$D1935,'الداشبورد'!$B$10))</f>
        <v/>
      </c>
      <c r="W1935">
        <f>--($G1935=IF('الداشبورد'!$B$11="الكل",$G1935,'الداشبورد'!$B$11))</f>
        <v/>
      </c>
      <c r="X1935">
        <f>Q1935*R1935*S1935*T1935*U1935*V1935*W1935*--($C1935&lt;&gt;"")</f>
        <v/>
      </c>
    </row>
    <row r="1936">
      <c r="Q1936">
        <f>--($A1936=IF('الداشبورد'!$B$5="الكل",$A1936,'الداشبورد'!$B$5))</f>
        <v/>
      </c>
      <c r="R1936">
        <f>--($E1936=IF('الداشبورد'!$B$6="الكل",$E1936,'الداشبورد'!$B$6))</f>
        <v/>
      </c>
      <c r="S1936">
        <f>--($K1936=IF('الداشبورد'!$B$7="الكل",$K1936,IF('الداشبورد'!$B$7="تصدير","Y","N")))</f>
        <v/>
      </c>
      <c r="T1936">
        <f>--($J1936=IF('الداشبورد'!$B$8="الكل",$J1936,IF('الداشبورد'!$B$8="AL","A","C")))</f>
        <v/>
      </c>
      <c r="U1936">
        <f>--($I1936=IF('الداشبورد'!$B$9="الكل",$I1936,IF('الداشبورد'!$B$9="بدون حالة","P",'الداشبورد'!$B$9)))</f>
        <v/>
      </c>
      <c r="V1936">
        <f>--($D1936=IF('الداشبورد'!$B$10="الكل",$D1936,'الداشبورد'!$B$10))</f>
        <v/>
      </c>
      <c r="W1936">
        <f>--($G1936=IF('الداشبورد'!$B$11="الكل",$G1936,'الداشبورد'!$B$11))</f>
        <v/>
      </c>
      <c r="X1936">
        <f>Q1936*R1936*S1936*T1936*U1936*V1936*W1936*--($C1936&lt;&gt;"")</f>
        <v/>
      </c>
    </row>
    <row r="1937">
      <c r="Q1937">
        <f>--($A1937=IF('الداشبورد'!$B$5="الكل",$A1937,'الداشبورد'!$B$5))</f>
        <v/>
      </c>
      <c r="R1937">
        <f>--($E1937=IF('الداشبورد'!$B$6="الكل",$E1937,'الداشبورد'!$B$6))</f>
        <v/>
      </c>
      <c r="S1937">
        <f>--($K1937=IF('الداشبورد'!$B$7="الكل",$K1937,IF('الداشبورد'!$B$7="تصدير","Y","N")))</f>
        <v/>
      </c>
      <c r="T1937">
        <f>--($J1937=IF('الداشبورد'!$B$8="الكل",$J1937,IF('الداشبورد'!$B$8="AL","A","C")))</f>
        <v/>
      </c>
      <c r="U1937">
        <f>--($I1937=IF('الداشبورد'!$B$9="الكل",$I1937,IF('الداشبورد'!$B$9="بدون حالة","P",'الداشبورد'!$B$9)))</f>
        <v/>
      </c>
      <c r="V1937">
        <f>--($D1937=IF('الداشبورد'!$B$10="الكل",$D1937,'الداشبورد'!$B$10))</f>
        <v/>
      </c>
      <c r="W1937">
        <f>--($G1937=IF('الداشبورد'!$B$11="الكل",$G1937,'الداشبورد'!$B$11))</f>
        <v/>
      </c>
      <c r="X1937">
        <f>Q1937*R1937*S1937*T1937*U1937*V1937*W1937*--($C1937&lt;&gt;"")</f>
        <v/>
      </c>
    </row>
    <row r="1938">
      <c r="Q1938">
        <f>--($A1938=IF('الداشبورد'!$B$5="الكل",$A1938,'الداشبورد'!$B$5))</f>
        <v/>
      </c>
      <c r="R1938">
        <f>--($E1938=IF('الداشبورد'!$B$6="الكل",$E1938,'الداشبورد'!$B$6))</f>
        <v/>
      </c>
      <c r="S1938">
        <f>--($K1938=IF('الداشبورد'!$B$7="الكل",$K1938,IF('الداشبورد'!$B$7="تصدير","Y","N")))</f>
        <v/>
      </c>
      <c r="T1938">
        <f>--($J1938=IF('الداشبورد'!$B$8="الكل",$J1938,IF('الداشبورد'!$B$8="AL","A","C")))</f>
        <v/>
      </c>
      <c r="U1938">
        <f>--($I1938=IF('الداشبورد'!$B$9="الكل",$I1938,IF('الداشبورد'!$B$9="بدون حالة","P",'الداشبورد'!$B$9)))</f>
        <v/>
      </c>
      <c r="V1938">
        <f>--($D1938=IF('الداشبورد'!$B$10="الكل",$D1938,'الداشبورد'!$B$10))</f>
        <v/>
      </c>
      <c r="W1938">
        <f>--($G1938=IF('الداشبورد'!$B$11="الكل",$G1938,'الداشبورد'!$B$11))</f>
        <v/>
      </c>
      <c r="X1938">
        <f>Q1938*R1938*S1938*T1938*U1938*V1938*W1938*--($C1938&lt;&gt;"")</f>
        <v/>
      </c>
    </row>
    <row r="1939">
      <c r="Q1939">
        <f>--($A1939=IF('الداشبورد'!$B$5="الكل",$A1939,'الداشبورد'!$B$5))</f>
        <v/>
      </c>
      <c r="R1939">
        <f>--($E1939=IF('الداشبورد'!$B$6="الكل",$E1939,'الداشبورد'!$B$6))</f>
        <v/>
      </c>
      <c r="S1939">
        <f>--($K1939=IF('الداشبورد'!$B$7="الكل",$K1939,IF('الداشبورد'!$B$7="تصدير","Y","N")))</f>
        <v/>
      </c>
      <c r="T1939">
        <f>--($J1939=IF('الداشبورد'!$B$8="الكل",$J1939,IF('الداشبورد'!$B$8="AL","A","C")))</f>
        <v/>
      </c>
      <c r="U1939">
        <f>--($I1939=IF('الداشبورد'!$B$9="الكل",$I1939,IF('الداشبورد'!$B$9="بدون حالة","P",'الداشبورد'!$B$9)))</f>
        <v/>
      </c>
      <c r="V1939">
        <f>--($D1939=IF('الداشبورد'!$B$10="الكل",$D1939,'الداشبورد'!$B$10))</f>
        <v/>
      </c>
      <c r="W1939">
        <f>--($G1939=IF('الداشبورد'!$B$11="الكل",$G1939,'الداشبورد'!$B$11))</f>
        <v/>
      </c>
      <c r="X1939">
        <f>Q1939*R1939*S1939*T1939*U1939*V1939*W1939*--($C1939&lt;&gt;"")</f>
        <v/>
      </c>
    </row>
    <row r="1940">
      <c r="Q1940">
        <f>--($A1940=IF('الداشبورد'!$B$5="الكل",$A1940,'الداشبورد'!$B$5))</f>
        <v/>
      </c>
      <c r="R1940">
        <f>--($E1940=IF('الداشبورد'!$B$6="الكل",$E1940,'الداشبورد'!$B$6))</f>
        <v/>
      </c>
      <c r="S1940">
        <f>--($K1940=IF('الداشبورد'!$B$7="الكل",$K1940,IF('الداشبورد'!$B$7="تصدير","Y","N")))</f>
        <v/>
      </c>
      <c r="T1940">
        <f>--($J1940=IF('الداشبورد'!$B$8="الكل",$J1940,IF('الداشبورد'!$B$8="AL","A","C")))</f>
        <v/>
      </c>
      <c r="U1940">
        <f>--($I1940=IF('الداشبورد'!$B$9="الكل",$I1940,IF('الداشبورد'!$B$9="بدون حالة","P",'الداشبورد'!$B$9)))</f>
        <v/>
      </c>
      <c r="V1940">
        <f>--($D1940=IF('الداشبورد'!$B$10="الكل",$D1940,'الداشبورد'!$B$10))</f>
        <v/>
      </c>
      <c r="W1940">
        <f>--($G1940=IF('الداشبورد'!$B$11="الكل",$G1940,'الداشبورد'!$B$11))</f>
        <v/>
      </c>
      <c r="X1940">
        <f>Q1940*R1940*S1940*T1940*U1940*V1940*W1940*--($C1940&lt;&gt;"")</f>
        <v/>
      </c>
    </row>
    <row r="1941">
      <c r="Q1941">
        <f>--($A1941=IF('الداشبورد'!$B$5="الكل",$A1941,'الداشبورد'!$B$5))</f>
        <v/>
      </c>
      <c r="R1941">
        <f>--($E1941=IF('الداشبورد'!$B$6="الكل",$E1941,'الداشبورد'!$B$6))</f>
        <v/>
      </c>
      <c r="S1941">
        <f>--($K1941=IF('الداشبورد'!$B$7="الكل",$K1941,IF('الداشبورد'!$B$7="تصدير","Y","N")))</f>
        <v/>
      </c>
      <c r="T1941">
        <f>--($J1941=IF('الداشبورد'!$B$8="الكل",$J1941,IF('الداشبورد'!$B$8="AL","A","C")))</f>
        <v/>
      </c>
      <c r="U1941">
        <f>--($I1941=IF('الداشبورد'!$B$9="الكل",$I1941,IF('الداشبورد'!$B$9="بدون حالة","P",'الداشبورد'!$B$9)))</f>
        <v/>
      </c>
      <c r="V1941">
        <f>--($D1941=IF('الداشبورد'!$B$10="الكل",$D1941,'الداشبورد'!$B$10))</f>
        <v/>
      </c>
      <c r="W1941">
        <f>--($G1941=IF('الداشبورد'!$B$11="الكل",$G1941,'الداشبورد'!$B$11))</f>
        <v/>
      </c>
      <c r="X1941">
        <f>Q1941*R1941*S1941*T1941*U1941*V1941*W1941*--($C1941&lt;&gt;"")</f>
        <v/>
      </c>
    </row>
    <row r="1942">
      <c r="Q1942">
        <f>--($A1942=IF('الداشبورد'!$B$5="الكل",$A1942,'الداشبورد'!$B$5))</f>
        <v/>
      </c>
      <c r="R1942">
        <f>--($E1942=IF('الداشبورد'!$B$6="الكل",$E1942,'الداشبورد'!$B$6))</f>
        <v/>
      </c>
      <c r="S1942">
        <f>--($K1942=IF('الداشبورد'!$B$7="الكل",$K1942,IF('الداشبورد'!$B$7="تصدير","Y","N")))</f>
        <v/>
      </c>
      <c r="T1942">
        <f>--($J1942=IF('الداشبورد'!$B$8="الكل",$J1942,IF('الداشبورد'!$B$8="AL","A","C")))</f>
        <v/>
      </c>
      <c r="U1942">
        <f>--($I1942=IF('الداشبورد'!$B$9="الكل",$I1942,IF('الداشبورد'!$B$9="بدون حالة","P",'الداشبورد'!$B$9)))</f>
        <v/>
      </c>
      <c r="V1942">
        <f>--($D1942=IF('الداشبورد'!$B$10="الكل",$D1942,'الداشبورد'!$B$10))</f>
        <v/>
      </c>
      <c r="W1942">
        <f>--($G1942=IF('الداشبورد'!$B$11="الكل",$G1942,'الداشبورد'!$B$11))</f>
        <v/>
      </c>
      <c r="X1942">
        <f>Q1942*R1942*S1942*T1942*U1942*V1942*W1942*--($C1942&lt;&gt;"")</f>
        <v/>
      </c>
    </row>
    <row r="1943">
      <c r="Q1943">
        <f>--($A1943=IF('الداشبورد'!$B$5="الكل",$A1943,'الداشبورد'!$B$5))</f>
        <v/>
      </c>
      <c r="R1943">
        <f>--($E1943=IF('الداشبورد'!$B$6="الكل",$E1943,'الداشبورد'!$B$6))</f>
        <v/>
      </c>
      <c r="S1943">
        <f>--($K1943=IF('الداشبورد'!$B$7="الكل",$K1943,IF('الداشبورد'!$B$7="تصدير","Y","N")))</f>
        <v/>
      </c>
      <c r="T1943">
        <f>--($J1943=IF('الداشبورد'!$B$8="الكل",$J1943,IF('الداشبورد'!$B$8="AL","A","C")))</f>
        <v/>
      </c>
      <c r="U1943">
        <f>--($I1943=IF('الداشبورد'!$B$9="الكل",$I1943,IF('الداشبورد'!$B$9="بدون حالة","P",'الداشبورد'!$B$9)))</f>
        <v/>
      </c>
      <c r="V1943">
        <f>--($D1943=IF('الداشبورد'!$B$10="الكل",$D1943,'الداشبورد'!$B$10))</f>
        <v/>
      </c>
      <c r="W1943">
        <f>--($G1943=IF('الداشبورد'!$B$11="الكل",$G1943,'الداشبورد'!$B$11))</f>
        <v/>
      </c>
      <c r="X1943">
        <f>Q1943*R1943*S1943*T1943*U1943*V1943*W1943*--($C1943&lt;&gt;"")</f>
        <v/>
      </c>
    </row>
    <row r="1944">
      <c r="Q1944">
        <f>--($A1944=IF('الداشبورد'!$B$5="الكل",$A1944,'الداشبورد'!$B$5))</f>
        <v/>
      </c>
      <c r="R1944">
        <f>--($E1944=IF('الداشبورد'!$B$6="الكل",$E1944,'الداشبورد'!$B$6))</f>
        <v/>
      </c>
      <c r="S1944">
        <f>--($K1944=IF('الداشبورد'!$B$7="الكل",$K1944,IF('الداشبورد'!$B$7="تصدير","Y","N")))</f>
        <v/>
      </c>
      <c r="T1944">
        <f>--($J1944=IF('الداشبورد'!$B$8="الكل",$J1944,IF('الداشبورد'!$B$8="AL","A","C")))</f>
        <v/>
      </c>
      <c r="U1944">
        <f>--($I1944=IF('الداشبورد'!$B$9="الكل",$I1944,IF('الداشبورد'!$B$9="بدون حالة","P",'الداشبورد'!$B$9)))</f>
        <v/>
      </c>
      <c r="V1944">
        <f>--($D1944=IF('الداشبورد'!$B$10="الكل",$D1944,'الداشبورد'!$B$10))</f>
        <v/>
      </c>
      <c r="W1944">
        <f>--($G1944=IF('الداشبورد'!$B$11="الكل",$G1944,'الداشبورد'!$B$11))</f>
        <v/>
      </c>
      <c r="X1944">
        <f>Q1944*R1944*S1944*T1944*U1944*V1944*W1944*--($C1944&lt;&gt;"")</f>
        <v/>
      </c>
    </row>
    <row r="1945">
      <c r="Q1945">
        <f>--($A1945=IF('الداشبورد'!$B$5="الكل",$A1945,'الداشبورد'!$B$5))</f>
        <v/>
      </c>
      <c r="R1945">
        <f>--($E1945=IF('الداشبورد'!$B$6="الكل",$E1945,'الداشبورد'!$B$6))</f>
        <v/>
      </c>
      <c r="S1945">
        <f>--($K1945=IF('الداشبورد'!$B$7="الكل",$K1945,IF('الداشبورد'!$B$7="تصدير","Y","N")))</f>
        <v/>
      </c>
      <c r="T1945">
        <f>--($J1945=IF('الداشبورد'!$B$8="الكل",$J1945,IF('الداشبورد'!$B$8="AL","A","C")))</f>
        <v/>
      </c>
      <c r="U1945">
        <f>--($I1945=IF('الداشبورد'!$B$9="الكل",$I1945,IF('الداشبورد'!$B$9="بدون حالة","P",'الداشبورد'!$B$9)))</f>
        <v/>
      </c>
      <c r="V1945">
        <f>--($D1945=IF('الداشبورد'!$B$10="الكل",$D1945,'الداشبورد'!$B$10))</f>
        <v/>
      </c>
      <c r="W1945">
        <f>--($G1945=IF('الداشبورد'!$B$11="الكل",$G1945,'الداشبورد'!$B$11))</f>
        <v/>
      </c>
      <c r="X1945">
        <f>Q1945*R1945*S1945*T1945*U1945*V1945*W1945*--($C1945&lt;&gt;"")</f>
        <v/>
      </c>
    </row>
    <row r="1946">
      <c r="Q1946">
        <f>--($A1946=IF('الداشبورد'!$B$5="الكل",$A1946,'الداشبورد'!$B$5))</f>
        <v/>
      </c>
      <c r="R1946">
        <f>--($E1946=IF('الداشبورد'!$B$6="الكل",$E1946,'الداشبورد'!$B$6))</f>
        <v/>
      </c>
      <c r="S1946">
        <f>--($K1946=IF('الداشبورد'!$B$7="الكل",$K1946,IF('الداشبورد'!$B$7="تصدير","Y","N")))</f>
        <v/>
      </c>
      <c r="T1946">
        <f>--($J1946=IF('الداشبورد'!$B$8="الكل",$J1946,IF('الداشبورد'!$B$8="AL","A","C")))</f>
        <v/>
      </c>
      <c r="U1946">
        <f>--($I1946=IF('الداشبورد'!$B$9="الكل",$I1946,IF('الداشبورد'!$B$9="بدون حالة","P",'الداشبورد'!$B$9)))</f>
        <v/>
      </c>
      <c r="V1946">
        <f>--($D1946=IF('الداشبورد'!$B$10="الكل",$D1946,'الداشبورد'!$B$10))</f>
        <v/>
      </c>
      <c r="W1946">
        <f>--($G1946=IF('الداشبورد'!$B$11="الكل",$G1946,'الداشبورد'!$B$11))</f>
        <v/>
      </c>
      <c r="X1946">
        <f>Q1946*R1946*S1946*T1946*U1946*V1946*W1946*--($C1946&lt;&gt;"")</f>
        <v/>
      </c>
    </row>
    <row r="1947">
      <c r="Q1947">
        <f>--($A1947=IF('الداشبورد'!$B$5="الكل",$A1947,'الداشبورد'!$B$5))</f>
        <v/>
      </c>
      <c r="R1947">
        <f>--($E1947=IF('الداشبورد'!$B$6="الكل",$E1947,'الداشبورد'!$B$6))</f>
        <v/>
      </c>
      <c r="S1947">
        <f>--($K1947=IF('الداشبورد'!$B$7="الكل",$K1947,IF('الداشبورد'!$B$7="تصدير","Y","N")))</f>
        <v/>
      </c>
      <c r="T1947">
        <f>--($J1947=IF('الداشبورد'!$B$8="الكل",$J1947,IF('الداشبورد'!$B$8="AL","A","C")))</f>
        <v/>
      </c>
      <c r="U1947">
        <f>--($I1947=IF('الداشبورد'!$B$9="الكل",$I1947,IF('الداشبورد'!$B$9="بدون حالة","P",'الداشبورد'!$B$9)))</f>
        <v/>
      </c>
      <c r="V1947">
        <f>--($D1947=IF('الداشبورد'!$B$10="الكل",$D1947,'الداشبورد'!$B$10))</f>
        <v/>
      </c>
      <c r="W1947">
        <f>--($G1947=IF('الداشبورد'!$B$11="الكل",$G1947,'الداشبورد'!$B$11))</f>
        <v/>
      </c>
      <c r="X1947">
        <f>Q1947*R1947*S1947*T1947*U1947*V1947*W1947*--($C1947&lt;&gt;"")</f>
        <v/>
      </c>
    </row>
    <row r="1948">
      <c r="Q1948">
        <f>--($A1948=IF('الداشبورد'!$B$5="الكل",$A1948,'الداشبورد'!$B$5))</f>
        <v/>
      </c>
      <c r="R1948">
        <f>--($E1948=IF('الداشبورد'!$B$6="الكل",$E1948,'الداشبورد'!$B$6))</f>
        <v/>
      </c>
      <c r="S1948">
        <f>--($K1948=IF('الداشبورد'!$B$7="الكل",$K1948,IF('الداشبورد'!$B$7="تصدير","Y","N")))</f>
        <v/>
      </c>
      <c r="T1948">
        <f>--($J1948=IF('الداشبورد'!$B$8="الكل",$J1948,IF('الداشبورد'!$B$8="AL","A","C")))</f>
        <v/>
      </c>
      <c r="U1948">
        <f>--($I1948=IF('الداشبورد'!$B$9="الكل",$I1948,IF('الداشبورد'!$B$9="بدون حالة","P",'الداشبورد'!$B$9)))</f>
        <v/>
      </c>
      <c r="V1948">
        <f>--($D1948=IF('الداشبورد'!$B$10="الكل",$D1948,'الداشبورد'!$B$10))</f>
        <v/>
      </c>
      <c r="W1948">
        <f>--($G1948=IF('الداشبورد'!$B$11="الكل",$G1948,'الداشبورد'!$B$11))</f>
        <v/>
      </c>
      <c r="X1948">
        <f>Q1948*R1948*S1948*T1948*U1948*V1948*W1948*--($C1948&lt;&gt;"")</f>
        <v/>
      </c>
    </row>
    <row r="1949">
      <c r="Q1949">
        <f>--($A1949=IF('الداشبورد'!$B$5="الكل",$A1949,'الداشبورد'!$B$5))</f>
        <v/>
      </c>
      <c r="R1949">
        <f>--($E1949=IF('الداشبورد'!$B$6="الكل",$E1949,'الداشبورد'!$B$6))</f>
        <v/>
      </c>
      <c r="S1949">
        <f>--($K1949=IF('الداشبورد'!$B$7="الكل",$K1949,IF('الداشبورد'!$B$7="تصدير","Y","N")))</f>
        <v/>
      </c>
      <c r="T1949">
        <f>--($J1949=IF('الداشبورد'!$B$8="الكل",$J1949,IF('الداشبورد'!$B$8="AL","A","C")))</f>
        <v/>
      </c>
      <c r="U1949">
        <f>--($I1949=IF('الداشبورد'!$B$9="الكل",$I1949,IF('الداشبورد'!$B$9="بدون حالة","P",'الداشبورد'!$B$9)))</f>
        <v/>
      </c>
      <c r="V1949">
        <f>--($D1949=IF('الداشبورد'!$B$10="الكل",$D1949,'الداشبورد'!$B$10))</f>
        <v/>
      </c>
      <c r="W1949">
        <f>--($G1949=IF('الداشبورد'!$B$11="الكل",$G1949,'الداشبورد'!$B$11))</f>
        <v/>
      </c>
      <c r="X1949">
        <f>Q1949*R1949*S1949*T1949*U1949*V1949*W1949*--($C1949&lt;&gt;"")</f>
        <v/>
      </c>
    </row>
    <row r="1950">
      <c r="Q1950">
        <f>--($A1950=IF('الداشبورد'!$B$5="الكل",$A1950,'الداشبورد'!$B$5))</f>
        <v/>
      </c>
      <c r="R1950">
        <f>--($E1950=IF('الداشبورد'!$B$6="الكل",$E1950,'الداشبورد'!$B$6))</f>
        <v/>
      </c>
      <c r="S1950">
        <f>--($K1950=IF('الداشبورد'!$B$7="الكل",$K1950,IF('الداشبورد'!$B$7="تصدير","Y","N")))</f>
        <v/>
      </c>
      <c r="T1950">
        <f>--($J1950=IF('الداشبورد'!$B$8="الكل",$J1950,IF('الداشبورد'!$B$8="AL","A","C")))</f>
        <v/>
      </c>
      <c r="U1950">
        <f>--($I1950=IF('الداشبورد'!$B$9="الكل",$I1950,IF('الداشبورد'!$B$9="بدون حالة","P",'الداشبورد'!$B$9)))</f>
        <v/>
      </c>
      <c r="V1950">
        <f>--($D1950=IF('الداشبورد'!$B$10="الكل",$D1950,'الداشبورد'!$B$10))</f>
        <v/>
      </c>
      <c r="W1950">
        <f>--($G1950=IF('الداشبورد'!$B$11="الكل",$G1950,'الداشبورد'!$B$11))</f>
        <v/>
      </c>
      <c r="X1950">
        <f>Q1950*R1950*S1950*T1950*U1950*V1950*W1950*--($C1950&lt;&gt;"")</f>
        <v/>
      </c>
    </row>
    <row r="1951">
      <c r="Q1951">
        <f>--($A1951=IF('الداشبورد'!$B$5="الكل",$A1951,'الداشبورد'!$B$5))</f>
        <v/>
      </c>
      <c r="R1951">
        <f>--($E1951=IF('الداشبورد'!$B$6="الكل",$E1951,'الداشبورد'!$B$6))</f>
        <v/>
      </c>
      <c r="S1951">
        <f>--($K1951=IF('الداشبورد'!$B$7="الكل",$K1951,IF('الداشبورد'!$B$7="تصدير","Y","N")))</f>
        <v/>
      </c>
      <c r="T1951">
        <f>--($J1951=IF('الداشبورد'!$B$8="الكل",$J1951,IF('الداشبورد'!$B$8="AL","A","C")))</f>
        <v/>
      </c>
      <c r="U1951">
        <f>--($I1951=IF('الداشبورد'!$B$9="الكل",$I1951,IF('الداشبورد'!$B$9="بدون حالة","P",'الداشبورد'!$B$9)))</f>
        <v/>
      </c>
      <c r="V1951">
        <f>--($D1951=IF('الداشبورد'!$B$10="الكل",$D1951,'الداشبورد'!$B$10))</f>
        <v/>
      </c>
      <c r="W1951">
        <f>--($G1951=IF('الداشبورد'!$B$11="الكل",$G1951,'الداشبورد'!$B$11))</f>
        <v/>
      </c>
      <c r="X1951">
        <f>Q1951*R1951*S1951*T1951*U1951*V1951*W1951*--($C1951&lt;&gt;"")</f>
        <v/>
      </c>
    </row>
    <row r="1952">
      <c r="Q1952">
        <f>--($A1952=IF('الداشبورد'!$B$5="الكل",$A1952,'الداشبورد'!$B$5))</f>
        <v/>
      </c>
      <c r="R1952">
        <f>--($E1952=IF('الداشبورد'!$B$6="الكل",$E1952,'الداشبورد'!$B$6))</f>
        <v/>
      </c>
      <c r="S1952">
        <f>--($K1952=IF('الداشبورد'!$B$7="الكل",$K1952,IF('الداشبورد'!$B$7="تصدير","Y","N")))</f>
        <v/>
      </c>
      <c r="T1952">
        <f>--($J1952=IF('الداشبورد'!$B$8="الكل",$J1952,IF('الداشبورد'!$B$8="AL","A","C")))</f>
        <v/>
      </c>
      <c r="U1952">
        <f>--($I1952=IF('الداشبورد'!$B$9="الكل",$I1952,IF('الداشبورد'!$B$9="بدون حالة","P",'الداشبورد'!$B$9)))</f>
        <v/>
      </c>
      <c r="V1952">
        <f>--($D1952=IF('الداشبورد'!$B$10="الكل",$D1952,'الداشبورد'!$B$10))</f>
        <v/>
      </c>
      <c r="W1952">
        <f>--($G1952=IF('الداشبورد'!$B$11="الكل",$G1952,'الداشبورد'!$B$11))</f>
        <v/>
      </c>
      <c r="X1952">
        <f>Q1952*R1952*S1952*T1952*U1952*V1952*W1952*--($C1952&lt;&gt;"")</f>
        <v/>
      </c>
    </row>
    <row r="1953">
      <c r="Q1953">
        <f>--($A1953=IF('الداشبورد'!$B$5="الكل",$A1953,'الداشبورد'!$B$5))</f>
        <v/>
      </c>
      <c r="R1953">
        <f>--($E1953=IF('الداشبورد'!$B$6="الكل",$E1953,'الداشبورد'!$B$6))</f>
        <v/>
      </c>
      <c r="S1953">
        <f>--($K1953=IF('الداشبورد'!$B$7="الكل",$K1953,IF('الداشبورد'!$B$7="تصدير","Y","N")))</f>
        <v/>
      </c>
      <c r="T1953">
        <f>--($J1953=IF('الداشبورد'!$B$8="الكل",$J1953,IF('الداشبورد'!$B$8="AL","A","C")))</f>
        <v/>
      </c>
      <c r="U1953">
        <f>--($I1953=IF('الداشبورد'!$B$9="الكل",$I1953,IF('الداشبورد'!$B$9="بدون حالة","P",'الداشبورد'!$B$9)))</f>
        <v/>
      </c>
      <c r="V1953">
        <f>--($D1953=IF('الداشبورد'!$B$10="الكل",$D1953,'الداشبورد'!$B$10))</f>
        <v/>
      </c>
      <c r="W1953">
        <f>--($G1953=IF('الداشبورد'!$B$11="الكل",$G1953,'الداشبورد'!$B$11))</f>
        <v/>
      </c>
      <c r="X1953">
        <f>Q1953*R1953*S1953*T1953*U1953*V1953*W1953*--($C1953&lt;&gt;"")</f>
        <v/>
      </c>
    </row>
    <row r="1954">
      <c r="Q1954">
        <f>--($A1954=IF('الداشبورد'!$B$5="الكل",$A1954,'الداشبورد'!$B$5))</f>
        <v/>
      </c>
      <c r="R1954">
        <f>--($E1954=IF('الداشبورد'!$B$6="الكل",$E1954,'الداشبورد'!$B$6))</f>
        <v/>
      </c>
      <c r="S1954">
        <f>--($K1954=IF('الداشبورد'!$B$7="الكل",$K1954,IF('الداشبورد'!$B$7="تصدير","Y","N")))</f>
        <v/>
      </c>
      <c r="T1954">
        <f>--($J1954=IF('الداشبورد'!$B$8="الكل",$J1954,IF('الداشبورد'!$B$8="AL","A","C")))</f>
        <v/>
      </c>
      <c r="U1954">
        <f>--($I1954=IF('الداشبورد'!$B$9="الكل",$I1954,IF('الداشبورد'!$B$9="بدون حالة","P",'الداشبورد'!$B$9)))</f>
        <v/>
      </c>
      <c r="V1954">
        <f>--($D1954=IF('الداشبورد'!$B$10="الكل",$D1954,'الداشبورد'!$B$10))</f>
        <v/>
      </c>
      <c r="W1954">
        <f>--($G1954=IF('الداشبورد'!$B$11="الكل",$G1954,'الداشبورد'!$B$11))</f>
        <v/>
      </c>
      <c r="X1954">
        <f>Q1954*R1954*S1954*T1954*U1954*V1954*W1954*--($C1954&lt;&gt;"")</f>
        <v/>
      </c>
    </row>
    <row r="1955">
      <c r="Q1955">
        <f>--($A1955=IF('الداشبورد'!$B$5="الكل",$A1955,'الداشبورد'!$B$5))</f>
        <v/>
      </c>
      <c r="R1955">
        <f>--($E1955=IF('الداشبورد'!$B$6="الكل",$E1955,'الداشبورد'!$B$6))</f>
        <v/>
      </c>
      <c r="S1955">
        <f>--($K1955=IF('الداشبورد'!$B$7="الكل",$K1955,IF('الداشبورد'!$B$7="تصدير","Y","N")))</f>
        <v/>
      </c>
      <c r="T1955">
        <f>--($J1955=IF('الداشبورد'!$B$8="الكل",$J1955,IF('الداشبورد'!$B$8="AL","A","C")))</f>
        <v/>
      </c>
      <c r="U1955">
        <f>--($I1955=IF('الداشبورد'!$B$9="الكل",$I1955,IF('الداشبورد'!$B$9="بدون حالة","P",'الداشبورد'!$B$9)))</f>
        <v/>
      </c>
      <c r="V1955">
        <f>--($D1955=IF('الداشبورد'!$B$10="الكل",$D1955,'الداشبورد'!$B$10))</f>
        <v/>
      </c>
      <c r="W1955">
        <f>--($G1955=IF('الداشبورد'!$B$11="الكل",$G1955,'الداشبورد'!$B$11))</f>
        <v/>
      </c>
      <c r="X1955">
        <f>Q1955*R1955*S1955*T1955*U1955*V1955*W1955*--($C1955&lt;&gt;"")</f>
        <v/>
      </c>
    </row>
    <row r="1956">
      <c r="Q1956">
        <f>--($A1956=IF('الداشبورد'!$B$5="الكل",$A1956,'الداشبورد'!$B$5))</f>
        <v/>
      </c>
      <c r="R1956">
        <f>--($E1956=IF('الداشبورد'!$B$6="الكل",$E1956,'الداشبورد'!$B$6))</f>
        <v/>
      </c>
      <c r="S1956">
        <f>--($K1956=IF('الداشبورد'!$B$7="الكل",$K1956,IF('الداشبورد'!$B$7="تصدير","Y","N")))</f>
        <v/>
      </c>
      <c r="T1956">
        <f>--($J1956=IF('الداشبورد'!$B$8="الكل",$J1956,IF('الداشبورد'!$B$8="AL","A","C")))</f>
        <v/>
      </c>
      <c r="U1956">
        <f>--($I1956=IF('الداشبورد'!$B$9="الكل",$I1956,IF('الداشبورد'!$B$9="بدون حالة","P",'الداشبورد'!$B$9)))</f>
        <v/>
      </c>
      <c r="V1956">
        <f>--($D1956=IF('الداشبورد'!$B$10="الكل",$D1956,'الداشبورد'!$B$10))</f>
        <v/>
      </c>
      <c r="W1956">
        <f>--($G1956=IF('الداشبورد'!$B$11="الكل",$G1956,'الداشبورد'!$B$11))</f>
        <v/>
      </c>
      <c r="X1956">
        <f>Q1956*R1956*S1956*T1956*U1956*V1956*W1956*--($C1956&lt;&gt;"")</f>
        <v/>
      </c>
    </row>
    <row r="1957">
      <c r="Q1957">
        <f>--($A1957=IF('الداشبورد'!$B$5="الكل",$A1957,'الداشبورد'!$B$5))</f>
        <v/>
      </c>
      <c r="R1957">
        <f>--($E1957=IF('الداشبورد'!$B$6="الكل",$E1957,'الداشبورد'!$B$6))</f>
        <v/>
      </c>
      <c r="S1957">
        <f>--($K1957=IF('الداشبورد'!$B$7="الكل",$K1957,IF('الداشبورد'!$B$7="تصدير","Y","N")))</f>
        <v/>
      </c>
      <c r="T1957">
        <f>--($J1957=IF('الداشبورد'!$B$8="الكل",$J1957,IF('الداشبورد'!$B$8="AL","A","C")))</f>
        <v/>
      </c>
      <c r="U1957">
        <f>--($I1957=IF('الداشبورد'!$B$9="الكل",$I1957,IF('الداشبورد'!$B$9="بدون حالة","P",'الداشبورد'!$B$9)))</f>
        <v/>
      </c>
      <c r="V1957">
        <f>--($D1957=IF('الداشبورد'!$B$10="الكل",$D1957,'الداشبورد'!$B$10))</f>
        <v/>
      </c>
      <c r="W1957">
        <f>--($G1957=IF('الداشبورد'!$B$11="الكل",$G1957,'الداشبورد'!$B$11))</f>
        <v/>
      </c>
      <c r="X1957">
        <f>Q1957*R1957*S1957*T1957*U1957*V1957*W1957*--($C1957&lt;&gt;"")</f>
        <v/>
      </c>
    </row>
    <row r="1958">
      <c r="Q1958">
        <f>--($A1958=IF('الداشبورد'!$B$5="الكل",$A1958,'الداشبورد'!$B$5))</f>
        <v/>
      </c>
      <c r="R1958">
        <f>--($E1958=IF('الداشبورد'!$B$6="الكل",$E1958,'الداشبورد'!$B$6))</f>
        <v/>
      </c>
      <c r="S1958">
        <f>--($K1958=IF('الداشبورد'!$B$7="الكل",$K1958,IF('الداشبورد'!$B$7="تصدير","Y","N")))</f>
        <v/>
      </c>
      <c r="T1958">
        <f>--($J1958=IF('الداشبورد'!$B$8="الكل",$J1958,IF('الداشبورد'!$B$8="AL","A","C")))</f>
        <v/>
      </c>
      <c r="U1958">
        <f>--($I1958=IF('الداشبورد'!$B$9="الكل",$I1958,IF('الداشبورد'!$B$9="بدون حالة","P",'الداشبورد'!$B$9)))</f>
        <v/>
      </c>
      <c r="V1958">
        <f>--($D1958=IF('الداشبورد'!$B$10="الكل",$D1958,'الداشبورد'!$B$10))</f>
        <v/>
      </c>
      <c r="W1958">
        <f>--($G1958=IF('الداشبورد'!$B$11="الكل",$G1958,'الداشبورد'!$B$11))</f>
        <v/>
      </c>
      <c r="X1958">
        <f>Q1958*R1958*S1958*T1958*U1958*V1958*W1958*--($C1958&lt;&gt;"")</f>
        <v/>
      </c>
    </row>
    <row r="1959">
      <c r="Q1959">
        <f>--($A1959=IF('الداشبورد'!$B$5="الكل",$A1959,'الداشبورد'!$B$5))</f>
        <v/>
      </c>
      <c r="R1959">
        <f>--($E1959=IF('الداشبورد'!$B$6="الكل",$E1959,'الداشبورد'!$B$6))</f>
        <v/>
      </c>
      <c r="S1959">
        <f>--($K1959=IF('الداشبورد'!$B$7="الكل",$K1959,IF('الداشبورد'!$B$7="تصدير","Y","N")))</f>
        <v/>
      </c>
      <c r="T1959">
        <f>--($J1959=IF('الداشبورد'!$B$8="الكل",$J1959,IF('الداشبورد'!$B$8="AL","A","C")))</f>
        <v/>
      </c>
      <c r="U1959">
        <f>--($I1959=IF('الداشبورد'!$B$9="الكل",$I1959,IF('الداشبورد'!$B$9="بدون حالة","P",'الداشبورد'!$B$9)))</f>
        <v/>
      </c>
      <c r="V1959">
        <f>--($D1959=IF('الداشبورد'!$B$10="الكل",$D1959,'الداشبورد'!$B$10))</f>
        <v/>
      </c>
      <c r="W1959">
        <f>--($G1959=IF('الداشبورد'!$B$11="الكل",$G1959,'الداشبورد'!$B$11))</f>
        <v/>
      </c>
      <c r="X1959">
        <f>Q1959*R1959*S1959*T1959*U1959*V1959*W1959*--($C1959&lt;&gt;"")</f>
        <v/>
      </c>
    </row>
    <row r="1960">
      <c r="Q1960">
        <f>--($A1960=IF('الداشبورد'!$B$5="الكل",$A1960,'الداشبورد'!$B$5))</f>
        <v/>
      </c>
      <c r="R1960">
        <f>--($E1960=IF('الداشبورد'!$B$6="الكل",$E1960,'الداشبورد'!$B$6))</f>
        <v/>
      </c>
      <c r="S1960">
        <f>--($K1960=IF('الداشبورد'!$B$7="الكل",$K1960,IF('الداشبورد'!$B$7="تصدير","Y","N")))</f>
        <v/>
      </c>
      <c r="T1960">
        <f>--($J1960=IF('الداشبورد'!$B$8="الكل",$J1960,IF('الداشبورد'!$B$8="AL","A","C")))</f>
        <v/>
      </c>
      <c r="U1960">
        <f>--($I1960=IF('الداشبورد'!$B$9="الكل",$I1960,IF('الداشبورد'!$B$9="بدون حالة","P",'الداشبورد'!$B$9)))</f>
        <v/>
      </c>
      <c r="V1960">
        <f>--($D1960=IF('الداشبورد'!$B$10="الكل",$D1960,'الداشبورد'!$B$10))</f>
        <v/>
      </c>
      <c r="W1960">
        <f>--($G1960=IF('الداشبورد'!$B$11="الكل",$G1960,'الداشبورد'!$B$11))</f>
        <v/>
      </c>
      <c r="X1960">
        <f>Q1960*R1960*S1960*T1960*U1960*V1960*W1960*--($C1960&lt;&gt;"")</f>
        <v/>
      </c>
    </row>
    <row r="1961">
      <c r="Q1961">
        <f>--($A1961=IF('الداشبورد'!$B$5="الكل",$A1961,'الداشبورد'!$B$5))</f>
        <v/>
      </c>
      <c r="R1961">
        <f>--($E1961=IF('الداشبورد'!$B$6="الكل",$E1961,'الداشبورد'!$B$6))</f>
        <v/>
      </c>
      <c r="S1961">
        <f>--($K1961=IF('الداشبورد'!$B$7="الكل",$K1961,IF('الداشبورد'!$B$7="تصدير","Y","N")))</f>
        <v/>
      </c>
      <c r="T1961">
        <f>--($J1961=IF('الداشبورد'!$B$8="الكل",$J1961,IF('الداشبورد'!$B$8="AL","A","C")))</f>
        <v/>
      </c>
      <c r="U1961">
        <f>--($I1961=IF('الداشبورد'!$B$9="الكل",$I1961,IF('الداشبورد'!$B$9="بدون حالة","P",'الداشبورد'!$B$9)))</f>
        <v/>
      </c>
      <c r="V1961">
        <f>--($D1961=IF('الداشبورد'!$B$10="الكل",$D1961,'الداشبورد'!$B$10))</f>
        <v/>
      </c>
      <c r="W1961">
        <f>--($G1961=IF('الداشبورد'!$B$11="الكل",$G1961,'الداشبورد'!$B$11))</f>
        <v/>
      </c>
      <c r="X1961">
        <f>Q1961*R1961*S1961*T1961*U1961*V1961*W1961*--($C1961&lt;&gt;"")</f>
        <v/>
      </c>
    </row>
    <row r="1962">
      <c r="Q1962">
        <f>--($A1962=IF('الداشبورد'!$B$5="الكل",$A1962,'الداشبورد'!$B$5))</f>
        <v/>
      </c>
      <c r="R1962">
        <f>--($E1962=IF('الداشبورد'!$B$6="الكل",$E1962,'الداشبورد'!$B$6))</f>
        <v/>
      </c>
      <c r="S1962">
        <f>--($K1962=IF('الداشبورد'!$B$7="الكل",$K1962,IF('الداشبورد'!$B$7="تصدير","Y","N")))</f>
        <v/>
      </c>
      <c r="T1962">
        <f>--($J1962=IF('الداشبورد'!$B$8="الكل",$J1962,IF('الداشبورد'!$B$8="AL","A","C")))</f>
        <v/>
      </c>
      <c r="U1962">
        <f>--($I1962=IF('الداشبورد'!$B$9="الكل",$I1962,IF('الداشبورد'!$B$9="بدون حالة","P",'الداشبورد'!$B$9)))</f>
        <v/>
      </c>
      <c r="V1962">
        <f>--($D1962=IF('الداشبورد'!$B$10="الكل",$D1962,'الداشبورد'!$B$10))</f>
        <v/>
      </c>
      <c r="W1962">
        <f>--($G1962=IF('الداشبورد'!$B$11="الكل",$G1962,'الداشبورد'!$B$11))</f>
        <v/>
      </c>
      <c r="X1962">
        <f>Q1962*R1962*S1962*T1962*U1962*V1962*W1962*--($C1962&lt;&gt;"")</f>
        <v/>
      </c>
    </row>
    <row r="1963">
      <c r="Q1963">
        <f>--($A1963=IF('الداشبورد'!$B$5="الكل",$A1963,'الداشبورد'!$B$5))</f>
        <v/>
      </c>
      <c r="R1963">
        <f>--($E1963=IF('الداشبورد'!$B$6="الكل",$E1963,'الداشبورد'!$B$6))</f>
        <v/>
      </c>
      <c r="S1963">
        <f>--($K1963=IF('الداشبورد'!$B$7="الكل",$K1963,IF('الداشبورد'!$B$7="تصدير","Y","N")))</f>
        <v/>
      </c>
      <c r="T1963">
        <f>--($J1963=IF('الداشبورد'!$B$8="الكل",$J1963,IF('الداشبورد'!$B$8="AL","A","C")))</f>
        <v/>
      </c>
      <c r="U1963">
        <f>--($I1963=IF('الداشبورد'!$B$9="الكل",$I1963,IF('الداشبورد'!$B$9="بدون حالة","P",'الداشبورد'!$B$9)))</f>
        <v/>
      </c>
      <c r="V1963">
        <f>--($D1963=IF('الداشبورد'!$B$10="الكل",$D1963,'الداشبورد'!$B$10))</f>
        <v/>
      </c>
      <c r="W1963">
        <f>--($G1963=IF('الداشبورد'!$B$11="الكل",$G1963,'الداشبورد'!$B$11))</f>
        <v/>
      </c>
      <c r="X1963">
        <f>Q1963*R1963*S1963*T1963*U1963*V1963*W1963*--($C1963&lt;&gt;"")</f>
        <v/>
      </c>
    </row>
    <row r="1964">
      <c r="Q1964">
        <f>--($A1964=IF('الداشبورد'!$B$5="الكل",$A1964,'الداشبورد'!$B$5))</f>
        <v/>
      </c>
      <c r="R1964">
        <f>--($E1964=IF('الداشبورد'!$B$6="الكل",$E1964,'الداشبورد'!$B$6))</f>
        <v/>
      </c>
      <c r="S1964">
        <f>--($K1964=IF('الداشبورد'!$B$7="الكل",$K1964,IF('الداشبورد'!$B$7="تصدير","Y","N")))</f>
        <v/>
      </c>
      <c r="T1964">
        <f>--($J1964=IF('الداشبورد'!$B$8="الكل",$J1964,IF('الداشبورد'!$B$8="AL","A","C")))</f>
        <v/>
      </c>
      <c r="U1964">
        <f>--($I1964=IF('الداشبورد'!$B$9="الكل",$I1964,IF('الداشبورد'!$B$9="بدون حالة","P",'الداشبورد'!$B$9)))</f>
        <v/>
      </c>
      <c r="V1964">
        <f>--($D1964=IF('الداشبورد'!$B$10="الكل",$D1964,'الداشبورد'!$B$10))</f>
        <v/>
      </c>
      <c r="W1964">
        <f>--($G1964=IF('الداشبورد'!$B$11="الكل",$G1964,'الداشبورد'!$B$11))</f>
        <v/>
      </c>
      <c r="X1964">
        <f>Q1964*R1964*S1964*T1964*U1964*V1964*W1964*--($C1964&lt;&gt;"")</f>
        <v/>
      </c>
    </row>
    <row r="1965">
      <c r="Q1965">
        <f>--($A1965=IF('الداشبورد'!$B$5="الكل",$A1965,'الداشبورد'!$B$5))</f>
        <v/>
      </c>
      <c r="R1965">
        <f>--($E1965=IF('الداشبورد'!$B$6="الكل",$E1965,'الداشبورد'!$B$6))</f>
        <v/>
      </c>
      <c r="S1965">
        <f>--($K1965=IF('الداشبورد'!$B$7="الكل",$K1965,IF('الداشبورد'!$B$7="تصدير","Y","N")))</f>
        <v/>
      </c>
      <c r="T1965">
        <f>--($J1965=IF('الداشبورد'!$B$8="الكل",$J1965,IF('الداشبورد'!$B$8="AL","A","C")))</f>
        <v/>
      </c>
      <c r="U1965">
        <f>--($I1965=IF('الداشبورد'!$B$9="الكل",$I1965,IF('الداشبورد'!$B$9="بدون حالة","P",'الداشبورد'!$B$9)))</f>
        <v/>
      </c>
      <c r="V1965">
        <f>--($D1965=IF('الداشبورد'!$B$10="الكل",$D1965,'الداشبورد'!$B$10))</f>
        <v/>
      </c>
      <c r="W1965">
        <f>--($G1965=IF('الداشبورد'!$B$11="الكل",$G1965,'الداشبورد'!$B$11))</f>
        <v/>
      </c>
      <c r="X1965">
        <f>Q1965*R1965*S1965*T1965*U1965*V1965*W1965*--($C1965&lt;&gt;"")</f>
        <v/>
      </c>
    </row>
    <row r="1966">
      <c r="Q1966">
        <f>--($A1966=IF('الداشبورد'!$B$5="الكل",$A1966,'الداشبورد'!$B$5))</f>
        <v/>
      </c>
      <c r="R1966">
        <f>--($E1966=IF('الداشبورد'!$B$6="الكل",$E1966,'الداشبورد'!$B$6))</f>
        <v/>
      </c>
      <c r="S1966">
        <f>--($K1966=IF('الداشبورد'!$B$7="الكل",$K1966,IF('الداشبورد'!$B$7="تصدير","Y","N")))</f>
        <v/>
      </c>
      <c r="T1966">
        <f>--($J1966=IF('الداشبورد'!$B$8="الكل",$J1966,IF('الداشبورد'!$B$8="AL","A","C")))</f>
        <v/>
      </c>
      <c r="U1966">
        <f>--($I1966=IF('الداشبورد'!$B$9="الكل",$I1966,IF('الداشبورد'!$B$9="بدون حالة","P",'الداشبورد'!$B$9)))</f>
        <v/>
      </c>
      <c r="V1966">
        <f>--($D1966=IF('الداشبورد'!$B$10="الكل",$D1966,'الداشبورد'!$B$10))</f>
        <v/>
      </c>
      <c r="W1966">
        <f>--($G1966=IF('الداشبورد'!$B$11="الكل",$G1966,'الداشبورد'!$B$11))</f>
        <v/>
      </c>
      <c r="X1966">
        <f>Q1966*R1966*S1966*T1966*U1966*V1966*W1966*--($C1966&lt;&gt;"")</f>
        <v/>
      </c>
    </row>
    <row r="1967">
      <c r="Q1967">
        <f>--($A1967=IF('الداشبورد'!$B$5="الكل",$A1967,'الداشبورد'!$B$5))</f>
        <v/>
      </c>
      <c r="R1967">
        <f>--($E1967=IF('الداشبورد'!$B$6="الكل",$E1967,'الداشبورد'!$B$6))</f>
        <v/>
      </c>
      <c r="S1967">
        <f>--($K1967=IF('الداشبورد'!$B$7="الكل",$K1967,IF('الداشبورد'!$B$7="تصدير","Y","N")))</f>
        <v/>
      </c>
      <c r="T1967">
        <f>--($J1967=IF('الداشبورد'!$B$8="الكل",$J1967,IF('الداشبورد'!$B$8="AL","A","C")))</f>
        <v/>
      </c>
      <c r="U1967">
        <f>--($I1967=IF('الداشبورد'!$B$9="الكل",$I1967,IF('الداشبورد'!$B$9="بدون حالة","P",'الداشبورد'!$B$9)))</f>
        <v/>
      </c>
      <c r="V1967">
        <f>--($D1967=IF('الداشبورد'!$B$10="الكل",$D1967,'الداشبورد'!$B$10))</f>
        <v/>
      </c>
      <c r="W1967">
        <f>--($G1967=IF('الداشبورد'!$B$11="الكل",$G1967,'الداشبورد'!$B$11))</f>
        <v/>
      </c>
      <c r="X1967">
        <f>Q1967*R1967*S1967*T1967*U1967*V1967*W1967*--($C1967&lt;&gt;"")</f>
        <v/>
      </c>
    </row>
    <row r="1968">
      <c r="Q1968">
        <f>--($A1968=IF('الداشبورد'!$B$5="الكل",$A1968,'الداشبورد'!$B$5))</f>
        <v/>
      </c>
      <c r="R1968">
        <f>--($E1968=IF('الداشبورد'!$B$6="الكل",$E1968,'الداشبورد'!$B$6))</f>
        <v/>
      </c>
      <c r="S1968">
        <f>--($K1968=IF('الداشبورد'!$B$7="الكل",$K1968,IF('الداشبورد'!$B$7="تصدير","Y","N")))</f>
        <v/>
      </c>
      <c r="T1968">
        <f>--($J1968=IF('الداشبورد'!$B$8="الكل",$J1968,IF('الداشبورد'!$B$8="AL","A","C")))</f>
        <v/>
      </c>
      <c r="U1968">
        <f>--($I1968=IF('الداشبورد'!$B$9="الكل",$I1968,IF('الداشبورد'!$B$9="بدون حالة","P",'الداشبورد'!$B$9)))</f>
        <v/>
      </c>
      <c r="V1968">
        <f>--($D1968=IF('الداشبورد'!$B$10="الكل",$D1968,'الداشبورد'!$B$10))</f>
        <v/>
      </c>
      <c r="W1968">
        <f>--($G1968=IF('الداشبورد'!$B$11="الكل",$G1968,'الداشبورد'!$B$11))</f>
        <v/>
      </c>
      <c r="X1968">
        <f>Q1968*R1968*S1968*T1968*U1968*V1968*W1968*--($C1968&lt;&gt;"")</f>
        <v/>
      </c>
    </row>
    <row r="1969">
      <c r="Q1969">
        <f>--($A1969=IF('الداشبورد'!$B$5="الكل",$A1969,'الداشبورد'!$B$5))</f>
        <v/>
      </c>
      <c r="R1969">
        <f>--($E1969=IF('الداشبورد'!$B$6="الكل",$E1969,'الداشبورد'!$B$6))</f>
        <v/>
      </c>
      <c r="S1969">
        <f>--($K1969=IF('الداشبورد'!$B$7="الكل",$K1969,IF('الداشبورد'!$B$7="تصدير","Y","N")))</f>
        <v/>
      </c>
      <c r="T1969">
        <f>--($J1969=IF('الداشبورد'!$B$8="الكل",$J1969,IF('الداشبورد'!$B$8="AL","A","C")))</f>
        <v/>
      </c>
      <c r="U1969">
        <f>--($I1969=IF('الداشبورد'!$B$9="الكل",$I1969,IF('الداشبورد'!$B$9="بدون حالة","P",'الداشبورد'!$B$9)))</f>
        <v/>
      </c>
      <c r="V1969">
        <f>--($D1969=IF('الداشبورد'!$B$10="الكل",$D1969,'الداشبورد'!$B$10))</f>
        <v/>
      </c>
      <c r="W1969">
        <f>--($G1969=IF('الداشبورد'!$B$11="الكل",$G1969,'الداشبورد'!$B$11))</f>
        <v/>
      </c>
      <c r="X1969">
        <f>Q1969*R1969*S1969*T1969*U1969*V1969*W1969*--($C1969&lt;&gt;"")</f>
        <v/>
      </c>
    </row>
    <row r="1970">
      <c r="Q1970">
        <f>--($A1970=IF('الداشبورد'!$B$5="الكل",$A1970,'الداشبورد'!$B$5))</f>
        <v/>
      </c>
      <c r="R1970">
        <f>--($E1970=IF('الداشبورد'!$B$6="الكل",$E1970,'الداشبورد'!$B$6))</f>
        <v/>
      </c>
      <c r="S1970">
        <f>--($K1970=IF('الداشبورد'!$B$7="الكل",$K1970,IF('الداشبورد'!$B$7="تصدير","Y","N")))</f>
        <v/>
      </c>
      <c r="T1970">
        <f>--($J1970=IF('الداشبورد'!$B$8="الكل",$J1970,IF('الداشبورد'!$B$8="AL","A","C")))</f>
        <v/>
      </c>
      <c r="U1970">
        <f>--($I1970=IF('الداشبورد'!$B$9="الكل",$I1970,IF('الداشبورد'!$B$9="بدون حالة","P",'الداشبورد'!$B$9)))</f>
        <v/>
      </c>
      <c r="V1970">
        <f>--($D1970=IF('الداشبورد'!$B$10="الكل",$D1970,'الداشبورد'!$B$10))</f>
        <v/>
      </c>
      <c r="W1970">
        <f>--($G1970=IF('الداشبورد'!$B$11="الكل",$G1970,'الداشبورد'!$B$11))</f>
        <v/>
      </c>
      <c r="X1970">
        <f>Q1970*R1970*S1970*T1970*U1970*V1970*W1970*--($C1970&lt;&gt;"")</f>
        <v/>
      </c>
    </row>
    <row r="1971">
      <c r="Q1971">
        <f>--($A1971=IF('الداشبورد'!$B$5="الكل",$A1971,'الداشبورد'!$B$5))</f>
        <v/>
      </c>
      <c r="R1971">
        <f>--($E1971=IF('الداشبورد'!$B$6="الكل",$E1971,'الداشبورد'!$B$6))</f>
        <v/>
      </c>
      <c r="S1971">
        <f>--($K1971=IF('الداشبورد'!$B$7="الكل",$K1971,IF('الداشبورد'!$B$7="تصدير","Y","N")))</f>
        <v/>
      </c>
      <c r="T1971">
        <f>--($J1971=IF('الداشبورد'!$B$8="الكل",$J1971,IF('الداشبورد'!$B$8="AL","A","C")))</f>
        <v/>
      </c>
      <c r="U1971">
        <f>--($I1971=IF('الداشبورد'!$B$9="الكل",$I1971,IF('الداشبورد'!$B$9="بدون حالة","P",'الداشبورد'!$B$9)))</f>
        <v/>
      </c>
      <c r="V1971">
        <f>--($D1971=IF('الداشبورد'!$B$10="الكل",$D1971,'الداشبورد'!$B$10))</f>
        <v/>
      </c>
      <c r="W1971">
        <f>--($G1971=IF('الداشبورد'!$B$11="الكل",$G1971,'الداشبورد'!$B$11))</f>
        <v/>
      </c>
      <c r="X1971">
        <f>Q1971*R1971*S1971*T1971*U1971*V1971*W1971*--($C1971&lt;&gt;"")</f>
        <v/>
      </c>
    </row>
    <row r="1972">
      <c r="Q1972">
        <f>--($A1972=IF('الداشبورد'!$B$5="الكل",$A1972,'الداشبورد'!$B$5))</f>
        <v/>
      </c>
      <c r="R1972">
        <f>--($E1972=IF('الداشبورد'!$B$6="الكل",$E1972,'الداشبورد'!$B$6))</f>
        <v/>
      </c>
      <c r="S1972">
        <f>--($K1972=IF('الداشبورد'!$B$7="الكل",$K1972,IF('الداشبورد'!$B$7="تصدير","Y","N")))</f>
        <v/>
      </c>
      <c r="T1972">
        <f>--($J1972=IF('الداشبورد'!$B$8="الكل",$J1972,IF('الداشبورد'!$B$8="AL","A","C")))</f>
        <v/>
      </c>
      <c r="U1972">
        <f>--($I1972=IF('الداشبورد'!$B$9="الكل",$I1972,IF('الداشبورد'!$B$9="بدون حالة","P",'الداشبورد'!$B$9)))</f>
        <v/>
      </c>
      <c r="V1972">
        <f>--($D1972=IF('الداشبورد'!$B$10="الكل",$D1972,'الداشبورد'!$B$10))</f>
        <v/>
      </c>
      <c r="W1972">
        <f>--($G1972=IF('الداشبورد'!$B$11="الكل",$G1972,'الداشبورد'!$B$11))</f>
        <v/>
      </c>
      <c r="X1972">
        <f>Q1972*R1972*S1972*T1972*U1972*V1972*W1972*--($C1972&lt;&gt;"")</f>
        <v/>
      </c>
    </row>
    <row r="1973">
      <c r="Q1973">
        <f>--($A1973=IF('الداشبورد'!$B$5="الكل",$A1973,'الداشبورد'!$B$5))</f>
        <v/>
      </c>
      <c r="R1973">
        <f>--($E1973=IF('الداشبورد'!$B$6="الكل",$E1973,'الداشبورد'!$B$6))</f>
        <v/>
      </c>
      <c r="S1973">
        <f>--($K1973=IF('الداشبورد'!$B$7="الكل",$K1973,IF('الداشبورد'!$B$7="تصدير","Y","N")))</f>
        <v/>
      </c>
      <c r="T1973">
        <f>--($J1973=IF('الداشبورد'!$B$8="الكل",$J1973,IF('الداشبورد'!$B$8="AL","A","C")))</f>
        <v/>
      </c>
      <c r="U1973">
        <f>--($I1973=IF('الداشبورد'!$B$9="الكل",$I1973,IF('الداشبورد'!$B$9="بدون حالة","P",'الداشبورد'!$B$9)))</f>
        <v/>
      </c>
      <c r="V1973">
        <f>--($D1973=IF('الداشبورد'!$B$10="الكل",$D1973,'الداشبورد'!$B$10))</f>
        <v/>
      </c>
      <c r="W1973">
        <f>--($G1973=IF('الداشبورد'!$B$11="الكل",$G1973,'الداشبورد'!$B$11))</f>
        <v/>
      </c>
      <c r="X1973">
        <f>Q1973*R1973*S1973*T1973*U1973*V1973*W1973*--($C1973&lt;&gt;"")</f>
        <v/>
      </c>
    </row>
    <row r="1974">
      <c r="Q1974">
        <f>--($A1974=IF('الداشبورد'!$B$5="الكل",$A1974,'الداشبورد'!$B$5))</f>
        <v/>
      </c>
      <c r="R1974">
        <f>--($E1974=IF('الداشبورد'!$B$6="الكل",$E1974,'الداشبورد'!$B$6))</f>
        <v/>
      </c>
      <c r="S1974">
        <f>--($K1974=IF('الداشبورد'!$B$7="الكل",$K1974,IF('الداشبورد'!$B$7="تصدير","Y","N")))</f>
        <v/>
      </c>
      <c r="T1974">
        <f>--($J1974=IF('الداشبورد'!$B$8="الكل",$J1974,IF('الداشبورد'!$B$8="AL","A","C")))</f>
        <v/>
      </c>
      <c r="U1974">
        <f>--($I1974=IF('الداشبورد'!$B$9="الكل",$I1974,IF('الداشبورد'!$B$9="بدون حالة","P",'الداشبورد'!$B$9)))</f>
        <v/>
      </c>
      <c r="V1974">
        <f>--($D1974=IF('الداشبورد'!$B$10="الكل",$D1974,'الداشبورد'!$B$10))</f>
        <v/>
      </c>
      <c r="W1974">
        <f>--($G1974=IF('الداشبورد'!$B$11="الكل",$G1974,'الداشبورد'!$B$11))</f>
        <v/>
      </c>
      <c r="X1974">
        <f>Q1974*R1974*S1974*T1974*U1974*V1974*W1974*--($C1974&lt;&gt;"")</f>
        <v/>
      </c>
    </row>
    <row r="1975">
      <c r="Q1975">
        <f>--($A1975=IF('الداشبورد'!$B$5="الكل",$A1975,'الداشبورد'!$B$5))</f>
        <v/>
      </c>
      <c r="R1975">
        <f>--($E1975=IF('الداشبورد'!$B$6="الكل",$E1975,'الداشبورد'!$B$6))</f>
        <v/>
      </c>
      <c r="S1975">
        <f>--($K1975=IF('الداشبورد'!$B$7="الكل",$K1975,IF('الداشبورد'!$B$7="تصدير","Y","N")))</f>
        <v/>
      </c>
      <c r="T1975">
        <f>--($J1975=IF('الداشبورد'!$B$8="الكل",$J1975,IF('الداشبورد'!$B$8="AL","A","C")))</f>
        <v/>
      </c>
      <c r="U1975">
        <f>--($I1975=IF('الداشبورد'!$B$9="الكل",$I1975,IF('الداشبورد'!$B$9="بدون حالة","P",'الداشبورد'!$B$9)))</f>
        <v/>
      </c>
      <c r="V1975">
        <f>--($D1975=IF('الداشبورد'!$B$10="الكل",$D1975,'الداشبورد'!$B$10))</f>
        <v/>
      </c>
      <c r="W1975">
        <f>--($G1975=IF('الداشبورد'!$B$11="الكل",$G1975,'الداشبورد'!$B$11))</f>
        <v/>
      </c>
      <c r="X1975">
        <f>Q1975*R1975*S1975*T1975*U1975*V1975*W1975*--($C1975&lt;&gt;"")</f>
        <v/>
      </c>
    </row>
    <row r="1976">
      <c r="Q1976">
        <f>--($A1976=IF('الداشبورد'!$B$5="الكل",$A1976,'الداشبورد'!$B$5))</f>
        <v/>
      </c>
      <c r="R1976">
        <f>--($E1976=IF('الداشبورد'!$B$6="الكل",$E1976,'الداشبورد'!$B$6))</f>
        <v/>
      </c>
      <c r="S1976">
        <f>--($K1976=IF('الداشبورد'!$B$7="الكل",$K1976,IF('الداشبورد'!$B$7="تصدير","Y","N")))</f>
        <v/>
      </c>
      <c r="T1976">
        <f>--($J1976=IF('الداشبورد'!$B$8="الكل",$J1976,IF('الداشبورد'!$B$8="AL","A","C")))</f>
        <v/>
      </c>
      <c r="U1976">
        <f>--($I1976=IF('الداشبورد'!$B$9="الكل",$I1976,IF('الداشبورد'!$B$9="بدون حالة","P",'الداشبورد'!$B$9)))</f>
        <v/>
      </c>
      <c r="V1976">
        <f>--($D1976=IF('الداشبورد'!$B$10="الكل",$D1976,'الداشبورد'!$B$10))</f>
        <v/>
      </c>
      <c r="W1976">
        <f>--($G1976=IF('الداشبورد'!$B$11="الكل",$G1976,'الداشبورد'!$B$11))</f>
        <v/>
      </c>
      <c r="X1976">
        <f>Q1976*R1976*S1976*T1976*U1976*V1976*W1976*--($C1976&lt;&gt;"")</f>
        <v/>
      </c>
    </row>
    <row r="1977">
      <c r="Q1977">
        <f>--($A1977=IF('الداشبورد'!$B$5="الكل",$A1977,'الداشبورد'!$B$5))</f>
        <v/>
      </c>
      <c r="R1977">
        <f>--($E1977=IF('الداشبورد'!$B$6="الكل",$E1977,'الداشبورد'!$B$6))</f>
        <v/>
      </c>
      <c r="S1977">
        <f>--($K1977=IF('الداشبورد'!$B$7="الكل",$K1977,IF('الداشبورد'!$B$7="تصدير","Y","N")))</f>
        <v/>
      </c>
      <c r="T1977">
        <f>--($J1977=IF('الداشبورد'!$B$8="الكل",$J1977,IF('الداشبورد'!$B$8="AL","A","C")))</f>
        <v/>
      </c>
      <c r="U1977">
        <f>--($I1977=IF('الداشبورد'!$B$9="الكل",$I1977,IF('الداشبورد'!$B$9="بدون حالة","P",'الداشبورد'!$B$9)))</f>
        <v/>
      </c>
      <c r="V1977">
        <f>--($D1977=IF('الداشبورد'!$B$10="الكل",$D1977,'الداشبورد'!$B$10))</f>
        <v/>
      </c>
      <c r="W1977">
        <f>--($G1977=IF('الداشبورد'!$B$11="الكل",$G1977,'الداشبورد'!$B$11))</f>
        <v/>
      </c>
      <c r="X1977">
        <f>Q1977*R1977*S1977*T1977*U1977*V1977*W1977*--($C1977&lt;&gt;"")</f>
        <v/>
      </c>
    </row>
    <row r="1978">
      <c r="Q1978">
        <f>--($A1978=IF('الداشبورد'!$B$5="الكل",$A1978,'الداشبورد'!$B$5))</f>
        <v/>
      </c>
      <c r="R1978">
        <f>--($E1978=IF('الداشبورد'!$B$6="الكل",$E1978,'الداشبورد'!$B$6))</f>
        <v/>
      </c>
      <c r="S1978">
        <f>--($K1978=IF('الداشبورد'!$B$7="الكل",$K1978,IF('الداشبورد'!$B$7="تصدير","Y","N")))</f>
        <v/>
      </c>
      <c r="T1978">
        <f>--($J1978=IF('الداشبورد'!$B$8="الكل",$J1978,IF('الداشبورد'!$B$8="AL","A","C")))</f>
        <v/>
      </c>
      <c r="U1978">
        <f>--($I1978=IF('الداشبورد'!$B$9="الكل",$I1978,IF('الداشبورد'!$B$9="بدون حالة","P",'الداشبورد'!$B$9)))</f>
        <v/>
      </c>
      <c r="V1978">
        <f>--($D1978=IF('الداشبورد'!$B$10="الكل",$D1978,'الداشبورد'!$B$10))</f>
        <v/>
      </c>
      <c r="W1978">
        <f>--($G1978=IF('الداشبورد'!$B$11="الكل",$G1978,'الداشبورد'!$B$11))</f>
        <v/>
      </c>
      <c r="X1978">
        <f>Q1978*R1978*S1978*T1978*U1978*V1978*W1978*--($C1978&lt;&gt;"")</f>
        <v/>
      </c>
    </row>
    <row r="1979">
      <c r="Q1979">
        <f>--($A1979=IF('الداشبورد'!$B$5="الكل",$A1979,'الداشبورد'!$B$5))</f>
        <v/>
      </c>
      <c r="R1979">
        <f>--($E1979=IF('الداشبورد'!$B$6="الكل",$E1979,'الداشبورد'!$B$6))</f>
        <v/>
      </c>
      <c r="S1979">
        <f>--($K1979=IF('الداشبورد'!$B$7="الكل",$K1979,IF('الداشبورد'!$B$7="تصدير","Y","N")))</f>
        <v/>
      </c>
      <c r="T1979">
        <f>--($J1979=IF('الداشبورد'!$B$8="الكل",$J1979,IF('الداشبورد'!$B$8="AL","A","C")))</f>
        <v/>
      </c>
      <c r="U1979">
        <f>--($I1979=IF('الداشبورد'!$B$9="الكل",$I1979,IF('الداشبورد'!$B$9="بدون حالة","P",'الداشبورد'!$B$9)))</f>
        <v/>
      </c>
      <c r="V1979">
        <f>--($D1979=IF('الداشبورد'!$B$10="الكل",$D1979,'الداشبورد'!$B$10))</f>
        <v/>
      </c>
      <c r="W1979">
        <f>--($G1979=IF('الداشبورد'!$B$11="الكل",$G1979,'الداشبورد'!$B$11))</f>
        <v/>
      </c>
      <c r="X1979">
        <f>Q1979*R1979*S1979*T1979*U1979*V1979*W1979*--($C1979&lt;&gt;"")</f>
        <v/>
      </c>
    </row>
    <row r="1980">
      <c r="Q1980">
        <f>--($A1980=IF('الداشبورد'!$B$5="الكل",$A1980,'الداشبورد'!$B$5))</f>
        <v/>
      </c>
      <c r="R1980">
        <f>--($E1980=IF('الداشبورد'!$B$6="الكل",$E1980,'الداشبورد'!$B$6))</f>
        <v/>
      </c>
      <c r="S1980">
        <f>--($K1980=IF('الداشبورد'!$B$7="الكل",$K1980,IF('الداشبورد'!$B$7="تصدير","Y","N")))</f>
        <v/>
      </c>
      <c r="T1980">
        <f>--($J1980=IF('الداشبورد'!$B$8="الكل",$J1980,IF('الداشبورد'!$B$8="AL","A","C")))</f>
        <v/>
      </c>
      <c r="U1980">
        <f>--($I1980=IF('الداشبورد'!$B$9="الكل",$I1980,IF('الداشبورد'!$B$9="بدون حالة","P",'الداشبورد'!$B$9)))</f>
        <v/>
      </c>
      <c r="V1980">
        <f>--($D1980=IF('الداشبورد'!$B$10="الكل",$D1980,'الداشبورد'!$B$10))</f>
        <v/>
      </c>
      <c r="W1980">
        <f>--($G1980=IF('الداشبورد'!$B$11="الكل",$G1980,'الداشبورد'!$B$11))</f>
        <v/>
      </c>
      <c r="X1980">
        <f>Q1980*R1980*S1980*T1980*U1980*V1980*W1980*--($C1980&lt;&gt;"")</f>
        <v/>
      </c>
    </row>
    <row r="1981">
      <c r="Q1981">
        <f>--($A1981=IF('الداشبورد'!$B$5="الكل",$A1981,'الداشبورد'!$B$5))</f>
        <v/>
      </c>
      <c r="R1981">
        <f>--($E1981=IF('الداشبورد'!$B$6="الكل",$E1981,'الداشبورد'!$B$6))</f>
        <v/>
      </c>
      <c r="S1981">
        <f>--($K1981=IF('الداشبورد'!$B$7="الكل",$K1981,IF('الداشبورد'!$B$7="تصدير","Y","N")))</f>
        <v/>
      </c>
      <c r="T1981">
        <f>--($J1981=IF('الداشبورد'!$B$8="الكل",$J1981,IF('الداشبورد'!$B$8="AL","A","C")))</f>
        <v/>
      </c>
      <c r="U1981">
        <f>--($I1981=IF('الداشبورد'!$B$9="الكل",$I1981,IF('الداشبورد'!$B$9="بدون حالة","P",'الداشبورد'!$B$9)))</f>
        <v/>
      </c>
      <c r="V1981">
        <f>--($D1981=IF('الداشبورد'!$B$10="الكل",$D1981,'الداشبورد'!$B$10))</f>
        <v/>
      </c>
      <c r="W1981">
        <f>--($G1981=IF('الداشبورد'!$B$11="الكل",$G1981,'الداشبورد'!$B$11))</f>
        <v/>
      </c>
      <c r="X1981">
        <f>Q1981*R1981*S1981*T1981*U1981*V1981*W1981*--($C1981&lt;&gt;"")</f>
        <v/>
      </c>
    </row>
    <row r="1982">
      <c r="Q1982">
        <f>--($A1982=IF('الداشبورد'!$B$5="الكل",$A1982,'الداشبورد'!$B$5))</f>
        <v/>
      </c>
      <c r="R1982">
        <f>--($E1982=IF('الداشبورد'!$B$6="الكل",$E1982,'الداشبورد'!$B$6))</f>
        <v/>
      </c>
      <c r="S1982">
        <f>--($K1982=IF('الداشبورد'!$B$7="الكل",$K1982,IF('الداشبورد'!$B$7="تصدير","Y","N")))</f>
        <v/>
      </c>
      <c r="T1982">
        <f>--($J1982=IF('الداشبورد'!$B$8="الكل",$J1982,IF('الداشبورد'!$B$8="AL","A","C")))</f>
        <v/>
      </c>
      <c r="U1982">
        <f>--($I1982=IF('الداشبورد'!$B$9="الكل",$I1982,IF('الداشبورد'!$B$9="بدون حالة","P",'الداشبورد'!$B$9)))</f>
        <v/>
      </c>
      <c r="V1982">
        <f>--($D1982=IF('الداشبورد'!$B$10="الكل",$D1982,'الداشبورد'!$B$10))</f>
        <v/>
      </c>
      <c r="W1982">
        <f>--($G1982=IF('الداشبورد'!$B$11="الكل",$G1982,'الداشبورد'!$B$11))</f>
        <v/>
      </c>
      <c r="X1982">
        <f>Q1982*R1982*S1982*T1982*U1982*V1982*W1982*--($C1982&lt;&gt;"")</f>
        <v/>
      </c>
    </row>
    <row r="1983">
      <c r="Q1983">
        <f>--($A1983=IF('الداشبورد'!$B$5="الكل",$A1983,'الداشبورد'!$B$5))</f>
        <v/>
      </c>
      <c r="R1983">
        <f>--($E1983=IF('الداشبورد'!$B$6="الكل",$E1983,'الداشبورد'!$B$6))</f>
        <v/>
      </c>
      <c r="S1983">
        <f>--($K1983=IF('الداشبورد'!$B$7="الكل",$K1983,IF('الداشبورد'!$B$7="تصدير","Y","N")))</f>
        <v/>
      </c>
      <c r="T1983">
        <f>--($J1983=IF('الداشبورد'!$B$8="الكل",$J1983,IF('الداشبورد'!$B$8="AL","A","C")))</f>
        <v/>
      </c>
      <c r="U1983">
        <f>--($I1983=IF('الداشبورد'!$B$9="الكل",$I1983,IF('الداشبورد'!$B$9="بدون حالة","P",'الداشبورد'!$B$9)))</f>
        <v/>
      </c>
      <c r="V1983">
        <f>--($D1983=IF('الداشبورد'!$B$10="الكل",$D1983,'الداشبورد'!$B$10))</f>
        <v/>
      </c>
      <c r="W1983">
        <f>--($G1983=IF('الداشبورد'!$B$11="الكل",$G1983,'الداشبورد'!$B$11))</f>
        <v/>
      </c>
      <c r="X1983">
        <f>Q1983*R1983*S1983*T1983*U1983*V1983*W1983*--($C1983&lt;&gt;"")</f>
        <v/>
      </c>
    </row>
    <row r="1984">
      <c r="Q1984">
        <f>--($A1984=IF('الداشبورد'!$B$5="الكل",$A1984,'الداشبورد'!$B$5))</f>
        <v/>
      </c>
      <c r="R1984">
        <f>--($E1984=IF('الداشبورد'!$B$6="الكل",$E1984,'الداشبورد'!$B$6))</f>
        <v/>
      </c>
      <c r="S1984">
        <f>--($K1984=IF('الداشبورد'!$B$7="الكل",$K1984,IF('الداشبورد'!$B$7="تصدير","Y","N")))</f>
        <v/>
      </c>
      <c r="T1984">
        <f>--($J1984=IF('الداشبورد'!$B$8="الكل",$J1984,IF('الداشبورد'!$B$8="AL","A","C")))</f>
        <v/>
      </c>
      <c r="U1984">
        <f>--($I1984=IF('الداشبورد'!$B$9="الكل",$I1984,IF('الداشبورد'!$B$9="بدون حالة","P",'الداشبورد'!$B$9)))</f>
        <v/>
      </c>
      <c r="V1984">
        <f>--($D1984=IF('الداشبورد'!$B$10="الكل",$D1984,'الداشبورد'!$B$10))</f>
        <v/>
      </c>
      <c r="W1984">
        <f>--($G1984=IF('الداشبورد'!$B$11="الكل",$G1984,'الداشبورد'!$B$11))</f>
        <v/>
      </c>
      <c r="X1984">
        <f>Q1984*R1984*S1984*T1984*U1984*V1984*W1984*--($C1984&lt;&gt;"")</f>
        <v/>
      </c>
    </row>
    <row r="1985">
      <c r="Q1985">
        <f>--($A1985=IF('الداشبورد'!$B$5="الكل",$A1985,'الداشبورد'!$B$5))</f>
        <v/>
      </c>
      <c r="R1985">
        <f>--($E1985=IF('الداشبورد'!$B$6="الكل",$E1985,'الداشبورد'!$B$6))</f>
        <v/>
      </c>
      <c r="S1985">
        <f>--($K1985=IF('الداشبورد'!$B$7="الكل",$K1985,IF('الداشبورد'!$B$7="تصدير","Y","N")))</f>
        <v/>
      </c>
      <c r="T1985">
        <f>--($J1985=IF('الداشبورد'!$B$8="الكل",$J1985,IF('الداشبورد'!$B$8="AL","A","C")))</f>
        <v/>
      </c>
      <c r="U1985">
        <f>--($I1985=IF('الداشبورد'!$B$9="الكل",$I1985,IF('الداشبورد'!$B$9="بدون حالة","P",'الداشبورد'!$B$9)))</f>
        <v/>
      </c>
      <c r="V1985">
        <f>--($D1985=IF('الداشبورد'!$B$10="الكل",$D1985,'الداشبورد'!$B$10))</f>
        <v/>
      </c>
      <c r="W1985">
        <f>--($G1985=IF('الداشبورد'!$B$11="الكل",$G1985,'الداشبورد'!$B$11))</f>
        <v/>
      </c>
      <c r="X1985">
        <f>Q1985*R1985*S1985*T1985*U1985*V1985*W1985*--($C1985&lt;&gt;"")</f>
        <v/>
      </c>
    </row>
    <row r="1986">
      <c r="Q1986">
        <f>--($A1986=IF('الداشبورد'!$B$5="الكل",$A1986,'الداشبورد'!$B$5))</f>
        <v/>
      </c>
      <c r="R1986">
        <f>--($E1986=IF('الداشبورد'!$B$6="الكل",$E1986,'الداشبورد'!$B$6))</f>
        <v/>
      </c>
      <c r="S1986">
        <f>--($K1986=IF('الداشبورد'!$B$7="الكل",$K1986,IF('الداشبورد'!$B$7="تصدير","Y","N")))</f>
        <v/>
      </c>
      <c r="T1986">
        <f>--($J1986=IF('الداشبورد'!$B$8="الكل",$J1986,IF('الداشبورد'!$B$8="AL","A","C")))</f>
        <v/>
      </c>
      <c r="U1986">
        <f>--($I1986=IF('الداشبورد'!$B$9="الكل",$I1986,IF('الداشبورد'!$B$9="بدون حالة","P",'الداشبورد'!$B$9)))</f>
        <v/>
      </c>
      <c r="V1986">
        <f>--($D1986=IF('الداشبورد'!$B$10="الكل",$D1986,'الداشبورد'!$B$10))</f>
        <v/>
      </c>
      <c r="W1986">
        <f>--($G1986=IF('الداشبورد'!$B$11="الكل",$G1986,'الداشبورد'!$B$11))</f>
        <v/>
      </c>
      <c r="X1986">
        <f>Q1986*R1986*S1986*T1986*U1986*V1986*W1986*--($C1986&lt;&gt;"")</f>
        <v/>
      </c>
    </row>
    <row r="1987">
      <c r="Q1987">
        <f>--($A1987=IF('الداشبورد'!$B$5="الكل",$A1987,'الداشبورد'!$B$5))</f>
        <v/>
      </c>
      <c r="R1987">
        <f>--($E1987=IF('الداشبورد'!$B$6="الكل",$E1987,'الداشبورد'!$B$6))</f>
        <v/>
      </c>
      <c r="S1987">
        <f>--($K1987=IF('الداشبورد'!$B$7="الكل",$K1987,IF('الداشبورد'!$B$7="تصدير","Y","N")))</f>
        <v/>
      </c>
      <c r="T1987">
        <f>--($J1987=IF('الداشبورد'!$B$8="الكل",$J1987,IF('الداشبورد'!$B$8="AL","A","C")))</f>
        <v/>
      </c>
      <c r="U1987">
        <f>--($I1987=IF('الداشبورد'!$B$9="الكل",$I1987,IF('الداشبورد'!$B$9="بدون حالة","P",'الداشبورد'!$B$9)))</f>
        <v/>
      </c>
      <c r="V1987">
        <f>--($D1987=IF('الداشبورد'!$B$10="الكل",$D1987,'الداشبورد'!$B$10))</f>
        <v/>
      </c>
      <c r="W1987">
        <f>--($G1987=IF('الداشبورد'!$B$11="الكل",$G1987,'الداشبورد'!$B$11))</f>
        <v/>
      </c>
      <c r="X1987">
        <f>Q1987*R1987*S1987*T1987*U1987*V1987*W1987*--($C1987&lt;&gt;"")</f>
        <v/>
      </c>
    </row>
    <row r="1988">
      <c r="Q1988">
        <f>--($A1988=IF('الداشبورد'!$B$5="الكل",$A1988,'الداشبورد'!$B$5))</f>
        <v/>
      </c>
      <c r="R1988">
        <f>--($E1988=IF('الداشبورد'!$B$6="الكل",$E1988,'الداشبورد'!$B$6))</f>
        <v/>
      </c>
      <c r="S1988">
        <f>--($K1988=IF('الداشبورد'!$B$7="الكل",$K1988,IF('الداشبورد'!$B$7="تصدير","Y","N")))</f>
        <v/>
      </c>
      <c r="T1988">
        <f>--($J1988=IF('الداشبورد'!$B$8="الكل",$J1988,IF('الداشبورد'!$B$8="AL","A","C")))</f>
        <v/>
      </c>
      <c r="U1988">
        <f>--($I1988=IF('الداشبورد'!$B$9="الكل",$I1988,IF('الداشبورد'!$B$9="بدون حالة","P",'الداشبورد'!$B$9)))</f>
        <v/>
      </c>
      <c r="V1988">
        <f>--($D1988=IF('الداشبورد'!$B$10="الكل",$D1988,'الداشبورد'!$B$10))</f>
        <v/>
      </c>
      <c r="W1988">
        <f>--($G1988=IF('الداشبورد'!$B$11="الكل",$G1988,'الداشبورد'!$B$11))</f>
        <v/>
      </c>
      <c r="X1988">
        <f>Q1988*R1988*S1988*T1988*U1988*V1988*W1988*--($C1988&lt;&gt;"")</f>
        <v/>
      </c>
    </row>
    <row r="1989">
      <c r="Q1989">
        <f>--($A1989=IF('الداشبورد'!$B$5="الكل",$A1989,'الداشبورد'!$B$5))</f>
        <v/>
      </c>
      <c r="R1989">
        <f>--($E1989=IF('الداشبورد'!$B$6="الكل",$E1989,'الداشبورد'!$B$6))</f>
        <v/>
      </c>
      <c r="S1989">
        <f>--($K1989=IF('الداشبورد'!$B$7="الكل",$K1989,IF('الداشبورد'!$B$7="تصدير","Y","N")))</f>
        <v/>
      </c>
      <c r="T1989">
        <f>--($J1989=IF('الداشبورد'!$B$8="الكل",$J1989,IF('الداشبورد'!$B$8="AL","A","C")))</f>
        <v/>
      </c>
      <c r="U1989">
        <f>--($I1989=IF('الداشبورد'!$B$9="الكل",$I1989,IF('الداشبورد'!$B$9="بدون حالة","P",'الداشبورد'!$B$9)))</f>
        <v/>
      </c>
      <c r="V1989">
        <f>--($D1989=IF('الداشبورد'!$B$10="الكل",$D1989,'الداشبورد'!$B$10))</f>
        <v/>
      </c>
      <c r="W1989">
        <f>--($G1989=IF('الداشبورد'!$B$11="الكل",$G1989,'الداشبورد'!$B$11))</f>
        <v/>
      </c>
      <c r="X1989">
        <f>Q1989*R1989*S1989*T1989*U1989*V1989*W1989*--($C1989&lt;&gt;"")</f>
        <v/>
      </c>
    </row>
    <row r="1990">
      <c r="Q1990">
        <f>--($A1990=IF('الداشبورد'!$B$5="الكل",$A1990,'الداشبورد'!$B$5))</f>
        <v/>
      </c>
      <c r="R1990">
        <f>--($E1990=IF('الداشبورد'!$B$6="الكل",$E1990,'الداشبورد'!$B$6))</f>
        <v/>
      </c>
      <c r="S1990">
        <f>--($K1990=IF('الداشبورد'!$B$7="الكل",$K1990,IF('الداشبورد'!$B$7="تصدير","Y","N")))</f>
        <v/>
      </c>
      <c r="T1990">
        <f>--($J1990=IF('الداشبورد'!$B$8="الكل",$J1990,IF('الداشبورد'!$B$8="AL","A","C")))</f>
        <v/>
      </c>
      <c r="U1990">
        <f>--($I1990=IF('الداشبورد'!$B$9="الكل",$I1990,IF('الداشبورد'!$B$9="بدون حالة","P",'الداشبورد'!$B$9)))</f>
        <v/>
      </c>
      <c r="V1990">
        <f>--($D1990=IF('الداشبورد'!$B$10="الكل",$D1990,'الداشبورد'!$B$10))</f>
        <v/>
      </c>
      <c r="W1990">
        <f>--($G1990=IF('الداشبورد'!$B$11="الكل",$G1990,'الداشبورد'!$B$11))</f>
        <v/>
      </c>
      <c r="X1990">
        <f>Q1990*R1990*S1990*T1990*U1990*V1990*W1990*--($C1990&lt;&gt;"")</f>
        <v/>
      </c>
    </row>
    <row r="1991">
      <c r="Q1991">
        <f>--($A1991=IF('الداشبورد'!$B$5="الكل",$A1991,'الداشبورد'!$B$5))</f>
        <v/>
      </c>
      <c r="R1991">
        <f>--($E1991=IF('الداشبورد'!$B$6="الكل",$E1991,'الداشبورد'!$B$6))</f>
        <v/>
      </c>
      <c r="S1991">
        <f>--($K1991=IF('الداشبورد'!$B$7="الكل",$K1991,IF('الداشبورد'!$B$7="تصدير","Y","N")))</f>
        <v/>
      </c>
      <c r="T1991">
        <f>--($J1991=IF('الداشبورد'!$B$8="الكل",$J1991,IF('الداشبورد'!$B$8="AL","A","C")))</f>
        <v/>
      </c>
      <c r="U1991">
        <f>--($I1991=IF('الداشبورد'!$B$9="الكل",$I1991,IF('الداشبورد'!$B$9="بدون حالة","P",'الداشبورد'!$B$9)))</f>
        <v/>
      </c>
      <c r="V1991">
        <f>--($D1991=IF('الداشبورد'!$B$10="الكل",$D1991,'الداشبورد'!$B$10))</f>
        <v/>
      </c>
      <c r="W1991">
        <f>--($G1991=IF('الداشبورد'!$B$11="الكل",$G1991,'الداشبورد'!$B$11))</f>
        <v/>
      </c>
      <c r="X1991">
        <f>Q1991*R1991*S1991*T1991*U1991*V1991*W1991*--($C1991&lt;&gt;"")</f>
        <v/>
      </c>
    </row>
    <row r="1992">
      <c r="Q1992">
        <f>--($A1992=IF('الداشبورد'!$B$5="الكل",$A1992,'الداشبورد'!$B$5))</f>
        <v/>
      </c>
      <c r="R1992">
        <f>--($E1992=IF('الداشبورد'!$B$6="الكل",$E1992,'الداشبورد'!$B$6))</f>
        <v/>
      </c>
      <c r="S1992">
        <f>--($K1992=IF('الداشبورد'!$B$7="الكل",$K1992,IF('الداشبورد'!$B$7="تصدير","Y","N")))</f>
        <v/>
      </c>
      <c r="T1992">
        <f>--($J1992=IF('الداشبورد'!$B$8="الكل",$J1992,IF('الداشبورد'!$B$8="AL","A","C")))</f>
        <v/>
      </c>
      <c r="U1992">
        <f>--($I1992=IF('الداشبورد'!$B$9="الكل",$I1992,IF('الداشبورد'!$B$9="بدون حالة","P",'الداشبورد'!$B$9)))</f>
        <v/>
      </c>
      <c r="V1992">
        <f>--($D1992=IF('الداشبورد'!$B$10="الكل",$D1992,'الداشبورد'!$B$10))</f>
        <v/>
      </c>
      <c r="W1992">
        <f>--($G1992=IF('الداشبورد'!$B$11="الكل",$G1992,'الداشبورد'!$B$11))</f>
        <v/>
      </c>
      <c r="X1992">
        <f>Q1992*R1992*S1992*T1992*U1992*V1992*W1992*--($C1992&lt;&gt;"")</f>
        <v/>
      </c>
    </row>
    <row r="1993">
      <c r="Q1993">
        <f>--($A1993=IF('الداشبورد'!$B$5="الكل",$A1993,'الداشبورد'!$B$5))</f>
        <v/>
      </c>
      <c r="R1993">
        <f>--($E1993=IF('الداشبورد'!$B$6="الكل",$E1993,'الداشبورد'!$B$6))</f>
        <v/>
      </c>
      <c r="S1993">
        <f>--($K1993=IF('الداشبورد'!$B$7="الكل",$K1993,IF('الداشبورد'!$B$7="تصدير","Y","N")))</f>
        <v/>
      </c>
      <c r="T1993">
        <f>--($J1993=IF('الداشبورد'!$B$8="الكل",$J1993,IF('الداشبورد'!$B$8="AL","A","C")))</f>
        <v/>
      </c>
      <c r="U1993">
        <f>--($I1993=IF('الداشبورد'!$B$9="الكل",$I1993,IF('الداشبورد'!$B$9="بدون حالة","P",'الداشبورد'!$B$9)))</f>
        <v/>
      </c>
      <c r="V1993">
        <f>--($D1993=IF('الداشبورد'!$B$10="الكل",$D1993,'الداشبورد'!$B$10))</f>
        <v/>
      </c>
      <c r="W1993">
        <f>--($G1993=IF('الداشبورد'!$B$11="الكل",$G1993,'الداشبورد'!$B$11))</f>
        <v/>
      </c>
      <c r="X1993">
        <f>Q1993*R1993*S1993*T1993*U1993*V1993*W1993*--($C1993&lt;&gt;"")</f>
        <v/>
      </c>
    </row>
    <row r="1994">
      <c r="Q1994">
        <f>--($A1994=IF('الداشبورد'!$B$5="الكل",$A1994,'الداشبورد'!$B$5))</f>
        <v/>
      </c>
      <c r="R1994">
        <f>--($E1994=IF('الداشبورد'!$B$6="الكل",$E1994,'الداشبورد'!$B$6))</f>
        <v/>
      </c>
      <c r="S1994">
        <f>--($K1994=IF('الداشبورد'!$B$7="الكل",$K1994,IF('الداشبورد'!$B$7="تصدير","Y","N")))</f>
        <v/>
      </c>
      <c r="T1994">
        <f>--($J1994=IF('الداشبورد'!$B$8="الكل",$J1994,IF('الداشبورد'!$B$8="AL","A","C")))</f>
        <v/>
      </c>
      <c r="U1994">
        <f>--($I1994=IF('الداشبورد'!$B$9="الكل",$I1994,IF('الداشبورد'!$B$9="بدون حالة","P",'الداشبورد'!$B$9)))</f>
        <v/>
      </c>
      <c r="V1994">
        <f>--($D1994=IF('الداشبورد'!$B$10="الكل",$D1994,'الداشبورد'!$B$10))</f>
        <v/>
      </c>
      <c r="W1994">
        <f>--($G1994=IF('الداشبورد'!$B$11="الكل",$G1994,'الداشبورد'!$B$11))</f>
        <v/>
      </c>
      <c r="X1994">
        <f>Q1994*R1994*S1994*T1994*U1994*V1994*W1994*--($C1994&lt;&gt;"")</f>
        <v/>
      </c>
    </row>
    <row r="1995">
      <c r="Q1995">
        <f>--($A1995=IF('الداشبورد'!$B$5="الكل",$A1995,'الداشبورد'!$B$5))</f>
        <v/>
      </c>
      <c r="R1995">
        <f>--($E1995=IF('الداشبورد'!$B$6="الكل",$E1995,'الداشبورد'!$B$6))</f>
        <v/>
      </c>
      <c r="S1995">
        <f>--($K1995=IF('الداشبورد'!$B$7="الكل",$K1995,IF('الداشبورد'!$B$7="تصدير","Y","N")))</f>
        <v/>
      </c>
      <c r="T1995">
        <f>--($J1995=IF('الداشبورد'!$B$8="الكل",$J1995,IF('الداشبورد'!$B$8="AL","A","C")))</f>
        <v/>
      </c>
      <c r="U1995">
        <f>--($I1995=IF('الداشبورد'!$B$9="الكل",$I1995,IF('الداشبورد'!$B$9="بدون حالة","P",'الداشبورد'!$B$9)))</f>
        <v/>
      </c>
      <c r="V1995">
        <f>--($D1995=IF('الداشبورد'!$B$10="الكل",$D1995,'الداشبورد'!$B$10))</f>
        <v/>
      </c>
      <c r="W1995">
        <f>--($G1995=IF('الداشبورد'!$B$11="الكل",$G1995,'الداشبورد'!$B$11))</f>
        <v/>
      </c>
      <c r="X1995">
        <f>Q1995*R1995*S1995*T1995*U1995*V1995*W1995*--($C1995&lt;&gt;"")</f>
        <v/>
      </c>
    </row>
    <row r="1996">
      <c r="Q1996">
        <f>--($A1996=IF('الداشبورد'!$B$5="الكل",$A1996,'الداشبورد'!$B$5))</f>
        <v/>
      </c>
      <c r="R1996">
        <f>--($E1996=IF('الداشبورد'!$B$6="الكل",$E1996,'الداشبورد'!$B$6))</f>
        <v/>
      </c>
      <c r="S1996">
        <f>--($K1996=IF('الداشبورد'!$B$7="الكل",$K1996,IF('الداشبورد'!$B$7="تصدير","Y","N")))</f>
        <v/>
      </c>
      <c r="T1996">
        <f>--($J1996=IF('الداشبورد'!$B$8="الكل",$J1996,IF('الداشبورد'!$B$8="AL","A","C")))</f>
        <v/>
      </c>
      <c r="U1996">
        <f>--($I1996=IF('الداشبورد'!$B$9="الكل",$I1996,IF('الداشبورد'!$B$9="بدون حالة","P",'الداشبورد'!$B$9)))</f>
        <v/>
      </c>
      <c r="V1996">
        <f>--($D1996=IF('الداشبورد'!$B$10="الكل",$D1996,'الداشبورد'!$B$10))</f>
        <v/>
      </c>
      <c r="W1996">
        <f>--($G1996=IF('الداشبورد'!$B$11="الكل",$G1996,'الداشبورد'!$B$11))</f>
        <v/>
      </c>
      <c r="X1996">
        <f>Q1996*R1996*S1996*T1996*U1996*V1996*W1996*--($C1996&lt;&gt;"")</f>
        <v/>
      </c>
    </row>
    <row r="1997">
      <c r="Q1997">
        <f>--($A1997=IF('الداشبورد'!$B$5="الكل",$A1997,'الداشبورد'!$B$5))</f>
        <v/>
      </c>
      <c r="R1997">
        <f>--($E1997=IF('الداشبورد'!$B$6="الكل",$E1997,'الداشبورد'!$B$6))</f>
        <v/>
      </c>
      <c r="S1997">
        <f>--($K1997=IF('الداشبورد'!$B$7="الكل",$K1997,IF('الداشبورد'!$B$7="تصدير","Y","N")))</f>
        <v/>
      </c>
      <c r="T1997">
        <f>--($J1997=IF('الداشبورد'!$B$8="الكل",$J1997,IF('الداشبورد'!$B$8="AL","A","C")))</f>
        <v/>
      </c>
      <c r="U1997">
        <f>--($I1997=IF('الداشبورد'!$B$9="الكل",$I1997,IF('الداشبورد'!$B$9="بدون حالة","P",'الداشبورد'!$B$9)))</f>
        <v/>
      </c>
      <c r="V1997">
        <f>--($D1997=IF('الداشبورد'!$B$10="الكل",$D1997,'الداشبورد'!$B$10))</f>
        <v/>
      </c>
      <c r="W1997">
        <f>--($G1997=IF('الداشبورد'!$B$11="الكل",$G1997,'الداشبورد'!$B$11))</f>
        <v/>
      </c>
      <c r="X1997">
        <f>Q1997*R1997*S1997*T1997*U1997*V1997*W1997*--($C1997&lt;&gt;"")</f>
        <v/>
      </c>
    </row>
    <row r="1998">
      <c r="Q1998">
        <f>--($A1998=IF('الداشبورد'!$B$5="الكل",$A1998,'الداشبورد'!$B$5))</f>
        <v/>
      </c>
      <c r="R1998">
        <f>--($E1998=IF('الداشبورد'!$B$6="الكل",$E1998,'الداشبورد'!$B$6))</f>
        <v/>
      </c>
      <c r="S1998">
        <f>--($K1998=IF('الداشبورد'!$B$7="الكل",$K1998,IF('الداشبورد'!$B$7="تصدير","Y","N")))</f>
        <v/>
      </c>
      <c r="T1998">
        <f>--($J1998=IF('الداشبورد'!$B$8="الكل",$J1998,IF('الداشبورد'!$B$8="AL","A","C")))</f>
        <v/>
      </c>
      <c r="U1998">
        <f>--($I1998=IF('الداشبورد'!$B$9="الكل",$I1998,IF('الداشبورد'!$B$9="بدون حالة","P",'الداشبورد'!$B$9)))</f>
        <v/>
      </c>
      <c r="V1998">
        <f>--($D1998=IF('الداشبورد'!$B$10="الكل",$D1998,'الداشبورد'!$B$10))</f>
        <v/>
      </c>
      <c r="W1998">
        <f>--($G1998=IF('الداشبورد'!$B$11="الكل",$G1998,'الداشبورد'!$B$11))</f>
        <v/>
      </c>
      <c r="X1998">
        <f>Q1998*R1998*S1998*T1998*U1998*V1998*W1998*--($C1998&lt;&gt;"")</f>
        <v/>
      </c>
    </row>
    <row r="1999">
      <c r="Q1999">
        <f>--($A1999=IF('الداشبورد'!$B$5="الكل",$A1999,'الداشبورد'!$B$5))</f>
        <v/>
      </c>
      <c r="R1999">
        <f>--($E1999=IF('الداشبورد'!$B$6="الكل",$E1999,'الداشبورد'!$B$6))</f>
        <v/>
      </c>
      <c r="S1999">
        <f>--($K1999=IF('الداشبورد'!$B$7="الكل",$K1999,IF('الداشبورد'!$B$7="تصدير","Y","N")))</f>
        <v/>
      </c>
      <c r="T1999">
        <f>--($J1999=IF('الداشبورد'!$B$8="الكل",$J1999,IF('الداشبورد'!$B$8="AL","A","C")))</f>
        <v/>
      </c>
      <c r="U1999">
        <f>--($I1999=IF('الداشبورد'!$B$9="الكل",$I1999,IF('الداشبورد'!$B$9="بدون حالة","P",'الداشبورد'!$B$9)))</f>
        <v/>
      </c>
      <c r="V1999">
        <f>--($D1999=IF('الداشبورد'!$B$10="الكل",$D1999,'الداشبورد'!$B$10))</f>
        <v/>
      </c>
      <c r="W1999">
        <f>--($G1999=IF('الداشبورد'!$B$11="الكل",$G1999,'الداشبورد'!$B$11))</f>
        <v/>
      </c>
      <c r="X1999">
        <f>Q1999*R1999*S1999*T1999*U1999*V1999*W1999*--($C1999&lt;&gt;"")</f>
        <v/>
      </c>
    </row>
    <row r="2000">
      <c r="Q2000">
        <f>--($A2000=IF('الداشبورد'!$B$5="الكل",$A2000,'الداشبورد'!$B$5))</f>
        <v/>
      </c>
      <c r="R2000">
        <f>--($E2000=IF('الداشبورد'!$B$6="الكل",$E2000,'الداشبورد'!$B$6))</f>
        <v/>
      </c>
      <c r="S2000">
        <f>--($K2000=IF('الداشبورد'!$B$7="الكل",$K2000,IF('الداشبورد'!$B$7="تصدير","Y","N")))</f>
        <v/>
      </c>
      <c r="T2000">
        <f>--($J2000=IF('الداشبورد'!$B$8="الكل",$J2000,IF('الداشبورد'!$B$8="AL","A","C")))</f>
        <v/>
      </c>
      <c r="U2000">
        <f>--($I2000=IF('الداشبورد'!$B$9="الكل",$I2000,IF('الداشبورد'!$B$9="بدون حالة","P",'الداشبورد'!$B$9)))</f>
        <v/>
      </c>
      <c r="V2000">
        <f>--($D2000=IF('الداشبورد'!$B$10="الكل",$D2000,'الداشبورد'!$B$10))</f>
        <v/>
      </c>
      <c r="W2000">
        <f>--($G2000=IF('الداشبورد'!$B$11="الكل",$G2000,'الداشبورد'!$B$11))</f>
        <v/>
      </c>
      <c r="X2000">
        <f>Q2000*R2000*S2000*T2000*U2000*V2000*W2000*--($C2000&lt;&gt;"")</f>
        <v/>
      </c>
    </row>
    <row r="2001">
      <c r="Q2001">
        <f>--($A2001=IF('الداشبورد'!$B$5="الكل",$A2001,'الداشبورد'!$B$5))</f>
        <v/>
      </c>
      <c r="R2001">
        <f>--($E2001=IF('الداشبورد'!$B$6="الكل",$E2001,'الداشبورد'!$B$6))</f>
        <v/>
      </c>
      <c r="S2001">
        <f>--($K2001=IF('الداشبورد'!$B$7="الكل",$K2001,IF('الداشبورد'!$B$7="تصدير","Y","N")))</f>
        <v/>
      </c>
      <c r="T2001">
        <f>--($J2001=IF('الداشبورد'!$B$8="الكل",$J2001,IF('الداشبورد'!$B$8="AL","A","C")))</f>
        <v/>
      </c>
      <c r="U2001">
        <f>--($I2001=IF('الداشبورد'!$B$9="الكل",$I2001,IF('الداشبورد'!$B$9="بدون حالة","P",'الداشبورد'!$B$9)))</f>
        <v/>
      </c>
      <c r="V2001">
        <f>--($D2001=IF('الداشبورد'!$B$10="الكل",$D2001,'الداشبورد'!$B$10))</f>
        <v/>
      </c>
      <c r="W2001">
        <f>--($G2001=IF('الداشبورد'!$B$11="الكل",$G2001,'الداشبورد'!$B$11))</f>
        <v/>
      </c>
      <c r="X2001">
        <f>Q2001*R2001*S2001*T2001*U2001*V2001*W2001*--($C2001&lt;&gt;"")</f>
        <v/>
      </c>
    </row>
  </sheetData>
  <autoFilter ref="A1:P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2"/>
  <sheetViews>
    <sheetView rightToLeft="1" workbookViewId="0">
      <selection activeCell="A1" sqref="A1"/>
    </sheetView>
  </sheetViews>
  <sheetFormatPr baseColWidth="8" defaultRowHeight="15"/>
  <sheetData>
    <row r="1">
      <c r="A1" s="17" t="inlineStr">
        <is>
          <t>اليوم</t>
        </is>
      </c>
      <c r="B1" s="17" t="inlineStr">
        <is>
          <t>إجمالي اليوم</t>
        </is>
      </c>
      <c r="C1" s="17" t="inlineStr">
        <is>
          <t>Power</t>
        </is>
      </c>
      <c r="D1" s="17" t="inlineStr">
        <is>
          <t>Telecom</t>
        </is>
      </c>
      <c r="E1" s="17" t="inlineStr">
        <is>
          <t>تراكمي فعلي</t>
        </is>
      </c>
      <c r="F1" s="17" t="inlineStr">
        <is>
          <t>تراكمي الخطة</t>
        </is>
      </c>
      <c r="H1" s="17" t="inlineStr">
        <is>
          <t>العائلة</t>
        </is>
      </c>
      <c r="I1" s="17" t="inlineStr">
        <is>
          <t>طن</t>
        </is>
      </c>
      <c r="L1" s="17" t="inlineStr">
        <is>
          <t>المادة</t>
        </is>
      </c>
      <c r="M1" s="17" t="inlineStr">
        <is>
          <t>طن</t>
        </is>
      </c>
      <c r="P1" s="17" t="inlineStr">
        <is>
          <t>السوق</t>
        </is>
      </c>
      <c r="Q1" s="17" t="inlineStr">
        <is>
          <t>طن</t>
        </is>
      </c>
      <c r="T1" s="17" t="inlineStr">
        <is>
          <t>حالة QC</t>
        </is>
      </c>
      <c r="U1" s="17" t="inlineStr">
        <is>
          <t>طرود</t>
        </is>
      </c>
      <c r="X1" s="17" t="inlineStr">
        <is>
          <t>العميل</t>
        </is>
      </c>
      <c r="Y1" s="17" t="inlineStr">
        <is>
          <t>طن</t>
        </is>
      </c>
      <c r="AB1" s="17" t="inlineStr">
        <is>
          <t>الماكينة</t>
        </is>
      </c>
      <c r="AC1" s="17" t="inlineStr">
        <is>
          <t>طن</t>
        </is>
      </c>
    </row>
    <row r="2">
      <c r="A2" t="n">
        <v>1</v>
      </c>
      <c r="B2">
        <f>SUMPRODUCT('البيانات'!$X$2:$X$2001,--('البيانات'!$A$2:$A$2001=$A2),'البيانات'!$P$2:$P$2001)</f>
        <v/>
      </c>
      <c r="C2">
        <f>SUMPRODUCT('البيانات'!$X$2:$X$2001,--('البيانات'!$A$2:$A$2001=$A2),--((('البيانات'!$E$2:$E$2001="LV")+('البيانات'!$E$2:$E$2001="MV")+('البيانات'!$E$2:$E$2001="HV")+('البيانات'!$E$2:$E$2001="OH"))&gt;0),'البيانات'!$P$2:$P$2001)</f>
        <v/>
      </c>
      <c r="D2">
        <f>$B2-$C2</f>
        <v/>
      </c>
      <c r="E2">
        <f>SUM($B$2:$B2)</f>
        <v/>
      </c>
      <c r="F2">
        <f>IF('الخطة'!$B$1&gt;0,'الخطة'!$B$1/'الخطة'!$B$4*$A2,0)</f>
        <v/>
      </c>
      <c r="H2" t="inlineStr">
        <is>
          <t>MV</t>
        </is>
      </c>
      <c r="I2">
        <f>SUMPRODUCT('البيانات'!$X$2:$X$2001,--('البيانات'!$E$2:$E$2001=$H2),'البيانات'!$P$2:$P$2001)</f>
        <v/>
      </c>
      <c r="L2" t="inlineStr">
        <is>
          <t>AL ألومنيوم</t>
        </is>
      </c>
      <c r="M2">
        <f>SUMPRODUCT('البيانات'!$X$2:$X$2001,--('البيانات'!$J$2:$J$2001="A"),'البيانات'!$M$2:$M$2001)</f>
        <v/>
      </c>
      <c r="P2" t="inlineStr">
        <is>
          <t>تصدير</t>
        </is>
      </c>
      <c r="Q2">
        <f>SUMPRODUCT('البيانات'!$X$2:$X$2001,--('البيانات'!$K$2:$K$2001="Y"),'البيانات'!$P$2:$P$2001)</f>
        <v/>
      </c>
      <c r="T2" t="inlineStr">
        <is>
          <t>OK</t>
        </is>
      </c>
      <c r="U2">
        <f>SUMPRODUCT('البيانات'!$X$2:$X$2001,--('البيانات'!$I$2:$I$2001="OK"))</f>
        <v/>
      </c>
      <c r="X2" t="inlineStr">
        <is>
          <t>الشركة العربية للصناعة والتجارة الدولية</t>
        </is>
      </c>
      <c r="Y2">
        <f>SUMPRODUCT('البيانات'!$X$2:$X$2001,--('البيانات'!$D$2:$D$2001=$X2),'البيانات'!$P$2:$P$2001)</f>
        <v/>
      </c>
      <c r="AB2" t="inlineStr">
        <is>
          <t>EX13</t>
        </is>
      </c>
      <c r="AC2">
        <f>SUMPRODUCT('البيانات'!$X$2:$X$2001,--('البيانات'!$G$2:$G$2001=$AB2),'البيانات'!$P$2:$P$2001)</f>
        <v/>
      </c>
    </row>
    <row r="3">
      <c r="A3" t="n">
        <v>2</v>
      </c>
      <c r="B3">
        <f>SUMPRODUCT('البيانات'!$X$2:$X$2001,--('البيانات'!$A$2:$A$2001=$A3),'البيانات'!$P$2:$P$2001)</f>
        <v/>
      </c>
      <c r="C3">
        <f>SUMPRODUCT('البيانات'!$X$2:$X$2001,--('البيانات'!$A$2:$A$2001=$A3),--((('البيانات'!$E$2:$E$2001="LV")+('البيانات'!$E$2:$E$2001="MV")+('البيانات'!$E$2:$E$2001="HV")+('البيانات'!$E$2:$E$2001="OH"))&gt;0),'البيانات'!$P$2:$P$2001)</f>
        <v/>
      </c>
      <c r="D3">
        <f>$B3-$C3</f>
        <v/>
      </c>
      <c r="E3">
        <f>SUM($B$2:$B3)</f>
        <v/>
      </c>
      <c r="F3">
        <f>IF('الخطة'!$B$1&gt;0,'الخطة'!$B$1/'الخطة'!$B$4*$A3,0)</f>
        <v/>
      </c>
      <c r="H3" t="inlineStr">
        <is>
          <t>LV</t>
        </is>
      </c>
      <c r="I3">
        <f>SUMPRODUCT('البيانات'!$X$2:$X$2001,--('البيانات'!$E$2:$E$2001=$H3),'البيانات'!$P$2:$P$2001)</f>
        <v/>
      </c>
      <c r="L3" t="inlineStr">
        <is>
          <t>CU نحاس</t>
        </is>
      </c>
      <c r="M3">
        <f>SUMPRODUCT('البيانات'!$X$2:$X$2001,--('البيانات'!$J$2:$J$2001="C"),'البيانات'!$M$2:$M$2001)</f>
        <v/>
      </c>
      <c r="P3" t="inlineStr">
        <is>
          <t>محلي</t>
        </is>
      </c>
      <c r="Q3">
        <f>SUMPRODUCT('البيانات'!$X$2:$X$2001,--('البيانات'!$K$2:$K$2001="N"),'البيانات'!$P$2:$P$2001)</f>
        <v/>
      </c>
      <c r="T3" t="inlineStr">
        <is>
          <t>Hold</t>
        </is>
      </c>
      <c r="U3">
        <f>SUMPRODUCT('البيانات'!$X$2:$X$2001,--('البيانات'!$I$2:$I$2001="Hold"))</f>
        <v/>
      </c>
      <c r="X3" t="inlineStr">
        <is>
          <t>Eland Cables</t>
        </is>
      </c>
      <c r="Y3">
        <f>SUMPRODUCT('البيانات'!$X$2:$X$2001,--('البيانات'!$D$2:$D$2001=$X3),'البيانات'!$P$2:$P$2001)</f>
        <v/>
      </c>
      <c r="AB3" t="inlineStr">
        <is>
          <t>EX03</t>
        </is>
      </c>
      <c r="AC3">
        <f>SUMPRODUCT('البيانات'!$X$2:$X$2001,--('البيانات'!$G$2:$G$2001=$AB3),'البيانات'!$P$2:$P$2001)</f>
        <v/>
      </c>
    </row>
    <row r="4">
      <c r="A4" t="n">
        <v>3</v>
      </c>
      <c r="B4">
        <f>SUMPRODUCT('البيانات'!$X$2:$X$2001,--('البيانات'!$A$2:$A$2001=$A4),'البيانات'!$P$2:$P$2001)</f>
        <v/>
      </c>
      <c r="C4">
        <f>SUMPRODUCT('البيانات'!$X$2:$X$2001,--('البيانات'!$A$2:$A$2001=$A4),--((('البيانات'!$E$2:$E$2001="LV")+('البيانات'!$E$2:$E$2001="MV")+('البيانات'!$E$2:$E$2001="HV")+('البيانات'!$E$2:$E$2001="OH"))&gt;0),'البيانات'!$P$2:$P$2001)</f>
        <v/>
      </c>
      <c r="D4">
        <f>$B4-$C4</f>
        <v/>
      </c>
      <c r="E4">
        <f>SUM($B$2:$B4)</f>
        <v/>
      </c>
      <c r="F4">
        <f>IF('الخطة'!$B$1&gt;0,'الخطة'!$B$1/'الخطة'!$B$4*$A4,0)</f>
        <v/>
      </c>
      <c r="H4" t="inlineStr">
        <is>
          <t>HV</t>
        </is>
      </c>
      <c r="I4">
        <f>SUMPRODUCT('البيانات'!$X$2:$X$2001,--('البيانات'!$E$2:$E$2001=$H4),'البيانات'!$P$2:$P$2001)</f>
        <v/>
      </c>
      <c r="L4" t="inlineStr">
        <is>
          <t>Screen</t>
        </is>
      </c>
      <c r="M4">
        <f>SUMPRODUCT('البيانات'!$X$2:$X$2001,'البيانات'!$N$2:$N$2001)</f>
        <v/>
      </c>
      <c r="T4" t="inlineStr">
        <is>
          <t>بدون حالة</t>
        </is>
      </c>
      <c r="U4">
        <f>SUMPRODUCT('البيانات'!$X$2:$X$2001,--('البيانات'!$I$2:$I$2001="P"))</f>
        <v/>
      </c>
      <c r="X4" t="inlineStr">
        <is>
          <t>شركة مصر العليا لتوزيع الكهرباء</t>
        </is>
      </c>
      <c r="Y4">
        <f>SUMPRODUCT('البيانات'!$X$2:$X$2001,--('البيانات'!$D$2:$D$2001=$X4),'البيانات'!$P$2:$P$2001)</f>
        <v/>
      </c>
      <c r="AB4" t="inlineStr">
        <is>
          <t>EX04</t>
        </is>
      </c>
      <c r="AC4">
        <f>SUMPRODUCT('البيانات'!$X$2:$X$2001,--('البيانات'!$G$2:$G$2001=$AB4),'البيانات'!$P$2:$P$2001)</f>
        <v/>
      </c>
    </row>
    <row r="5">
      <c r="A5" t="n">
        <v>4</v>
      </c>
      <c r="B5">
        <f>SUMPRODUCT('البيانات'!$X$2:$X$2001,--('البيانات'!$A$2:$A$2001=$A5),'البيانات'!$P$2:$P$2001)</f>
        <v/>
      </c>
      <c r="C5">
        <f>SUMPRODUCT('البيانات'!$X$2:$X$2001,--('البيانات'!$A$2:$A$2001=$A5),--((('البيانات'!$E$2:$E$2001="LV")+('البيانات'!$E$2:$E$2001="MV")+('البيانات'!$E$2:$E$2001="HV")+('البيانات'!$E$2:$E$2001="OH"))&gt;0),'البيانات'!$P$2:$P$2001)</f>
        <v/>
      </c>
      <c r="D5">
        <f>$B5-$C5</f>
        <v/>
      </c>
      <c r="E5">
        <f>SUM($B$2:$B5)</f>
        <v/>
      </c>
      <c r="F5">
        <f>IF('الخطة'!$B$1&gt;0,'الخطة'!$B$1/'الخطة'!$B$4*$A5,0)</f>
        <v/>
      </c>
      <c r="H5" t="inlineStr">
        <is>
          <t>OH</t>
        </is>
      </c>
      <c r="I5">
        <f>SUMPRODUCT('البيانات'!$X$2:$X$2001,--('البيانات'!$E$2:$E$2001=$H5),'البيانات'!$P$2:$P$2001)</f>
        <v/>
      </c>
      <c r="L5" t="inlineStr">
        <is>
          <t>Armour</t>
        </is>
      </c>
      <c r="M5">
        <f>SUMPRODUCT('البيانات'!$X$2:$X$2001,'البيانات'!$O$2:$O$2001)</f>
        <v/>
      </c>
      <c r="X5" t="inlineStr">
        <is>
          <t>Faber Kabel</t>
        </is>
      </c>
      <c r="Y5">
        <f>SUMPRODUCT('البيانات'!$X$2:$X$2001,--('البيانات'!$D$2:$D$2001=$X5),'البيانات'!$P$2:$P$2001)</f>
        <v/>
      </c>
      <c r="AB5" t="inlineStr">
        <is>
          <t>EX06</t>
        </is>
      </c>
      <c r="AC5">
        <f>SUMPRODUCT('البيانات'!$X$2:$X$2001,--('البيانات'!$G$2:$G$2001=$AB5),'البيانات'!$P$2:$P$2001)</f>
        <v/>
      </c>
    </row>
    <row r="6">
      <c r="A6" t="n">
        <v>5</v>
      </c>
      <c r="B6">
        <f>SUMPRODUCT('البيانات'!$X$2:$X$2001,--('البيانات'!$A$2:$A$2001=$A6),'البيانات'!$P$2:$P$2001)</f>
        <v/>
      </c>
      <c r="C6">
        <f>SUMPRODUCT('البيانات'!$X$2:$X$2001,--('البيانات'!$A$2:$A$2001=$A6),--((('البيانات'!$E$2:$E$2001="LV")+('البيانات'!$E$2:$E$2001="MV")+('البيانات'!$E$2:$E$2001="HV")+('البيانات'!$E$2:$E$2001="OH"))&gt;0),'البيانات'!$P$2:$P$2001)</f>
        <v/>
      </c>
      <c r="D6">
        <f>$B6-$C6</f>
        <v/>
      </c>
      <c r="E6">
        <f>SUM($B$2:$B6)</f>
        <v/>
      </c>
      <c r="F6">
        <f>IF('الخطة'!$B$1&gt;0,'الخطة'!$B$1/'الخطة'!$B$4*$A6,0)</f>
        <v/>
      </c>
      <c r="H6" t="inlineStr">
        <is>
          <t>BC</t>
        </is>
      </c>
      <c r="I6">
        <f>SUMPRODUCT('البيانات'!$X$2:$X$2001,--('البيانات'!$E$2:$E$2001=$H6),'البيانات'!$P$2:$P$2001)</f>
        <v/>
      </c>
      <c r="X6" t="inlineStr">
        <is>
          <t>Vigo trgovina d.o.o.</t>
        </is>
      </c>
      <c r="Y6">
        <f>SUMPRODUCT('البيانات'!$X$2:$X$2001,--('البيانات'!$D$2:$D$2001=$X6),'البيانات'!$P$2:$P$2001)</f>
        <v/>
      </c>
      <c r="AB6" t="inlineStr">
        <is>
          <t>EX07</t>
        </is>
      </c>
      <c r="AC6">
        <f>SUMPRODUCT('البيانات'!$X$2:$X$2001,--('البيانات'!$G$2:$G$2001=$AB6),'البيانات'!$P$2:$P$2001)</f>
        <v/>
      </c>
    </row>
    <row r="7">
      <c r="A7" t="n">
        <v>6</v>
      </c>
      <c r="B7">
        <f>SUMPRODUCT('البيانات'!$X$2:$X$2001,--('البيانات'!$A$2:$A$2001=$A7),'البيانات'!$P$2:$P$2001)</f>
        <v/>
      </c>
      <c r="C7">
        <f>SUMPRODUCT('البيانات'!$X$2:$X$2001,--('البيانات'!$A$2:$A$2001=$A7),--((('البيانات'!$E$2:$E$2001="LV")+('البيانات'!$E$2:$E$2001="MV")+('البيانات'!$E$2:$E$2001="HV")+('البيانات'!$E$2:$E$2001="OH"))&gt;0),'البيانات'!$P$2:$P$2001)</f>
        <v/>
      </c>
      <c r="D7">
        <f>$B7-$C7</f>
        <v/>
      </c>
      <c r="E7">
        <f>SUM($B$2:$B7)</f>
        <v/>
      </c>
      <c r="F7">
        <f>IF('الخطة'!$B$1&gt;0,'الخطة'!$B$1/'الخطة'!$B$4*$A7,0)</f>
        <v/>
      </c>
      <c r="H7" t="inlineStr">
        <is>
          <t>CC</t>
        </is>
      </c>
      <c r="I7">
        <f>SUMPRODUCT('البيانات'!$X$2:$X$2001,--('البيانات'!$E$2:$E$2001=$H7),'البيانات'!$P$2:$P$2001)</f>
        <v/>
      </c>
      <c r="X7" t="inlineStr">
        <is>
          <t>INSELL</t>
        </is>
      </c>
      <c r="Y7">
        <f>SUMPRODUCT('البيانات'!$X$2:$X$2001,--('البيانات'!$D$2:$D$2001=$X7),'البيانات'!$P$2:$P$2001)</f>
        <v/>
      </c>
      <c r="AB7" t="inlineStr">
        <is>
          <t>EX09</t>
        </is>
      </c>
      <c r="AC7">
        <f>SUMPRODUCT('البيانات'!$X$2:$X$2001,--('البيانات'!$G$2:$G$2001=$AB7),'البيانات'!$P$2:$P$2001)</f>
        <v/>
      </c>
    </row>
    <row r="8">
      <c r="A8" t="n">
        <v>7</v>
      </c>
      <c r="B8">
        <f>SUMPRODUCT('البيانات'!$X$2:$X$2001,--('البيانات'!$A$2:$A$2001=$A8),'البيانات'!$P$2:$P$2001)</f>
        <v/>
      </c>
      <c r="C8">
        <f>SUMPRODUCT('البيانات'!$X$2:$X$2001,--('البيانات'!$A$2:$A$2001=$A8),--((('البيانات'!$E$2:$E$2001="LV")+('البيانات'!$E$2:$E$2001="MV")+('البيانات'!$E$2:$E$2001="HV")+('البيانات'!$E$2:$E$2001="OH"))&gt;0),'البيانات'!$P$2:$P$2001)</f>
        <v/>
      </c>
      <c r="D8">
        <f>$B8-$C8</f>
        <v/>
      </c>
      <c r="E8">
        <f>SUM($B$2:$B8)</f>
        <v/>
      </c>
      <c r="F8">
        <f>IF('الخطة'!$B$1&gt;0,'الخطة'!$B$1/'الخطة'!$B$4*$A8,0)</f>
        <v/>
      </c>
      <c r="H8" t="inlineStr">
        <is>
          <t>IC</t>
        </is>
      </c>
      <c r="I8">
        <f>SUMPRODUCT('البيانات'!$X$2:$X$2001,--('البيانات'!$E$2:$E$2001=$H8),'البيانات'!$P$2:$P$2001)</f>
        <v/>
      </c>
      <c r="X8" t="inlineStr">
        <is>
          <t>Sadacavi</t>
        </is>
      </c>
      <c r="Y8">
        <f>SUMPRODUCT('البيانات'!$X$2:$X$2001,--('البيانات'!$D$2:$D$2001=$X8),'البيانات'!$P$2:$P$2001)</f>
        <v/>
      </c>
      <c r="AB8" t="inlineStr">
        <is>
          <t>EX05</t>
        </is>
      </c>
      <c r="AC8">
        <f>SUMPRODUCT('البيانات'!$X$2:$X$2001,--('البيانات'!$G$2:$G$2001=$AB8),'البيانات'!$P$2:$P$2001)</f>
        <v/>
      </c>
    </row>
    <row r="9">
      <c r="A9" t="n">
        <v>8</v>
      </c>
      <c r="B9">
        <f>SUMPRODUCT('البيانات'!$X$2:$X$2001,--('البيانات'!$A$2:$A$2001=$A9),'البيانات'!$P$2:$P$2001)</f>
        <v/>
      </c>
      <c r="C9">
        <f>SUMPRODUCT('البيانات'!$X$2:$X$2001,--('البيانات'!$A$2:$A$2001=$A9),--((('البيانات'!$E$2:$E$2001="LV")+('البيانات'!$E$2:$E$2001="MV")+('البيانات'!$E$2:$E$2001="HV")+('البيانات'!$E$2:$E$2001="OH"))&gt;0),'البيانات'!$P$2:$P$2001)</f>
        <v/>
      </c>
      <c r="D9">
        <f>$B9-$C9</f>
        <v/>
      </c>
      <c r="E9">
        <f>SUM($B$2:$B9)</f>
        <v/>
      </c>
      <c r="F9">
        <f>IF('الخطة'!$B$1&gt;0,'الخطة'!$B$1/'الخطة'!$B$4*$A9,0)</f>
        <v/>
      </c>
      <c r="X9" t="inlineStr">
        <is>
          <t>Helal Elsewedy</t>
        </is>
      </c>
      <c r="Y9">
        <f>SUMPRODUCT('البيانات'!$X$2:$X$2001,--('البيانات'!$D$2:$D$2001=$X9),'البيانات'!$P$2:$P$2001)</f>
        <v/>
      </c>
      <c r="AB9" t="inlineStr">
        <is>
          <t>EX01</t>
        </is>
      </c>
      <c r="AC9">
        <f>SUMPRODUCT('البيانات'!$X$2:$X$2001,--('البيانات'!$G$2:$G$2001=$AB9),'البيانات'!$P$2:$P$2001)</f>
        <v/>
      </c>
    </row>
    <row r="10">
      <c r="A10" t="n">
        <v>9</v>
      </c>
      <c r="B10">
        <f>SUMPRODUCT('البيانات'!$X$2:$X$2001,--('البيانات'!$A$2:$A$2001=$A10),'البيانات'!$P$2:$P$2001)</f>
        <v/>
      </c>
      <c r="C10">
        <f>SUMPRODUCT('البيانات'!$X$2:$X$2001,--('البيانات'!$A$2:$A$2001=$A10),--((('البيانات'!$E$2:$E$2001="LV")+('البيانات'!$E$2:$E$2001="MV")+('البيانات'!$E$2:$E$2001="HV")+('البيانات'!$E$2:$E$2001="OH"))&gt;0),'البيانات'!$P$2:$P$2001)</f>
        <v/>
      </c>
      <c r="D10">
        <f>$B10-$C10</f>
        <v/>
      </c>
      <c r="E10">
        <f>SUM($B$2:$B10)</f>
        <v/>
      </c>
      <c r="F10">
        <f>IF('الخطة'!$B$1&gt;0,'الخطة'!$B$1/'الخطة'!$B$4*$A10,0)</f>
        <v/>
      </c>
      <c r="X10" t="inlineStr">
        <is>
          <t>Electrical Supplies &amp; Services LTD.</t>
        </is>
      </c>
      <c r="Y10">
        <f>SUMPRODUCT('البيانات'!$X$2:$X$2001,--('البيانات'!$D$2:$D$2001=$X10),'البيانات'!$P$2:$P$2001)</f>
        <v/>
      </c>
      <c r="AB10" t="inlineStr">
        <is>
          <t>EX14</t>
        </is>
      </c>
      <c r="AC10">
        <f>SUMPRODUCT('البيانات'!$X$2:$X$2001,--('البيانات'!$G$2:$G$2001=$AB10),'البيانات'!$P$2:$P$2001)</f>
        <v/>
      </c>
    </row>
    <row r="11">
      <c r="A11" t="n">
        <v>10</v>
      </c>
      <c r="B11">
        <f>SUMPRODUCT('البيانات'!$X$2:$X$2001,--('البيانات'!$A$2:$A$2001=$A11),'البيانات'!$P$2:$P$2001)</f>
        <v/>
      </c>
      <c r="C11">
        <f>SUMPRODUCT('البيانات'!$X$2:$X$2001,--('البيانات'!$A$2:$A$2001=$A11),--((('البيانات'!$E$2:$E$2001="LV")+('البيانات'!$E$2:$E$2001="MV")+('البيانات'!$E$2:$E$2001="HV")+('البيانات'!$E$2:$E$2001="OH"))&gt;0),'البيانات'!$P$2:$P$2001)</f>
        <v/>
      </c>
      <c r="D11">
        <f>$B11-$C11</f>
        <v/>
      </c>
      <c r="E11">
        <f>SUM($B$2:$B11)</f>
        <v/>
      </c>
      <c r="F11">
        <f>IF('الخطة'!$B$1&gt;0,'الخطة'!$B$1/'الخطة'!$B$4*$A11,0)</f>
        <v/>
      </c>
      <c r="X11" t="inlineStr">
        <is>
          <t>Energya Power &amp; Telecom Solutions</t>
        </is>
      </c>
      <c r="Y11">
        <f>SUMPRODUCT('البيانات'!$X$2:$X$2001,--('البيانات'!$D$2:$D$2001=$X11),'البيانات'!$P$2:$P$2001)</f>
        <v/>
      </c>
      <c r="AB11" t="inlineStr">
        <is>
          <t>RW01</t>
        </is>
      </c>
      <c r="AC11">
        <f>SUMPRODUCT('البيانات'!$X$2:$X$2001,--('البيانات'!$G$2:$G$2001=$AB11),'البيانات'!$P$2:$P$2001)</f>
        <v/>
      </c>
    </row>
    <row r="12">
      <c r="A12" t="n">
        <v>11</v>
      </c>
      <c r="B12">
        <f>SUMPRODUCT('البيانات'!$X$2:$X$2001,--('البيانات'!$A$2:$A$2001=$A12),'البيانات'!$P$2:$P$2001)</f>
        <v/>
      </c>
      <c r="C12">
        <f>SUMPRODUCT('البيانات'!$X$2:$X$2001,--('البيانات'!$A$2:$A$2001=$A12),--((('البيانات'!$E$2:$E$2001="LV")+('البيانات'!$E$2:$E$2001="MV")+('البيانات'!$E$2:$E$2001="HV")+('البيانات'!$E$2:$E$2001="OH"))&gt;0),'البيانات'!$P$2:$P$2001)</f>
        <v/>
      </c>
      <c r="D12">
        <f>$B12-$C12</f>
        <v/>
      </c>
      <c r="E12">
        <f>SUM($B$2:$B12)</f>
        <v/>
      </c>
      <c r="F12">
        <f>IF('الخطة'!$B$1&gt;0,'الخطة'!$B$1/'الخطة'!$B$4*$A12,0)</f>
        <v/>
      </c>
      <c r="X12" t="inlineStr">
        <is>
          <t>Helukabel Germany</t>
        </is>
      </c>
      <c r="Y12">
        <f>SUMPRODUCT('البيانات'!$X$2:$X$2001,--('البيانات'!$D$2:$D$2001=$X12),'البيانات'!$P$2:$P$2001)</f>
        <v/>
      </c>
    </row>
    <row r="13">
      <c r="A13" t="n">
        <v>12</v>
      </c>
      <c r="B13">
        <f>SUMPRODUCT('البيانات'!$X$2:$X$2001,--('البيانات'!$A$2:$A$2001=$A13),'البيانات'!$P$2:$P$2001)</f>
        <v/>
      </c>
      <c r="C13">
        <f>SUMPRODUCT('البيانات'!$X$2:$X$2001,--('البيانات'!$A$2:$A$2001=$A13),--((('البيانات'!$E$2:$E$2001="LV")+('البيانات'!$E$2:$E$2001="MV")+('البيانات'!$E$2:$E$2001="HV")+('البيانات'!$E$2:$E$2001="OH"))&gt;0),'البيانات'!$P$2:$P$2001)</f>
        <v/>
      </c>
      <c r="D13">
        <f>$B13-$C13</f>
        <v/>
      </c>
      <c r="E13">
        <f>SUM($B$2:$B13)</f>
        <v/>
      </c>
      <c r="F13">
        <f>IF('الخطة'!$B$1&gt;0,'الخطة'!$B$1/'الخطة'!$B$4*$A13,0)</f>
        <v/>
      </c>
      <c r="X13" t="inlineStr">
        <is>
          <t>Cleveland Cables Company</t>
        </is>
      </c>
      <c r="Y13">
        <f>SUMPRODUCT('البيانات'!$X$2:$X$2001,--('البيانات'!$D$2:$D$2001=$X13),'البيانات'!$P$2:$P$2001)</f>
        <v/>
      </c>
    </row>
    <row r="14">
      <c r="A14" t="n">
        <v>13</v>
      </c>
      <c r="B14">
        <f>SUMPRODUCT('البيانات'!$X$2:$X$2001,--('البيانات'!$A$2:$A$2001=$A14),'البيانات'!$P$2:$P$2001)</f>
        <v/>
      </c>
      <c r="C14">
        <f>SUMPRODUCT('البيانات'!$X$2:$X$2001,--('البيانات'!$A$2:$A$2001=$A14),--((('البيانات'!$E$2:$E$2001="LV")+('البيانات'!$E$2:$E$2001="MV")+('البيانات'!$E$2:$E$2001="HV")+('البيانات'!$E$2:$E$2001="OH"))&gt;0),'البيانات'!$P$2:$P$2001)</f>
        <v/>
      </c>
      <c r="D14">
        <f>$B14-$C14</f>
        <v/>
      </c>
      <c r="E14">
        <f>SUM($B$2:$B14)</f>
        <v/>
      </c>
      <c r="F14">
        <f>IF('الخطة'!$B$1&gt;0,'الخطة'!$B$1/'الخطة'!$B$4*$A14,0)</f>
        <v/>
      </c>
    </row>
    <row r="15">
      <c r="A15" t="n">
        <v>14</v>
      </c>
      <c r="B15">
        <f>SUMPRODUCT('البيانات'!$X$2:$X$2001,--('البيانات'!$A$2:$A$2001=$A15),'البيانات'!$P$2:$P$2001)</f>
        <v/>
      </c>
      <c r="C15">
        <f>SUMPRODUCT('البيانات'!$X$2:$X$2001,--('البيانات'!$A$2:$A$2001=$A15),--((('البيانات'!$E$2:$E$2001="LV")+('البيانات'!$E$2:$E$2001="MV")+('البيانات'!$E$2:$E$2001="HV")+('البيانات'!$E$2:$E$2001="OH"))&gt;0),'البيانات'!$P$2:$P$2001)</f>
        <v/>
      </c>
      <c r="D15">
        <f>$B15-$C15</f>
        <v/>
      </c>
      <c r="E15">
        <f>SUM($B$2:$B15)</f>
        <v/>
      </c>
      <c r="F15">
        <f>IF('الخطة'!$B$1&gt;0,'الخطة'!$B$1/'الخطة'!$B$4*$A15,0)</f>
        <v/>
      </c>
    </row>
    <row r="16">
      <c r="A16" t="n">
        <v>15</v>
      </c>
      <c r="B16">
        <f>SUMPRODUCT('البيانات'!$X$2:$X$2001,--('البيانات'!$A$2:$A$2001=$A16),'البيانات'!$P$2:$P$2001)</f>
        <v/>
      </c>
      <c r="C16">
        <f>SUMPRODUCT('البيانات'!$X$2:$X$2001,--('البيانات'!$A$2:$A$2001=$A16),--((('البيانات'!$E$2:$E$2001="LV")+('البيانات'!$E$2:$E$2001="MV")+('البيانات'!$E$2:$E$2001="HV")+('البيانات'!$E$2:$E$2001="OH"))&gt;0),'البيانات'!$P$2:$P$2001)</f>
        <v/>
      </c>
      <c r="D16">
        <f>$B16-$C16</f>
        <v/>
      </c>
      <c r="E16">
        <f>SUM($B$2:$B16)</f>
        <v/>
      </c>
      <c r="F16">
        <f>IF('الخطة'!$B$1&gt;0,'الخطة'!$B$1/'الخطة'!$B$4*$A16,0)</f>
        <v/>
      </c>
    </row>
    <row r="17">
      <c r="A17" t="n">
        <v>16</v>
      </c>
      <c r="B17">
        <f>SUMPRODUCT('البيانات'!$X$2:$X$2001,--('البيانات'!$A$2:$A$2001=$A17),'البيانات'!$P$2:$P$2001)</f>
        <v/>
      </c>
      <c r="C17">
        <f>SUMPRODUCT('البيانات'!$X$2:$X$2001,--('البيانات'!$A$2:$A$2001=$A17),--((('البيانات'!$E$2:$E$2001="LV")+('البيانات'!$E$2:$E$2001="MV")+('البيانات'!$E$2:$E$2001="HV")+('البيانات'!$E$2:$E$2001="OH"))&gt;0),'البيانات'!$P$2:$P$2001)</f>
        <v/>
      </c>
      <c r="D17">
        <f>$B17-$C17</f>
        <v/>
      </c>
      <c r="E17">
        <f>SUM($B$2:$B17)</f>
        <v/>
      </c>
      <c r="F17">
        <f>IF('الخطة'!$B$1&gt;0,'الخطة'!$B$1/'الخطة'!$B$4*$A17,0)</f>
        <v/>
      </c>
    </row>
    <row r="18">
      <c r="A18" t="n">
        <v>17</v>
      </c>
      <c r="B18">
        <f>SUMPRODUCT('البيانات'!$X$2:$X$2001,--('البيانات'!$A$2:$A$2001=$A18),'البيانات'!$P$2:$P$2001)</f>
        <v/>
      </c>
      <c r="C18">
        <f>SUMPRODUCT('البيانات'!$X$2:$X$2001,--('البيانات'!$A$2:$A$2001=$A18),--((('البيانات'!$E$2:$E$2001="LV")+('البيانات'!$E$2:$E$2001="MV")+('البيانات'!$E$2:$E$2001="HV")+('البيانات'!$E$2:$E$2001="OH"))&gt;0),'البيانات'!$P$2:$P$2001)</f>
        <v/>
      </c>
      <c r="D18">
        <f>$B18-$C18</f>
        <v/>
      </c>
      <c r="E18">
        <f>SUM($B$2:$B18)</f>
        <v/>
      </c>
      <c r="F18">
        <f>IF('الخطة'!$B$1&gt;0,'الخطة'!$B$1/'الخطة'!$B$4*$A18,0)</f>
        <v/>
      </c>
    </row>
    <row r="19">
      <c r="A19" t="n">
        <v>18</v>
      </c>
      <c r="B19">
        <f>SUMPRODUCT('البيانات'!$X$2:$X$2001,--('البيانات'!$A$2:$A$2001=$A19),'البيانات'!$P$2:$P$2001)</f>
        <v/>
      </c>
      <c r="C19">
        <f>SUMPRODUCT('البيانات'!$X$2:$X$2001,--('البيانات'!$A$2:$A$2001=$A19),--((('البيانات'!$E$2:$E$2001="LV")+('البيانات'!$E$2:$E$2001="MV")+('البيانات'!$E$2:$E$2001="HV")+('البيانات'!$E$2:$E$2001="OH"))&gt;0),'البيانات'!$P$2:$P$2001)</f>
        <v/>
      </c>
      <c r="D19">
        <f>$B19-$C19</f>
        <v/>
      </c>
      <c r="E19">
        <f>SUM($B$2:$B19)</f>
        <v/>
      </c>
      <c r="F19">
        <f>IF('الخطة'!$B$1&gt;0,'الخطة'!$B$1/'الخطة'!$B$4*$A19,0)</f>
        <v/>
      </c>
    </row>
    <row r="20">
      <c r="A20" t="n">
        <v>19</v>
      </c>
      <c r="B20">
        <f>SUMPRODUCT('البيانات'!$X$2:$X$2001,--('البيانات'!$A$2:$A$2001=$A20),'البيانات'!$P$2:$P$2001)</f>
        <v/>
      </c>
      <c r="C20">
        <f>SUMPRODUCT('البيانات'!$X$2:$X$2001,--('البيانات'!$A$2:$A$2001=$A20),--((('البيانات'!$E$2:$E$2001="LV")+('البيانات'!$E$2:$E$2001="MV")+('البيانات'!$E$2:$E$2001="HV")+('البيانات'!$E$2:$E$2001="OH"))&gt;0),'البيانات'!$P$2:$P$2001)</f>
        <v/>
      </c>
      <c r="D20">
        <f>$B20-$C20</f>
        <v/>
      </c>
      <c r="E20">
        <f>SUM($B$2:$B20)</f>
        <v/>
      </c>
      <c r="F20">
        <f>IF('الخطة'!$B$1&gt;0,'الخطة'!$B$1/'الخطة'!$B$4*$A20,0)</f>
        <v/>
      </c>
    </row>
    <row r="21">
      <c r="A21" t="n">
        <v>20</v>
      </c>
      <c r="B21">
        <f>SUMPRODUCT('البيانات'!$X$2:$X$2001,--('البيانات'!$A$2:$A$2001=$A21),'البيانات'!$P$2:$P$2001)</f>
        <v/>
      </c>
      <c r="C21">
        <f>SUMPRODUCT('البيانات'!$X$2:$X$2001,--('البيانات'!$A$2:$A$2001=$A21),--((('البيانات'!$E$2:$E$2001="LV")+('البيانات'!$E$2:$E$2001="MV")+('البيانات'!$E$2:$E$2001="HV")+('البيانات'!$E$2:$E$2001="OH"))&gt;0),'البيانات'!$P$2:$P$2001)</f>
        <v/>
      </c>
      <c r="D21">
        <f>$B21-$C21</f>
        <v/>
      </c>
      <c r="E21">
        <f>SUM($B$2:$B21)</f>
        <v/>
      </c>
      <c r="F21">
        <f>IF('الخطة'!$B$1&gt;0,'الخطة'!$B$1/'الخطة'!$B$4*$A21,0)</f>
        <v/>
      </c>
    </row>
    <row r="22">
      <c r="A22" t="n">
        <v>21</v>
      </c>
      <c r="B22">
        <f>SUMPRODUCT('البيانات'!$X$2:$X$2001,--('البيانات'!$A$2:$A$2001=$A22),'البيانات'!$P$2:$P$2001)</f>
        <v/>
      </c>
      <c r="C22">
        <f>SUMPRODUCT('البيانات'!$X$2:$X$2001,--('البيانات'!$A$2:$A$2001=$A22),--((('البيانات'!$E$2:$E$2001="LV")+('البيانات'!$E$2:$E$2001="MV")+('البيانات'!$E$2:$E$2001="HV")+('البيانات'!$E$2:$E$2001="OH"))&gt;0),'البيانات'!$P$2:$P$2001)</f>
        <v/>
      </c>
      <c r="D22">
        <f>$B22-$C22</f>
        <v/>
      </c>
      <c r="E22">
        <f>SUM($B$2:$B22)</f>
        <v/>
      </c>
      <c r="F22">
        <f>IF('الخطة'!$B$1&gt;0,'الخطة'!$B$1/'الخطة'!$B$4*$A22,0)</f>
        <v/>
      </c>
    </row>
    <row r="23">
      <c r="A23" t="n">
        <v>22</v>
      </c>
      <c r="B23">
        <f>SUMPRODUCT('البيانات'!$X$2:$X$2001,--('البيانات'!$A$2:$A$2001=$A23),'البيانات'!$P$2:$P$2001)</f>
        <v/>
      </c>
      <c r="C23">
        <f>SUMPRODUCT('البيانات'!$X$2:$X$2001,--('البيانات'!$A$2:$A$2001=$A23),--((('البيانات'!$E$2:$E$2001="LV")+('البيانات'!$E$2:$E$2001="MV")+('البيانات'!$E$2:$E$2001="HV")+('البيانات'!$E$2:$E$2001="OH"))&gt;0),'البيانات'!$P$2:$P$2001)</f>
        <v/>
      </c>
      <c r="D23">
        <f>$B23-$C23</f>
        <v/>
      </c>
      <c r="E23">
        <f>SUM($B$2:$B23)</f>
        <v/>
      </c>
      <c r="F23">
        <f>IF('الخطة'!$B$1&gt;0,'الخطة'!$B$1/'الخطة'!$B$4*$A23,0)</f>
        <v/>
      </c>
    </row>
    <row r="24">
      <c r="A24" t="n">
        <v>23</v>
      </c>
      <c r="B24">
        <f>SUMPRODUCT('البيانات'!$X$2:$X$2001,--('البيانات'!$A$2:$A$2001=$A24),'البيانات'!$P$2:$P$2001)</f>
        <v/>
      </c>
      <c r="C24">
        <f>SUMPRODUCT('البيانات'!$X$2:$X$2001,--('البيانات'!$A$2:$A$2001=$A24),--((('البيانات'!$E$2:$E$2001="LV")+('البيانات'!$E$2:$E$2001="MV")+('البيانات'!$E$2:$E$2001="HV")+('البيانات'!$E$2:$E$2001="OH"))&gt;0),'البيانات'!$P$2:$P$2001)</f>
        <v/>
      </c>
      <c r="D24">
        <f>$B24-$C24</f>
        <v/>
      </c>
      <c r="E24">
        <f>SUM($B$2:$B24)</f>
        <v/>
      </c>
      <c r="F24">
        <f>IF('الخطة'!$B$1&gt;0,'الخطة'!$B$1/'الخطة'!$B$4*$A24,0)</f>
        <v/>
      </c>
    </row>
    <row r="25">
      <c r="A25" t="n">
        <v>24</v>
      </c>
      <c r="B25">
        <f>SUMPRODUCT('البيانات'!$X$2:$X$2001,--('البيانات'!$A$2:$A$2001=$A25),'البيانات'!$P$2:$P$2001)</f>
        <v/>
      </c>
      <c r="C25">
        <f>SUMPRODUCT('البيانات'!$X$2:$X$2001,--('البيانات'!$A$2:$A$2001=$A25),--((('البيانات'!$E$2:$E$2001="LV")+('البيانات'!$E$2:$E$2001="MV")+('البيانات'!$E$2:$E$2001="HV")+('البيانات'!$E$2:$E$2001="OH"))&gt;0),'البيانات'!$P$2:$P$2001)</f>
        <v/>
      </c>
      <c r="D25">
        <f>$B25-$C25</f>
        <v/>
      </c>
      <c r="E25">
        <f>SUM($B$2:$B25)</f>
        <v/>
      </c>
      <c r="F25">
        <f>IF('الخطة'!$B$1&gt;0,'الخطة'!$B$1/'الخطة'!$B$4*$A25,0)</f>
        <v/>
      </c>
    </row>
    <row r="26">
      <c r="A26" t="n">
        <v>25</v>
      </c>
      <c r="B26">
        <f>SUMPRODUCT('البيانات'!$X$2:$X$2001,--('البيانات'!$A$2:$A$2001=$A26),'البيانات'!$P$2:$P$2001)</f>
        <v/>
      </c>
      <c r="C26">
        <f>SUMPRODUCT('البيانات'!$X$2:$X$2001,--('البيانات'!$A$2:$A$2001=$A26),--((('البيانات'!$E$2:$E$2001="LV")+('البيانات'!$E$2:$E$2001="MV")+('البيانات'!$E$2:$E$2001="HV")+('البيانات'!$E$2:$E$2001="OH"))&gt;0),'البيانات'!$P$2:$P$2001)</f>
        <v/>
      </c>
      <c r="D26">
        <f>$B26-$C26</f>
        <v/>
      </c>
      <c r="E26">
        <f>SUM($B$2:$B26)</f>
        <v/>
      </c>
      <c r="F26">
        <f>IF('الخطة'!$B$1&gt;0,'الخطة'!$B$1/'الخطة'!$B$4*$A26,0)</f>
        <v/>
      </c>
    </row>
    <row r="27">
      <c r="A27" t="n">
        <v>26</v>
      </c>
      <c r="B27">
        <f>SUMPRODUCT('البيانات'!$X$2:$X$2001,--('البيانات'!$A$2:$A$2001=$A27),'البيانات'!$P$2:$P$2001)</f>
        <v/>
      </c>
      <c r="C27">
        <f>SUMPRODUCT('البيانات'!$X$2:$X$2001,--('البيانات'!$A$2:$A$2001=$A27),--((('البيانات'!$E$2:$E$2001="LV")+('البيانات'!$E$2:$E$2001="MV")+('البيانات'!$E$2:$E$2001="HV")+('البيانات'!$E$2:$E$2001="OH"))&gt;0),'البيانات'!$P$2:$P$2001)</f>
        <v/>
      </c>
      <c r="D27">
        <f>$B27-$C27</f>
        <v/>
      </c>
      <c r="E27">
        <f>SUM($B$2:$B27)</f>
        <v/>
      </c>
      <c r="F27">
        <f>IF('الخطة'!$B$1&gt;0,'الخطة'!$B$1/'الخطة'!$B$4*$A27,0)</f>
        <v/>
      </c>
    </row>
    <row r="28">
      <c r="A28" t="n">
        <v>27</v>
      </c>
      <c r="B28">
        <f>SUMPRODUCT('البيانات'!$X$2:$X$2001,--('البيانات'!$A$2:$A$2001=$A28),'البيانات'!$P$2:$P$2001)</f>
        <v/>
      </c>
      <c r="C28">
        <f>SUMPRODUCT('البيانات'!$X$2:$X$2001,--('البيانات'!$A$2:$A$2001=$A28),--((('البيانات'!$E$2:$E$2001="LV")+('البيانات'!$E$2:$E$2001="MV")+('البيانات'!$E$2:$E$2001="HV")+('البيانات'!$E$2:$E$2001="OH"))&gt;0),'البيانات'!$P$2:$P$2001)</f>
        <v/>
      </c>
      <c r="D28">
        <f>$B28-$C28</f>
        <v/>
      </c>
      <c r="E28">
        <f>SUM($B$2:$B28)</f>
        <v/>
      </c>
      <c r="F28">
        <f>IF('الخطة'!$B$1&gt;0,'الخطة'!$B$1/'الخطة'!$B$4*$A28,0)</f>
        <v/>
      </c>
    </row>
    <row r="29">
      <c r="A29" t="n">
        <v>28</v>
      </c>
      <c r="B29">
        <f>SUMPRODUCT('البيانات'!$X$2:$X$2001,--('البيانات'!$A$2:$A$2001=$A29),'البيانات'!$P$2:$P$2001)</f>
        <v/>
      </c>
      <c r="C29">
        <f>SUMPRODUCT('البيانات'!$X$2:$X$2001,--('البيانات'!$A$2:$A$2001=$A29),--((('البيانات'!$E$2:$E$2001="LV")+('البيانات'!$E$2:$E$2001="MV")+('البيانات'!$E$2:$E$2001="HV")+('البيانات'!$E$2:$E$2001="OH"))&gt;0),'البيانات'!$P$2:$P$2001)</f>
        <v/>
      </c>
      <c r="D29">
        <f>$B29-$C29</f>
        <v/>
      </c>
      <c r="E29">
        <f>SUM($B$2:$B29)</f>
        <v/>
      </c>
      <c r="F29">
        <f>IF('الخطة'!$B$1&gt;0,'الخطة'!$B$1/'الخطة'!$B$4*$A29,0)</f>
        <v/>
      </c>
    </row>
    <row r="30">
      <c r="A30" t="n">
        <v>29</v>
      </c>
      <c r="B30">
        <f>SUMPRODUCT('البيانات'!$X$2:$X$2001,--('البيانات'!$A$2:$A$2001=$A30),'البيانات'!$P$2:$P$2001)</f>
        <v/>
      </c>
      <c r="C30">
        <f>SUMPRODUCT('البيانات'!$X$2:$X$2001,--('البيانات'!$A$2:$A$2001=$A30),--((('البيانات'!$E$2:$E$2001="LV")+('البيانات'!$E$2:$E$2001="MV")+('البيانات'!$E$2:$E$2001="HV")+('البيانات'!$E$2:$E$2001="OH"))&gt;0),'البيانات'!$P$2:$P$2001)</f>
        <v/>
      </c>
      <c r="D30">
        <f>$B30-$C30</f>
        <v/>
      </c>
      <c r="E30">
        <f>SUM($B$2:$B30)</f>
        <v/>
      </c>
      <c r="F30">
        <f>IF('الخطة'!$B$1&gt;0,'الخطة'!$B$1/'الخطة'!$B$4*$A30,0)</f>
        <v/>
      </c>
    </row>
    <row r="31">
      <c r="A31" t="n">
        <v>30</v>
      </c>
      <c r="B31">
        <f>SUMPRODUCT('البيانات'!$X$2:$X$2001,--('البيانات'!$A$2:$A$2001=$A31),'البيانات'!$P$2:$P$2001)</f>
        <v/>
      </c>
      <c r="C31">
        <f>SUMPRODUCT('البيانات'!$X$2:$X$2001,--('البيانات'!$A$2:$A$2001=$A31),--((('البيانات'!$E$2:$E$2001="LV")+('البيانات'!$E$2:$E$2001="MV")+('البيانات'!$E$2:$E$2001="HV")+('البيانات'!$E$2:$E$2001="OH"))&gt;0),'البيانات'!$P$2:$P$2001)</f>
        <v/>
      </c>
      <c r="D31">
        <f>$B31-$C31</f>
        <v/>
      </c>
      <c r="E31">
        <f>SUM($B$2:$B31)</f>
        <v/>
      </c>
      <c r="F31">
        <f>IF('الخطة'!$B$1&gt;0,'الخطة'!$B$1/'الخطة'!$B$4*$A31,0)</f>
        <v/>
      </c>
    </row>
    <row r="32">
      <c r="A32" t="n">
        <v>31</v>
      </c>
      <c r="B32">
        <f>SUMPRODUCT('البيانات'!$X$2:$X$2001,--('البيانات'!$A$2:$A$2001=$A32),'البيانات'!$P$2:$P$2001)</f>
        <v/>
      </c>
      <c r="C32">
        <f>SUMPRODUCT('البيانات'!$X$2:$X$2001,--('البيانات'!$A$2:$A$2001=$A32),--((('البيانات'!$E$2:$E$2001="LV")+('البيانات'!$E$2:$E$2001="MV")+('البيانات'!$E$2:$E$2001="HV")+('البيانات'!$E$2:$E$2001="OH"))&gt;0),'البيانات'!$P$2:$P$2001)</f>
        <v/>
      </c>
      <c r="D32">
        <f>$B32-$C32</f>
        <v/>
      </c>
      <c r="E32">
        <f>SUM($B$2:$B32)</f>
        <v/>
      </c>
      <c r="F32">
        <f>IF('الخطة'!$B$1&gt;0,'الخطة'!$B$1/'الخطة'!$B$4*$A32,0)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3" t="inlineStr">
        <is>
          <t>إجمالي خطة الشهر (طن)</t>
        </is>
      </c>
      <c r="B1" s="18" t="n">
        <v>4442</v>
      </c>
    </row>
    <row r="2">
      <c r="A2" s="3" t="inlineStr">
        <is>
          <t>خطة الألومنيوم AL (طن)</t>
        </is>
      </c>
      <c r="B2" s="18" t="n">
        <v>3139</v>
      </c>
    </row>
    <row r="3">
      <c r="A3" s="3" t="inlineStr">
        <is>
          <t>خطة النحاس CU (طن)</t>
        </is>
      </c>
      <c r="B3" s="18" t="n">
        <v>1303</v>
      </c>
    </row>
    <row r="4">
      <c r="A4" s="3" t="inlineStr">
        <is>
          <t>عدد أيام الشهر</t>
        </is>
      </c>
      <c r="B4" s="18" t="n">
        <v>31</v>
      </c>
    </row>
    <row r="5">
      <c r="A5" s="3" t="inlineStr">
        <is>
          <t>الشهر</t>
        </is>
      </c>
      <c r="B5" s="19" t="inlineStr">
        <is>
          <t>أكتوبر 2026</t>
        </is>
      </c>
    </row>
    <row r="7">
      <c r="A7" s="11" t="inlineStr">
        <is>
          <t>✏️ عدّل الأرقام الصفراء بس — الداشبورد كله يتحدث لوحده.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الكل</t>
        </is>
      </c>
      <c r="B1" t="inlineStr">
        <is>
          <t>الكل</t>
        </is>
      </c>
      <c r="C1" t="inlineStr">
        <is>
          <t>الكل</t>
        </is>
      </c>
      <c r="D1" t="inlineStr">
        <is>
          <t>الكل</t>
        </is>
      </c>
      <c r="E1" t="inlineStr">
        <is>
          <t>الكل</t>
        </is>
      </c>
      <c r="F1" t="inlineStr">
        <is>
          <t>الكل</t>
        </is>
      </c>
    </row>
    <row r="2">
      <c r="A2" t="inlineStr">
        <is>
          <t>MV</t>
        </is>
      </c>
      <c r="B2" t="inlineStr">
        <is>
          <t>الشركة العربية للصناعة والتجارة الدولية</t>
        </is>
      </c>
      <c r="C2" t="inlineStr">
        <is>
          <t>EX13</t>
        </is>
      </c>
      <c r="D2" t="inlineStr">
        <is>
          <t>OK</t>
        </is>
      </c>
      <c r="E2" t="inlineStr">
        <is>
          <t>تصدير</t>
        </is>
      </c>
      <c r="F2" t="inlineStr">
        <is>
          <t>AL</t>
        </is>
      </c>
    </row>
    <row r="3">
      <c r="A3" t="inlineStr">
        <is>
          <t>LV</t>
        </is>
      </c>
      <c r="B3" t="inlineStr">
        <is>
          <t>Eland Cables</t>
        </is>
      </c>
      <c r="C3" t="inlineStr">
        <is>
          <t>EX03</t>
        </is>
      </c>
      <c r="D3" t="inlineStr">
        <is>
          <t>Hold</t>
        </is>
      </c>
      <c r="E3" t="inlineStr">
        <is>
          <t>محلي</t>
        </is>
      </c>
      <c r="F3" t="inlineStr">
        <is>
          <t>CU</t>
        </is>
      </c>
    </row>
    <row r="4">
      <c r="A4" t="inlineStr">
        <is>
          <t>HV</t>
        </is>
      </c>
      <c r="B4" t="inlineStr">
        <is>
          <t>شركة مصر العليا لتوزيع الكهرباء</t>
        </is>
      </c>
      <c r="C4" t="inlineStr">
        <is>
          <t>EX04</t>
        </is>
      </c>
      <c r="D4" t="inlineStr">
        <is>
          <t>بدون حالة</t>
        </is>
      </c>
    </row>
    <row r="5">
      <c r="A5" t="inlineStr">
        <is>
          <t>OH</t>
        </is>
      </c>
      <c r="B5" t="inlineStr">
        <is>
          <t>Faber Kabel</t>
        </is>
      </c>
      <c r="C5" t="inlineStr">
        <is>
          <t>EX06</t>
        </is>
      </c>
    </row>
    <row r="6">
      <c r="A6" t="inlineStr">
        <is>
          <t>BC</t>
        </is>
      </c>
      <c r="B6" t="inlineStr">
        <is>
          <t>Vigo trgovina d.o.o.</t>
        </is>
      </c>
      <c r="C6" t="inlineStr">
        <is>
          <t>EX07</t>
        </is>
      </c>
    </row>
    <row r="7">
      <c r="A7" t="inlineStr">
        <is>
          <t>CC</t>
        </is>
      </c>
      <c r="B7" t="inlineStr">
        <is>
          <t>INSELL</t>
        </is>
      </c>
      <c r="C7" t="inlineStr">
        <is>
          <t>EX09</t>
        </is>
      </c>
    </row>
    <row r="8">
      <c r="A8" t="inlineStr">
        <is>
          <t>IC</t>
        </is>
      </c>
      <c r="B8" t="inlineStr">
        <is>
          <t>Sadacavi</t>
        </is>
      </c>
      <c r="C8" t="inlineStr">
        <is>
          <t>EX05</t>
        </is>
      </c>
    </row>
    <row r="9">
      <c r="B9" t="inlineStr">
        <is>
          <t>Helal Elsewedy</t>
        </is>
      </c>
      <c r="C9" t="inlineStr">
        <is>
          <t>EX01</t>
        </is>
      </c>
    </row>
    <row r="10">
      <c r="B10" t="inlineStr">
        <is>
          <t>Electrical Supplies &amp; Services LTD.</t>
        </is>
      </c>
      <c r="C10" t="inlineStr">
        <is>
          <t>EX14</t>
        </is>
      </c>
    </row>
    <row r="11">
      <c r="B11" t="inlineStr">
        <is>
          <t>Energya Power &amp; Telecom Solutions</t>
        </is>
      </c>
      <c r="C11" t="inlineStr">
        <is>
          <t>RW01</t>
        </is>
      </c>
    </row>
    <row r="12">
      <c r="B12" t="inlineStr">
        <is>
          <t>Helukabel Germany</t>
        </is>
      </c>
      <c r="C12" t="inlineStr">
        <is>
          <t>CO03</t>
        </is>
      </c>
    </row>
    <row r="13">
      <c r="B13" t="inlineStr">
        <is>
          <t>Cleveland Cables Company</t>
        </is>
      </c>
      <c r="C13" t="inlineStr">
        <is>
          <t>EX08</t>
        </is>
      </c>
    </row>
    <row r="14">
      <c r="B14" t="inlineStr">
        <is>
          <t>Al Jawad- Cote D'ivoire</t>
        </is>
      </c>
      <c r="C14" t="inlineStr">
        <is>
          <t>CO01</t>
        </is>
      </c>
    </row>
    <row r="15">
      <c r="B15" t="inlineStr">
        <is>
          <t>Energya El Sewedy Helal International Limited – Ke</t>
        </is>
      </c>
      <c r="C15" t="inlineStr">
        <is>
          <t>CT03</t>
        </is>
      </c>
    </row>
    <row r="16">
      <c r="B16" t="inlineStr">
        <is>
          <t>VLG RO S.R.L.</t>
        </is>
      </c>
      <c r="C16" t="inlineStr">
        <is>
          <t>EX012</t>
        </is>
      </c>
    </row>
    <row r="17">
      <c r="B17" t="inlineStr">
        <is>
          <t>Next Technologies Limited</t>
        </is>
      </c>
      <c r="C17" t="inlineStr">
        <is>
          <t>LX01</t>
        </is>
      </c>
    </row>
    <row r="18">
      <c r="B18" t="inlineStr">
        <is>
          <t>المجموعه الهندسيه</t>
        </is>
      </c>
      <c r="C18" t="inlineStr">
        <is>
          <t>RW02</t>
        </is>
      </c>
    </row>
    <row r="19">
      <c r="B19" t="inlineStr">
        <is>
          <t>Master Power Systems  Ltd</t>
        </is>
      </c>
      <c r="C19" t="inlineStr">
        <is>
          <t>ST01</t>
        </is>
      </c>
    </row>
    <row r="20">
      <c r="B20" t="inlineStr">
        <is>
          <t>2M KABLO SAN VE TIC A.S</t>
        </is>
      </c>
      <c r="C20" t="inlineStr">
        <is>
          <t>RS03</t>
        </is>
      </c>
    </row>
    <row r="21">
      <c r="B21" t="inlineStr">
        <is>
          <t>أوتاك  للتجارة والهندسية</t>
        </is>
      </c>
      <c r="C21" t="inlineStr">
        <is>
          <t>CS01</t>
        </is>
      </c>
    </row>
    <row r="22">
      <c r="B22" t="inlineStr">
        <is>
          <t>البحر الاحمر للمقاولات والتشييد والتنمية</t>
        </is>
      </c>
      <c r="C22" t="inlineStr">
        <is>
          <t>RS05</t>
        </is>
      </c>
    </row>
    <row r="23">
      <c r="B23" t="inlineStr">
        <is>
          <t>Meinhart Cables Connect</t>
        </is>
      </c>
      <c r="C23" t="inlineStr">
        <is>
          <t>RW03</t>
        </is>
      </c>
    </row>
    <row r="24">
      <c r="B24" t="inlineStr">
        <is>
          <t>Kharafi National</t>
        </is>
      </c>
    </row>
    <row r="25">
      <c r="B25" t="inlineStr">
        <is>
          <t>شركة الجيل الجديد لإستيراد المواد الكهربائية والصن</t>
        </is>
      </c>
    </row>
    <row r="26">
      <c r="B26" t="inlineStr">
        <is>
          <t>VLG Hungary</t>
        </is>
      </c>
    </row>
    <row r="27">
      <c r="B27" t="inlineStr">
        <is>
          <t>شركة جنوب الدلتا لتوزيع الكهرباء</t>
        </is>
      </c>
    </row>
    <row r="28">
      <c r="B28" t="inlineStr">
        <is>
          <t>شركة انوار المدينة لاستيراد المواد الكهربائية</t>
        </is>
      </c>
    </row>
    <row r="29">
      <c r="B29" t="inlineStr">
        <is>
          <t>مؤسسة جبريل هانى جبريل احمد</t>
        </is>
      </c>
    </row>
    <row r="30">
      <c r="B30" t="inlineStr">
        <is>
          <t>كونكورد للهندسة والمقاولات</t>
        </is>
      </c>
    </row>
    <row r="31">
      <c r="B31" t="inlineStr">
        <is>
          <t>المدكور  للمشروعات</t>
        </is>
      </c>
    </row>
    <row r="32">
      <c r="B32" t="inlineStr">
        <is>
          <t>CASSIS Equipements</t>
        </is>
      </c>
    </row>
    <row r="33">
      <c r="B33" t="inlineStr">
        <is>
          <t>Tabarak Company For Engineering &amp; Construction</t>
        </is>
      </c>
    </row>
    <row r="34">
      <c r="B34" t="inlineStr">
        <is>
          <t>SUNCITY ELECTRICAL SALES AND SERVICES LTD. Kenya</t>
        </is>
      </c>
    </row>
    <row r="35">
      <c r="B35" t="inlineStr">
        <is>
          <t>VEOLIA</t>
        </is>
      </c>
    </row>
    <row r="36">
      <c r="B36" t="inlineStr">
        <is>
          <t>Veolia water technologies Egypt LLC</t>
        </is>
      </c>
    </row>
    <row r="37">
      <c r="B37" t="inlineStr">
        <is>
          <t>Energya For Engineering&amp;Distribution</t>
        </is>
      </c>
    </row>
    <row r="38">
      <c r="B38" t="inlineStr">
        <is>
          <t>سكاي للموانىء</t>
        </is>
      </c>
    </row>
    <row r="39">
      <c r="B39" t="inlineStr">
        <is>
          <t>REMATEC CABLE SERVICE</t>
        </is>
      </c>
    </row>
    <row r="40">
      <c r="B40" t="inlineStr">
        <is>
          <t>المشاركة التضامنية المقاولون العرب - مدكور - محاصة</t>
        </is>
      </c>
    </row>
    <row r="41">
      <c r="B41" t="inlineStr">
        <is>
          <t>Schneider Electric</t>
        </is>
      </c>
    </row>
    <row r="42">
      <c r="B42" t="inlineStr">
        <is>
          <t>الاسكندرية للإنشاءات</t>
        </is>
      </c>
    </row>
    <row r="43">
      <c r="B43" t="inlineStr">
        <is>
          <t>Central Electricals International Ltd</t>
        </is>
      </c>
    </row>
    <row r="44">
      <c r="B44" t="inlineStr">
        <is>
          <t>شركه ام ال اي شركه محاصه</t>
        </is>
      </c>
    </row>
    <row r="45">
      <c r="B45" t="inlineStr">
        <is>
          <t>جيزه للانظمه مناطق حره</t>
        </is>
      </c>
    </row>
    <row r="46">
      <c r="B46" t="inlineStr">
        <is>
          <t>Obaido</t>
        </is>
      </c>
    </row>
    <row r="47">
      <c r="B47" t="inlineStr">
        <is>
          <t>Dimoulas S.A</t>
        </is>
      </c>
    </row>
    <row r="48">
      <c r="B48" t="inlineStr">
        <is>
          <t>ايجيتك للتوريدات العموميه</t>
        </is>
      </c>
    </row>
    <row r="49">
      <c r="B49" t="inlineStr">
        <is>
          <t>دار التميز للاستثمار العقاري</t>
        </is>
      </c>
    </row>
    <row r="50">
      <c r="B50" t="inlineStr">
        <is>
          <t>اتحاد المقاولين للاعمال الكهروميكانيكا</t>
        </is>
      </c>
    </row>
    <row r="51">
      <c r="B51" t="inlineStr">
        <is>
          <t>بناة مصر للانشاءات والتنميه العمرانيه والسياحيه</t>
        </is>
      </c>
    </row>
    <row r="52">
      <c r="B52" t="inlineStr">
        <is>
          <t>ديناميك محمد عبد الله مرسى محمد وشريكه</t>
        </is>
      </c>
    </row>
    <row r="53">
      <c r="B53" t="inlineStr">
        <is>
          <t>بلاك راينو للتجاره والمقاولات</t>
        </is>
      </c>
    </row>
    <row r="54">
      <c r="B54" t="inlineStr">
        <is>
          <t>شركة بروفيشنال إنجنيرينج سيرفيس</t>
        </is>
      </c>
    </row>
    <row r="55">
      <c r="B55" t="inlineStr">
        <is>
          <t>العالمية للكهرباء والتحكم</t>
        </is>
      </c>
    </row>
    <row r="56">
      <c r="B56" t="inlineStr">
        <is>
          <t>تطوير مصر للاستثمار السياحي واستصلاح الاراضي</t>
        </is>
      </c>
    </row>
    <row r="57">
      <c r="B57" t="inlineStr">
        <is>
          <t>اراب الجديدة</t>
        </is>
      </c>
    </row>
    <row r="58">
      <c r="B58" t="inlineStr">
        <is>
          <t>CABLES FREE STOCK</t>
        </is>
      </c>
    </row>
    <row r="59">
      <c r="B59" t="inlineStr">
        <is>
          <t>Energya Stock</t>
        </is>
      </c>
    </row>
    <row r="60">
      <c r="B60" t="inlineStr">
        <is>
          <t>سمارت باور للهندسه والانشاءات</t>
        </is>
      </c>
    </row>
    <row r="61">
      <c r="B61" t="inlineStr">
        <is>
          <t>Reykjafell</t>
        </is>
      </c>
    </row>
    <row r="62">
      <c r="B62" t="inlineStr">
        <is>
          <t>اس بي اس بروتك للمشروعات والتكنولوجيا</t>
        </is>
      </c>
    </row>
    <row r="63">
      <c r="B63" t="inlineStr">
        <is>
          <t>ENGINEERING AND SERVICES TECHNOLOGY SAE (EAST)</t>
        </is>
      </c>
    </row>
    <row r="64">
      <c r="B64" t="inlineStr">
        <is>
          <t>HELUKABEL Ireland Ltd</t>
        </is>
      </c>
    </row>
    <row r="65">
      <c r="B65" t="inlineStr">
        <is>
          <t>دار العالمية للتشييد والبناء</t>
        </is>
      </c>
    </row>
    <row r="66">
      <c r="B66" t="inlineStr">
        <is>
          <t>شركة مصر للتنمية الهندسية ميديكوم</t>
        </is>
      </c>
    </row>
    <row r="67">
      <c r="B67" t="inlineStr">
        <is>
          <t>شيماء محمد احمد عبدالمغيث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2026-10-09T05:52:09Z</dcterms:created>
  <dcterms:modified xmlns:dcterms="http://purl.org/dc/terms/" xmlns:xsi="http://www.w3.org/2001/XMLSchema-instance" xsi:type="dcterms:W3CDTF">2026-10-09T05:52:10Z</dcterms:modified>
</cp:coreProperties>
</file>